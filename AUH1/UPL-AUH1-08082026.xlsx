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C7F2D773-4B06-41BA-A583-6B435BDFAB0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externalReferences>
    <externalReference r:id="rId3"/>
  </externalReference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07" i="1" l="1"/>
  <c r="C1406" i="1"/>
  <c r="C1405" i="1"/>
  <c r="C1404" i="1"/>
  <c r="C1403" i="1"/>
  <c r="AL18" i="2" l="1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H18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7" authorId="0" shapeId="0" xr:uid="{0F6333C4-963A-449D-8748-B741EAE893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27" authorId="0" shapeId="0" xr:uid="{20172B95-715A-4A2E-BECA-5C4FA9F6398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5" authorId="0" shapeId="0" xr:uid="{18AFD69D-3A87-4C02-8FC5-ADC812B9733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53" authorId="0" shapeId="0" xr:uid="{4C5C23CD-6D15-462C-84AB-0A106E08CFB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2" authorId="0" shapeId="0" xr:uid="{D2E8C2A8-C259-434D-84FF-444D825844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6" authorId="0" shapeId="0" xr:uid="{3E5AF100-01B6-400F-B4A1-DF02F18EB8E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0" authorId="0" shapeId="0" xr:uid="{90DCCE5A-DA19-489A-BBB1-28A09B2A138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1" authorId="0" shapeId="0" xr:uid="{7E7D36D7-D3E5-406B-955A-EE180D73FE80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3" authorId="0" shapeId="0" xr:uid="{301FC92C-C323-4229-AB09-8F7200A5486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53" authorId="0" shapeId="0" xr:uid="{8FAEAD98-4BC9-4E27-8F4F-7984EA483F12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82" authorId="0" shapeId="0" xr:uid="{5C23CEE0-E216-434B-99D9-B8A8E54D56B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09" authorId="0" shapeId="0" xr:uid="{84D77ECE-C11D-400D-9B86-9EBD2AF77EF3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4" authorId="0" shapeId="0" xr:uid="{4BDB3855-6E66-4EA3-BB08-EFDDB7C2CF3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9" authorId="0" shapeId="0" xr:uid="{E3900961-C9E1-4C5B-9626-5DEFB740154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3" authorId="0" shapeId="0" xr:uid="{C683C20D-7CE3-41F0-B61E-758D8AE80A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5" authorId="0" shapeId="0" xr:uid="{6ECF5A41-6C8D-4E61-B512-5FF41DC4B99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3" authorId="0" shapeId="0" xr:uid="{9E87A45D-2C63-461E-B3CA-8288041A9C6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5" authorId="0" shapeId="0" xr:uid="{E9CE6F7B-70E5-4453-A99E-CEE9AB03C5B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7" authorId="0" shapeId="0" xr:uid="{AE0D9EFC-7262-4840-AF5F-23741E664A1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2" authorId="0" shapeId="0" xr:uid="{61B699F2-136E-43BF-AFBF-50810487251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8" authorId="0" shapeId="0" xr:uid="{4A324A2F-223C-4BC3-A98D-6A9CA73718C2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0" authorId="0" shapeId="0" xr:uid="{66F5166E-4378-4AC4-ACA2-3EEF6636B3D0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6" authorId="0" shapeId="0" xr:uid="{67EEFC96-85AF-465A-8B77-CD4ED858FC6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28" authorId="0" shapeId="0" xr:uid="{D628DCD3-9DE0-4E88-9B54-6028C081106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29" authorId="0" shapeId="0" xr:uid="{9DD0EFB9-7B3F-4343-BA38-62F5FFF0DF5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20" authorId="1" shapeId="0" xr:uid="{6A424A16-1AE4-4B90-97A1-52292F845CF4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321" authorId="0" shapeId="0" xr:uid="{F17B5446-CC03-4E20-9246-87CF6A6D220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26" authorId="2" shapeId="0" xr:uid="{DB1635D2-2935-4597-9B2A-4EF4AA0F75C6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327" authorId="1" shapeId="0" xr:uid="{E77EA83C-8BB5-40C5-A976-B91CAAE63F95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328" authorId="0" shapeId="0" xr:uid="{E8765A2D-BB40-4105-8CC2-CEA56F33BDD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32" authorId="1" shapeId="0" xr:uid="{1E8878B7-6300-450E-8282-A05FFFA081E3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<sst xmlns="http://schemas.openxmlformats.org/spreadsheetml/2006/main" count="25536" uniqueCount="3010">
  <si>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</si>
  <si>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</si>
  <si>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</si>
  <si>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</si>
  <si>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</si>
  <si>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</si>
  <si>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</si>
  <si>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</si>
  <si>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</si>
  <si>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</si>
  <si>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</si>
  <si>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</si>
  <si>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</si>
  <si>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</si>
  <si>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</si>
  <si>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</si>
  <si>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</si>
  <si>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</si>
  <si>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</si>
  <si>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</si>
  <si>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</si>
  <si>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</si>
  <si>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</si>
  <si>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</si>
  <si>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</si>
  <si>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</si>
  <si>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</si>
  <si>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</si>
  <si>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</si>
  <si>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</si>
  <si>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</si>
  <si>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</si>
  <si>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</si>
  <si>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</si>
  <si>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</si>
  <si>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</si>
  <si>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</si>
  <si>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</si>
  <si>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</si>
  <si>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</si>
  <si>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</si>
  <si>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</si>
  <si>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</si>
  <si>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</si>
  <si>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</si>
  <si>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</si>
  <si>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</si>
  <si>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</si>
  <si>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</si>
  <si>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</si>
  <si>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</si>
  <si>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</si>
  <si>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</si>
  <si>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</si>
  <si>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</si>
  <si>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</si>
  <si>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</si>
  <si>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</si>
  <si>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</si>
  <si>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</si>
  <si>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</si>
  <si>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</si>
  <si>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</si>
  <si>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</si>
  <si>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</si>
  <si>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</si>
  <si>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</si>
  <si>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</si>
  <si>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</si>
  <si>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</si>
  <si>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</si>
  <si>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</si>
  <si>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</si>
  <si>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</si>
  <si>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</si>
  <si>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</si>
  <si>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</si>
  <si>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</si>
  <si>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</si>
  <si>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</si>
  <si>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</si>
  <si>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</si>
  <si>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</si>
  <si>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</si>
  <si>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</si>
  <si>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</si>
  <si>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</si>
  <si>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</si>
  <si>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</si>
  <si>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</si>
  <si>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</si>
  <si>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</si>
  <si>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</si>
  <si>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</si>
  <si>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</si>
  <si>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</si>
  <si>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</si>
  <si>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</si>
  <si>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</si>
  <si>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</si>
  <si>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</si>
  <si>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</si>
  <si>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</si>
  <si>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</si>
  <si>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</si>
  <si>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</si>
  <si>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</si>
  <si>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</si>
  <si>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</si>
  <si>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</si>
  <si>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</si>
  <si>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</si>
  <si>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</si>
  <si>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</si>
  <si>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</si>
  <si>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</si>
  <si>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</si>
  <si>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</si>
  <si>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</si>
  <si>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</si>
  <si>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</si>
  <si>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</si>
  <si>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</si>
  <si>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</si>
  <si>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</si>
  <si>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</si>
  <si>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</si>
  <si>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</si>
  <si>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</si>
  <si>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</si>
  <si>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</si>
  <si>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</si>
  <si>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</si>
  <si>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</si>
  <si>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</si>
  <si>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</si>
  <si>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</si>
  <si>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</si>
  <si>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</si>
  <si>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</si>
  <si>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</si>
  <si>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</si>
  <si>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</si>
  <si>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</si>
  <si>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</si>
  <si>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</si>
  <si>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</si>
  <si>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</si>
  <si>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</si>
  <si>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</si>
  <si>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</si>
  <si>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</si>
  <si>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</si>
  <si>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</si>
  <si>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</si>
  <si>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</si>
  <si>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</si>
  <si>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</si>
  <si>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</si>
  <si>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</si>
  <si>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</si>
  <si>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</si>
  <si>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</si>
  <si>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</si>
  <si>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</si>
  <si>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</si>
  <si>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</si>
  <si>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</si>
  <si>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</si>
  <si>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</si>
  <si>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</si>
  <si>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</si>
  <si>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</si>
  <si>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</si>
  <si>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</si>
  <si>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</si>
  <si>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</si>
  <si>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</si>
  <si>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</si>
  <si>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</si>
  <si>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</si>
  <si>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</si>
  <si>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</si>
  <si>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</si>
  <si>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</si>
  <si>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</si>
  <si>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</si>
  <si>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</si>
  <si>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</si>
  <si>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</si>
  <si>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</si>
  <si>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</si>
  <si>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</si>
  <si>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</si>
  <si>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</si>
  <si>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</si>
  <si>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</si>
  <si>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</si>
  <si>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</si>
  <si>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</si>
  <si>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</si>
  <si>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</si>
  <si>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</si>
  <si>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</si>
  <si>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</si>
  <si>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</si>
  <si>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</si>
  <si>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</si>
  <si>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</si>
  <si>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</si>
  <si>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</si>
  <si>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</si>
  <si>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</si>
  <si>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</si>
  <si>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</si>
  <si>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</si>
  <si>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</si>
  <si>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</si>
  <si>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</si>
  <si>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</si>
  <si>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</si>
  <si>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</si>
  <si>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</si>
  <si>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</si>
  <si>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</si>
  <si>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</si>
  <si>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</si>
  <si>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</si>
  <si>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</si>
  <si>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</si>
  <si>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</si>
  <si>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</si>
  <si>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</si>
  <si>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</si>
  <si>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</si>
  <si>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</si>
  <si>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</si>
  <si>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</si>
  <si>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</si>
  <si>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</si>
  <si>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</si>
  <si>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</si>
  <si>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</si>
  <si>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</si>
  <si>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</si>
  <si>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</si>
  <si>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</si>
  <si>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</si>
  <si>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</si>
  <si>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</si>
  <si>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</si>
  <si>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</si>
  <si>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</si>
  <si>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</si>
  <si>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</si>
  <si>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</si>
  <si>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</si>
  <si>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</si>
  <si>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</si>
  <si>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</si>
  <si>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</si>
  <si>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</si>
  <si>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</si>
  <si>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</si>
  <si>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</si>
  <si>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</si>
  <si>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</si>
  <si>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</si>
  <si>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</si>
  <si>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</si>
  <si>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</si>
  <si>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</si>
  <si>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</si>
  <si>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</si>
  <si>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</si>
  <si>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</si>
  <si>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</si>
  <si>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</si>
  <si>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</si>
  <si>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</si>
  <si>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</si>
  <si>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</si>
  <si>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</si>
  <si>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</si>
  <si>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</si>
  <si>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</si>
  <si>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</si>
  <si>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</si>
  <si>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</si>
  <si>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</si>
  <si>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</si>
  <si>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</si>
  <si>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</si>
  <si>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</si>
  <si>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</si>
  <si>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</si>
  <si>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</si>
  <si>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</si>
  <si>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</si>
  <si>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</si>
  <si>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</si>
  <si>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</si>
  <si>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</si>
  <si>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</si>
  <si>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</si>
  <si>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</si>
  <si>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</si>
  <si>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</si>
  <si>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</si>
  <si>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</si>
  <si>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</si>
  <si>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</si>
  <si>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</si>
  <si>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</si>
  <si>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</si>
  <si>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</si>
  <si>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</si>
  <si>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</si>
  <si>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</si>
  <si>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</si>
  <si>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</si>
  <si>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</si>
  <si>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</si>
  <si>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</si>
  <si>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</si>
  <si>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</si>
  <si>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</si>
  <si>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</si>
  <si>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</si>
  <si>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</si>
  <si>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</si>
  <si>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</si>
  <si>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</si>
  <si>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</si>
  <si>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</si>
  <si>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</si>
  <si>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</si>
  <si>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</si>
  <si>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</si>
  <si>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</si>
  <si>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</si>
  <si>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</si>
  <si>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</si>
  <si>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</si>
  <si>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</si>
  <si>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</si>
  <si>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</si>
  <si>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</si>
  <si>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</si>
  <si>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</si>
  <si>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</si>
  <si>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</si>
  <si>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</si>
  <si>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</si>
  <si>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</si>
  <si>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</si>
  <si>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</si>
  <si>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</si>
  <si>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</si>
  <si>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</si>
  <si>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</si>
  <si>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</si>
  <si>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</si>
  <si>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</si>
  <si>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</si>
  <si>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</si>
  <si>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</si>
  <si>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</si>
  <si>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</si>
  <si>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</si>
  <si>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</si>
  <si>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</si>
  <si>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</si>
  <si>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</si>
  <si>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</si>
  <si>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</si>
  <si>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</si>
  <si>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</si>
  <si>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</si>
  <si>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</si>
  <si>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</si>
  <si>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</si>
  <si>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</si>
  <si>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</si>
  <si>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</si>
  <si>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</si>
  <si>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</si>
  <si>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</si>
  <si>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</si>
  <si>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</si>
  <si>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</si>
  <si>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</si>
  <si>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</si>
  <si>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</si>
  <si>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</si>
  <si>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</si>
  <si>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</si>
  <si>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</si>
  <si>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</si>
  <si>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</si>
  <si>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</si>
  <si>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</si>
  <si>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</si>
  <si>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</si>
  <si>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</si>
  <si>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</si>
  <si>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</si>
  <si>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</si>
  <si>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</si>
  <si>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</si>
  <si>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</si>
  <si>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</si>
  <si>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</si>
  <si>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</si>
  <si>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</si>
  <si>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</si>
  <si>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</si>
  <si>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</si>
  <si>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</si>
  <si>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</si>
  <si>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</si>
  <si>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</si>
  <si>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</si>
  <si>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</si>
  <si>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</si>
  <si>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</si>
  <si>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</si>
  <si>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</si>
  <si>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</si>
  <si>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</si>
  <si>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</si>
  <si>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</si>
  <si>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</si>
  <si>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</si>
  <si>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</si>
  <si>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</si>
  <si>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</si>
  <si>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</si>
  <si>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</si>
  <si>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</si>
  <si>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</si>
  <si>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</si>
  <si>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</si>
  <si>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</si>
  <si>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</si>
  <si>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</si>
  <si>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</si>
  <si>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</si>
  <si>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</si>
  <si>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</si>
  <si>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</si>
  <si>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</si>
  <si>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</si>
  <si>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</si>
  <si>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</si>
  <si>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</si>
  <si>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</si>
  <si>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</si>
  <si>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</si>
  <si>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</si>
  <si>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</si>
  <si>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</si>
  <si>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</si>
  <si>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</si>
  <si>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</si>
  <si>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</si>
  <si>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</si>
  <si>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</si>
  <si>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</si>
  <si>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</si>
  <si>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</si>
  <si>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</si>
  <si>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</si>
  <si>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</si>
  <si>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</si>
  <si>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</si>
  <si>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</si>
  <si>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</si>
  <si>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</si>
  <si>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</si>
  <si>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</si>
  <si>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</si>
  <si>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</si>
  <si>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</si>
  <si>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</si>
  <si>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</si>
  <si>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</si>
  <si>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</si>
  <si>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</si>
  <si>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</si>
  <si>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</si>
  <si>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</si>
  <si>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</si>
  <si>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</si>
  <si>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</si>
  <si>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</si>
  <si>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</si>
  <si>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</si>
  <si>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</si>
  <si>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</si>
  <si>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</si>
  <si>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</si>
  <si>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</si>
  <si>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</si>
  <si>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</si>
  <si>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</si>
  <si>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</si>
  <si>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</si>
  <si>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</si>
  <si>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</si>
  <si>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</si>
  <si>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</si>
  <si>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</si>
  <si>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</si>
  <si>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</si>
  <si>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</si>
  <si>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</si>
  <si>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</si>
  <si>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</si>
  <si>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</si>
  <si>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</si>
  <si>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</si>
  <si>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</si>
  <si>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</si>
  <si>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</si>
  <si>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</si>
  <si>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</si>
  <si>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</si>
  <si>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</si>
  <si>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</si>
  <si>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</si>
  <si>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</si>
  <si>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</si>
  <si>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</si>
  <si>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</si>
  <si>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</si>
  <si>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</si>
  <si>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</si>
  <si>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</si>
  <si>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</si>
  <si>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</si>
  <si>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</si>
  <si>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</si>
  <si>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</si>
  <si>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</si>
  <si>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</si>
  <si>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</si>
  <si>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</si>
  <si>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</si>
  <si>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</si>
  <si>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</si>
  <si>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</si>
  <si>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</si>
  <si>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</si>
  <si>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</si>
  <si>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</si>
  <si>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</si>
  <si>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</si>
  <si>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</si>
  <si>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</si>
  <si>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</si>
  <si>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</si>
  <si>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</si>
  <si>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</si>
  <si>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</si>
  <si>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</si>
  <si>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</si>
  <si>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</si>
  <si>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</si>
  <si>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</si>
  <si>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</si>
  <si>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</si>
  <si>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</si>
  <si>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</si>
  <si>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</si>
  <si>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</si>
  <si>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</si>
  <si>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</si>
  <si>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</si>
  <si>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</si>
  <si>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</si>
  <si>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</si>
  <si>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</si>
  <si>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</si>
  <si>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</si>
  <si>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</si>
  <si>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</si>
  <si>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</si>
  <si>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</si>
  <si>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</si>
  <si>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</si>
  <si>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</si>
  <si>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</si>
  <si>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</si>
  <si>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</si>
  <si>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</si>
  <si>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</si>
  <si>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</si>
  <si>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</si>
  <si>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</si>
  <si>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</si>
  <si>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</si>
  <si>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</si>
  <si>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</si>
  <si>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</si>
  <si>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</si>
  <si>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</si>
  <si>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</si>
  <si>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</si>
  <si>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</si>
  <si>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</si>
  <si>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</si>
  <si>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</si>
  <si>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</si>
  <si>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</si>
  <si>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</si>
  <si>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</si>
  <si>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</si>
  <si>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</si>
  <si>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</si>
  <si>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</si>
  <si>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</si>
  <si>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</si>
  <si>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</si>
  <si>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</si>
  <si>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</si>
  <si>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</si>
  <si>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</si>
  <si>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</si>
  <si>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</si>
  <si>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</si>
  <si>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</si>
  <si>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</si>
  <si>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</si>
  <si>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</si>
  <si>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</si>
  <si>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</si>
  <si>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</si>
  <si>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</si>
  <si>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</si>
  <si>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</si>
  <si>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</si>
  <si>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</si>
  <si>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</si>
  <si>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</si>
  <si>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</si>
  <si>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</si>
  <si>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</si>
  <si>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</si>
  <si>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</si>
  <si>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</si>
  <si>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</si>
  <si>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</si>
  <si>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</si>
  <si>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</si>
  <si>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</si>
  <si>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</si>
  <si>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</si>
  <si>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</si>
  <si>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</si>
  <si>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</si>
  <si>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</si>
  <si>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</si>
  <si>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</si>
  <si>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</si>
  <si>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</si>
  <si>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</si>
  <si>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</si>
  <si>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</si>
  <si>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</si>
  <si>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</si>
  <si>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</si>
  <si>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</si>
  <si>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</si>
  <si>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</si>
  <si>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</si>
  <si>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</si>
  <si>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</si>
  <si>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</si>
  <si>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</si>
  <si>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</si>
  <si>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</si>
  <si>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</si>
  <si>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</si>
  <si>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</si>
  <si>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</si>
  <si>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</si>
  <si>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</si>
  <si>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</si>
  <si>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</si>
  <si>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</si>
  <si>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</si>
  <si>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</si>
  <si>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</si>
  <si>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</si>
  <si>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</si>
  <si>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</si>
  <si>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</si>
  <si>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</si>
  <si>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</si>
  <si>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</si>
  <si>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</si>
  <si>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</si>
  <si>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awaisido</t>
  </si>
  <si>
    <t>Awa Isidore Kum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</si>
  <si>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</si>
  <si>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</si>
  <si>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</si>
  <si>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</si>
  <si>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</si>
  <si>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</si>
  <si>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</si>
  <si>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</si>
  <si>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</si>
  <si>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</si>
  <si>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</si>
  <si>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</si>
  <si>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</si>
  <si>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</si>
  <si>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</si>
  <si>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</si>
  <si>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</si>
  <si>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</si>
  <si>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</si>
  <si>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</si>
  <si>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</si>
  <si>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</si>
  <si>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</si>
  <si>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</si>
  <si>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</si>
  <si>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</si>
  <si>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</si>
  <si>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</si>
  <si>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</si>
  <si>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</si>
  <si>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</si>
  <si>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</si>
  <si>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</si>
  <si>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</si>
  <si>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</si>
  <si>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</si>
  <si>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</si>
  <si>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</si>
  <si>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kuncarol</t>
  </si>
  <si>
    <t>CAROLINE WANJA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</si>
  <si>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</si>
  <si>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</si>
  <si>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</si>
  <si>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</si>
  <si>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</si>
  <si>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</si>
  <si>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</si>
  <si>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</si>
  <si>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addlchri</t>
  </si>
  <si>
    <t>CHRISTIANA ADDO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</si>
  <si>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</si>
  <si>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</si>
  <si>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</si>
  <si>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</si>
  <si>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</si>
  <si>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</si>
  <si>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</si>
  <si>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</si>
  <si>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</si>
  <si>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</si>
  <si>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</si>
  <si>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</si>
  <si>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</si>
  <si>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</si>
  <si>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</si>
  <si>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</si>
  <si>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</si>
  <si>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</si>
  <si>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rseremda</t>
  </si>
  <si>
    <t>DAISY CHEPKEMBOI SEREM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</si>
  <si>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</si>
  <si>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</si>
  <si>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</si>
  <si>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</si>
  <si>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</si>
  <si>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</si>
  <si>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</si>
  <si>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</si>
  <si>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</si>
  <si>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</si>
  <si>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</si>
  <si>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</si>
  <si>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</si>
  <si>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</si>
  <si>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</si>
  <si>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</si>
  <si>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</si>
  <si>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</si>
  <si>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</si>
  <si>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</si>
  <si>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</si>
  <si>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</si>
  <si>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</si>
  <si>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</si>
  <si>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</si>
  <si>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</si>
  <si>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</si>
  <si>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</si>
  <si>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</si>
  <si>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</si>
  <si>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</si>
  <si>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</si>
  <si>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</si>
  <si>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</si>
  <si>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</si>
  <si>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</si>
  <si>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</si>
  <si>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</si>
  <si>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</si>
  <si>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</si>
  <si>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</si>
  <si>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</si>
  <si>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</si>
  <si>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</si>
  <si>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</si>
  <si>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</si>
  <si>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</si>
  <si>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</si>
  <si>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</si>
  <si>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</si>
  <si>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</si>
  <si>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</si>
  <si>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emmaunea</t>
  </si>
  <si>
    <t>EMMAUNEL AYENSU</t>
  </si>
  <si>
    <t>entettey</t>
  </si>
  <si>
    <t>ENOCK TETTEY</t>
  </si>
  <si>
    <t>emensahg</t>
  </si>
  <si>
    <t>ERIC MENSAH</t>
  </si>
  <si>
    <t>erneyebo</t>
  </si>
  <si>
    <t>ERNESTINA YEBOAH</t>
  </si>
  <si>
    <t>nkhonesn</t>
  </si>
  <si>
    <t>Esnart Khonje</t>
  </si>
  <si>
    <t>evkwarte</t>
  </si>
  <si>
    <t>Evans Kwarteng</t>
  </si>
  <si>
    <t>addevely</t>
  </si>
  <si>
    <t>Evelyn Addo</t>
  </si>
  <si>
    <t>fjefaith</t>
  </si>
  <si>
    <t>FAITH JEROP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</si>
  <si>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</si>
  <si>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</si>
  <si>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</si>
  <si>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</si>
  <si>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</si>
  <si>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</si>
  <si>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</si>
  <si>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</si>
  <si>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</si>
  <si>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</si>
  <si>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</si>
  <si>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</si>
  <si>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</si>
  <si>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</si>
  <si>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</si>
  <si>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</si>
  <si>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</si>
  <si>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</si>
  <si>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</si>
  <si>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</si>
  <si>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</si>
  <si>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</si>
  <si>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</si>
  <si>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</si>
  <si>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</si>
  <si>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</si>
  <si>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</si>
  <si>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</si>
  <si>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</si>
  <si>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</si>
  <si>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</si>
  <si>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</si>
  <si>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</si>
  <si>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</si>
  <si>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</si>
  <si>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</si>
  <si>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</si>
  <si>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</si>
  <si>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</si>
  <si>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</si>
  <si>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</si>
  <si>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</si>
  <si>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</si>
  <si>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</si>
  <si>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</si>
  <si>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</si>
  <si>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</si>
  <si>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</si>
  <si>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</si>
  <si>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</si>
  <si>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</si>
  <si>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</si>
  <si>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</si>
  <si>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</si>
  <si>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</si>
  <si>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</si>
  <si>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</si>
  <si>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</si>
  <si>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</si>
  <si>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</si>
  <si>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</si>
  <si>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</si>
  <si>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</si>
  <si>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</si>
  <si>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</si>
  <si>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</si>
  <si>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</si>
  <si>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</si>
  <si>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kusiisa</t>
  </si>
  <si>
    <t>ISAAC KUSI MENSAH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</si>
  <si>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</si>
  <si>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</si>
  <si>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</si>
  <si>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</si>
  <si>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</si>
  <si>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</si>
  <si>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</si>
  <si>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</si>
  <si>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</si>
  <si>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</si>
  <si>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</si>
  <si>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</si>
  <si>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</si>
  <si>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</si>
  <si>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</si>
  <si>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</si>
  <si>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</si>
  <si>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</si>
  <si>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</si>
  <si>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</si>
  <si>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</si>
  <si>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</si>
  <si>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</si>
  <si>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</si>
  <si>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</si>
  <si>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</si>
  <si>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</si>
  <si>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</si>
  <si>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</si>
  <si>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</si>
  <si>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</si>
  <si>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</si>
  <si>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</si>
  <si>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</si>
  <si>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</si>
  <si>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</si>
  <si>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</si>
  <si>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</si>
  <si>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</si>
  <si>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</si>
  <si>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</si>
  <si>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</si>
  <si>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</si>
  <si>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</si>
  <si>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</si>
  <si>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</si>
  <si>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</si>
  <si>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</si>
  <si>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</si>
  <si>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</si>
  <si>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</si>
  <si>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</si>
  <si>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</si>
  <si>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</si>
  <si>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</si>
  <si>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</si>
  <si>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</si>
  <si>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</si>
  <si>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</si>
  <si>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</si>
  <si>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</si>
  <si>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</si>
  <si>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</si>
  <si>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</si>
  <si>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kevirgin</t>
  </si>
  <si>
    <t>Kedze Virgin Ie Nalowa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</si>
  <si>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</si>
  <si>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</si>
  <si>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</si>
  <si>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</si>
  <si>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</si>
  <si>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</si>
  <si>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</si>
  <si>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</si>
  <si>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</si>
  <si>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</si>
  <si>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</si>
  <si>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</si>
  <si>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</si>
  <si>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</si>
  <si>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</si>
  <si>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</si>
  <si>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</si>
  <si>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</si>
  <si>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</si>
  <si>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</si>
  <si>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</si>
  <si>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</si>
  <si>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</si>
  <si>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</si>
  <si>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</si>
  <si>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</si>
  <si>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</si>
  <si>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</si>
  <si>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</si>
  <si>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</si>
  <si>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</si>
  <si>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</si>
  <si>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</si>
  <si>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</si>
  <si>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</si>
  <si>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</si>
  <si>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</si>
  <si>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</si>
  <si>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</si>
  <si>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</si>
  <si>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</si>
  <si>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</si>
  <si>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</si>
  <si>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</si>
  <si>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</si>
  <si>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</si>
  <si>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</si>
  <si>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</si>
  <si>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</si>
  <si>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</si>
  <si>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</si>
  <si>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</si>
  <si>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</si>
  <si>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</si>
  <si>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</si>
  <si>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</si>
  <si>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</si>
  <si>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</si>
  <si>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</si>
  <si>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</si>
  <si>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</si>
  <si>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</si>
  <si>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</si>
  <si>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</si>
  <si>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ngumaryw</t>
  </si>
  <si>
    <t>Mary wambui nguru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</si>
  <si>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</si>
  <si>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</si>
  <si>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</si>
  <si>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</si>
  <si>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</si>
  <si>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</si>
  <si>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</si>
  <si>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</si>
  <si>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</si>
  <si>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</si>
  <si>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</si>
  <si>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</si>
  <si>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</si>
  <si>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</si>
  <si>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</si>
  <si>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</si>
  <si>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</si>
  <si>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</si>
  <si>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</si>
  <si>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</si>
  <si>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</si>
  <si>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</si>
  <si>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</si>
  <si>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</si>
  <si>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</si>
  <si>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</si>
  <si>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</si>
  <si>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</si>
  <si>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</si>
  <si>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</si>
  <si>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</si>
  <si>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</si>
  <si>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</si>
  <si>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</si>
  <si>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</si>
  <si>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</si>
  <si>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</si>
  <si>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</si>
  <si>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</si>
  <si>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</si>
  <si>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</si>
  <si>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</si>
  <si>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</si>
  <si>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</si>
  <si>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</si>
  <si>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</si>
  <si>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</si>
  <si>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</si>
  <si>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</si>
  <si>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</si>
  <si>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</si>
  <si>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</si>
  <si>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</si>
  <si>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</si>
  <si>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</si>
  <si>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</si>
  <si>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</si>
  <si>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</si>
  <si>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</si>
  <si>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</si>
  <si>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</si>
  <si>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</si>
  <si>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</si>
  <si>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</si>
  <si>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</si>
  <si>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</si>
  <si>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</si>
  <si>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</si>
  <si>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</si>
  <si>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katumbnb</t>
  </si>
  <si>
    <t>Nasib Katumba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</si>
  <si>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</si>
  <si>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</si>
  <si>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</si>
  <si>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</si>
  <si>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</si>
  <si>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</si>
  <si>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</si>
  <si>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</si>
  <si>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</si>
  <si>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</si>
  <si>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nedathoo</t>
  </si>
  <si>
    <t>Nithin Edathoot Reghu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</si>
  <si>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</si>
  <si>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</si>
  <si>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</si>
  <si>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</si>
  <si>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</si>
  <si>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</si>
  <si>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</si>
  <si>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</si>
  <si>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</si>
  <si>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</si>
  <si>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</si>
  <si>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</si>
  <si>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</si>
  <si>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</si>
  <si>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</si>
  <si>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</si>
  <si>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</si>
  <si>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</si>
  <si>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</si>
  <si>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</si>
  <si>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</si>
  <si>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</si>
  <si>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</si>
  <si>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</si>
  <si>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</si>
  <si>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</si>
  <si>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</si>
  <si>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</si>
  <si>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</si>
  <si>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</si>
  <si>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</si>
  <si>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</si>
  <si>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phoeboli</t>
  </si>
  <si>
    <t>PHOEBE OLINDO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</si>
  <si>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</si>
  <si>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</si>
  <si>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</si>
  <si>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</si>
  <si>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</si>
  <si>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</si>
  <si>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</si>
  <si>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</si>
  <si>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</si>
  <si>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</si>
  <si>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</si>
  <si>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</si>
  <si>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</si>
  <si>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</si>
  <si>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</si>
  <si>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</si>
  <si>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</si>
  <si>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</si>
  <si>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</si>
  <si>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</si>
  <si>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</si>
  <si>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</si>
  <si>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</si>
  <si>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</si>
  <si>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</si>
  <si>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</si>
  <si>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</si>
  <si>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</si>
  <si>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</si>
  <si>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</si>
  <si>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osanpros</t>
  </si>
  <si>
    <t>Prosper Osang Osang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</si>
  <si>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</si>
  <si>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</si>
  <si>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</si>
  <si>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</si>
  <si>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</si>
  <si>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</si>
  <si>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</si>
  <si>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</si>
  <si>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</si>
  <si>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</si>
  <si>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</si>
  <si>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</si>
  <si>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</si>
  <si>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</si>
  <si>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</si>
  <si>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</si>
  <si>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</si>
  <si>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</si>
  <si>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</si>
  <si>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</si>
  <si>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</si>
  <si>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</si>
  <si>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</si>
  <si>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</si>
  <si>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</si>
  <si>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</si>
  <si>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</si>
  <si>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</si>
  <si>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</si>
  <si>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</si>
  <si>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</si>
  <si>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</si>
  <si>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</si>
  <si>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</si>
  <si>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</si>
  <si>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</si>
  <si>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</si>
  <si>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</si>
  <si>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</si>
  <si>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</si>
  <si>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</si>
  <si>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</si>
  <si>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</si>
  <si>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</si>
  <si>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</si>
  <si>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</si>
  <si>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</si>
  <si>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</si>
  <si>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</si>
  <si>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</si>
  <si>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</si>
  <si>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</si>
  <si>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</si>
  <si>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</si>
  <si>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</si>
  <si>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</si>
  <si>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</si>
  <si>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</si>
  <si>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</si>
  <si>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</si>
  <si>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</si>
  <si>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</si>
  <si>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</si>
  <si>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</si>
  <si>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</si>
  <si>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</si>
  <si>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</si>
  <si>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</si>
  <si>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</si>
  <si>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</si>
  <si>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</si>
  <si>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</si>
  <si>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</si>
  <si>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</si>
  <si>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</si>
  <si>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</si>
  <si>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</si>
  <si>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</si>
  <si>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</si>
  <si>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</si>
  <si>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</si>
  <si>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</si>
  <si>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</si>
  <si>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</si>
  <si>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</si>
  <si>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</si>
  <si>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</si>
  <si>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</si>
  <si>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</si>
  <si>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</si>
  <si>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</si>
  <si>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</si>
  <si>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</si>
  <si>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</si>
  <si>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</si>
  <si>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</si>
  <si>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</si>
  <si>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</si>
  <si>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</si>
  <si>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</si>
  <si>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</si>
  <si>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</si>
  <si>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</si>
  <si>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</si>
  <si>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</si>
  <si>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</si>
  <si>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</si>
  <si>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</si>
  <si>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</si>
  <si>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</si>
  <si>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</si>
  <si>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</si>
  <si>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</si>
  <si>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</si>
  <si>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</si>
  <si>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</si>
  <si>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</si>
  <si>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</si>
  <si>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sydoneye</t>
  </si>
  <si>
    <t>SYDONIE EYE TANGE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</si>
  <si>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</si>
  <si>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</si>
  <si>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</si>
  <si>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</si>
  <si>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</si>
  <si>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</si>
  <si>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</si>
  <si>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</si>
  <si>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</si>
  <si>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</si>
  <si>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</si>
  <si>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</si>
  <si>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</si>
  <si>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</si>
  <si>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</si>
  <si>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</si>
  <si>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</si>
  <si>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</si>
  <si>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</si>
  <si>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</si>
  <si>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</si>
  <si>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</si>
  <si>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</si>
  <si>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</si>
  <si>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</si>
  <si>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</si>
  <si>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</si>
  <si>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</si>
  <si>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</si>
  <si>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</si>
  <si>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</si>
  <si>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</si>
  <si>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</si>
  <si>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</si>
  <si>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</si>
  <si>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</si>
  <si>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</si>
  <si>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</si>
  <si>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</si>
  <si>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</si>
  <si>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</si>
  <si>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</si>
  <si>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</si>
  <si>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</si>
  <si>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</si>
  <si>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</si>
  <si>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</si>
  <si>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</si>
  <si>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</si>
  <si>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</si>
  <si>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</si>
  <si>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</si>
  <si>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</si>
  <si>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</si>
  <si>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</si>
  <si>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</si>
  <si>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</si>
  <si>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</si>
  <si>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</si>
  <si>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</si>
  <si>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</si>
  <si>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</si>
  <si>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</si>
  <si>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</si>
  <si>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</si>
  <si>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</si>
  <si>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</si>
  <si>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</si>
  <si>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</si>
  <si>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</si>
  <si>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</si>
  <si>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</si>
  <si>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</si>
  <si>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</si>
  <si>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</si>
  <si>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</si>
  <si>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</si>
  <si>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</si>
  <si>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</si>
  <si>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</si>
  <si>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</si>
  <si>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</si>
  <si>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</si>
  <si>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</si>
  <si>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</si>
  <si>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</si>
  <si>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</si>
  <si>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</si>
  <si>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</si>
  <si>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</si>
  <si>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</si>
  <si>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</si>
  <si>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</si>
  <si>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</si>
  <si>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</si>
  <si>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</si>
  <si>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</si>
  <si>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</si>
  <si>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</si>
  <si>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</si>
  <si>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</si>
  <si>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</si>
  <si>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</si>
  <si>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</si>
  <si>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</si>
  <si>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</si>
  <si>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</si>
  <si>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</si>
  <si>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</si>
  <si>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</si>
  <si>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</si>
  <si>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</si>
  <si>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</si>
  <si>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</si>
  <si>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</si>
  <si>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</si>
  <si>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</si>
  <si>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</si>
  <si>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</si>
  <si>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</si>
  <si>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</si>
  <si>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</si>
  <si>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</si>
  <si>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</si>
  <si>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</si>
  <si>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</si>
  <si>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</si>
  <si>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</si>
  <si>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</si>
  <si>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</si>
  <si>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</si>
  <si>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</si>
  <si>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</si>
  <si>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</si>
  <si>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</si>
  <si>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</si>
  <si>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</si>
  <si>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</si>
  <si>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</si>
  <si>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</si>
  <si>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</si>
  <si>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</si>
  <si>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</si>
  <si>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</si>
  <si>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</si>
  <si>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</si>
  <si>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</si>
  <si>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</si>
  <si>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</si>
  <si>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</si>
  <si>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</si>
  <si>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</si>
  <si>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</si>
  <si>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</si>
  <si>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</si>
  <si>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</si>
  <si>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</si>
  <si>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</si>
  <si>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</si>
  <si>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</si>
  <si>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</si>
  <si>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</si>
  <si>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</si>
  <si>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</si>
  <si>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</si>
  <si>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</si>
  <si>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</si>
  <si>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</si>
  <si>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</si>
  <si>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</si>
  <si>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</si>
  <si>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</si>
  <si>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</si>
  <si>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</si>
  <si>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</si>
  <si>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</si>
  <si>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</si>
  <si>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</si>
  <si>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</si>
  <si>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</si>
  <si>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</si>
  <si>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</si>
  <si>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</si>
  <si>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</si>
  <si>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</si>
  <si>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</si>
  <si>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</si>
  <si>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</si>
  <si>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</si>
  <si>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</si>
  <si>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</si>
  <si>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</si>
  <si>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</si>
  <si>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</si>
  <si>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</si>
  <si>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</si>
  <si>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</si>
  <si>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</si>
  <si>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</si>
  <si>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</si>
  <si>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</si>
  <si>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</si>
  <si>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</si>
  <si>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</si>
  <si>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</si>
  <si>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</si>
  <si>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</si>
  <si>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</si>
  <si>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</si>
  <si>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</si>
  <si>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</si>
  <si>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</si>
  <si>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</si>
  <si>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</si>
  <si>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</si>
  <si>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</si>
  <si>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</si>
  <si>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</si>
  <si>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</si>
  <si>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</si>
  <si>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</si>
  <si>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</si>
  <si>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</si>
  <si>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</si>
  <si>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</si>
  <si>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</si>
  <si>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</si>
  <si>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</si>
  <si>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</si>
  <si>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</si>
  <si>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</si>
  <si>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</si>
  <si>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</si>
  <si>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</si>
  <si>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</si>
  <si>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</si>
  <si>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</si>
  <si>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</si>
  <si>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</si>
  <si>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</si>
  <si>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</si>
  <si>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</si>
  <si>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</si>
  <si>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</si>
  <si>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</si>
  <si>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</si>
  <si>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</si>
  <si>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</si>
  <si>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</si>
  <si>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</si>
  <si>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</si>
  <si>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</si>
  <si>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</si>
  <si>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</si>
  <si>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</si>
  <si>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</si>
  <si>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</si>
  <si>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</si>
  <si>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</si>
  <si>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</si>
  <si>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</si>
  <si>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</si>
  <si>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</si>
  <si>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</si>
  <si>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</si>
  <si>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</si>
  <si>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</si>
  <si>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</si>
  <si>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</si>
  <si>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</si>
  <si>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</si>
  <si>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</si>
  <si>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</si>
  <si>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</si>
  <si>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</si>
  <si>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</si>
  <si>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</si>
  <si>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</si>
  <si>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</si>
  <si>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</si>
  <si>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</si>
  <si>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</si>
  <si>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</si>
  <si>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</si>
  <si>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</si>
  <si>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</si>
  <si>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</si>
  <si>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</si>
  <si>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</si>
  <si>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</si>
  <si>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</si>
  <si>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</si>
  <si>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</si>
  <si>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</si>
  <si>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</si>
  <si>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</si>
  <si>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</si>
  <si>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</si>
  <si>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</si>
  <si>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</si>
  <si>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</si>
  <si>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</si>
  <si>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</si>
  <si>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</si>
  <si>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</si>
  <si>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</si>
  <si>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</si>
  <si>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</si>
  <si>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</si>
  <si>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</si>
  <si>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</si>
  <si>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</si>
  <si>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</si>
  <si>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</si>
  <si>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</si>
  <si>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</si>
  <si>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</si>
  <si>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</si>
  <si>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</si>
  <si>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</si>
  <si>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Nassonko Bushirah</t>
  </si>
  <si>
    <t>Faith cherono</t>
  </si>
  <si>
    <t>Faith Jepkirui</t>
  </si>
  <si>
    <t>Ceciliah omwando</t>
  </si>
  <si>
    <t>Vivian chepchumba</t>
  </si>
  <si>
    <t>Sheila jepchumba yator</t>
  </si>
  <si>
    <t>MERCY JERUTO</t>
  </si>
  <si>
    <t>Mercy jemutai</t>
  </si>
  <si>
    <t>Erica Afful</t>
  </si>
  <si>
    <t>bushirna</t>
  </si>
  <si>
    <t>fcherono</t>
  </si>
  <si>
    <t>jepkirtf</t>
  </si>
  <si>
    <t>omwcecil</t>
  </si>
  <si>
    <t>vivianjb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</si>
  <si>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</si>
  <si>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</si>
  <si>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</si>
  <si>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</si>
  <si>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</si>
  <si>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</si>
  <si>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</si>
  <si>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</si>
  <si>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</si>
  <si>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SAMUEL OLUWALE LANGLEY</t>
  </si>
  <si>
    <t>LAURA AMBIRAKUM ANJOYONG</t>
  </si>
  <si>
    <t xml:space="preserve">MARTHA APOLOT </t>
  </si>
  <si>
    <t>VICENTIA ELLEN IDUN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</si>
  <si>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</si>
  <si>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</si>
  <si>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</si>
  <si>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</si>
  <si>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</si>
  <si>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</si>
  <si>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OWUSU AKYEA OPARE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</si>
  <si>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</si>
  <si>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</si>
  <si>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</si>
  <si>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</si>
  <si>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</si>
  <si>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</si>
  <si>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</si>
  <si>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</si>
  <si>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</si>
  <si>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</si>
  <si>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</si>
  <si>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</si>
  <si>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</si>
  <si>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</si>
  <si>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</si>
  <si>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</si>
  <si>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</si>
  <si>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</si>
  <si>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</si>
  <si>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</si>
  <si>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</si>
  <si>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</si>
  <si>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</si>
  <si>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</si>
  <si>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</si>
  <si>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</si>
  <si>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</si>
  <si>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gakyeaop</t>
  </si>
  <si>
    <t>samoluwa</t>
  </si>
  <si>
    <t>ellvicen</t>
  </si>
  <si>
    <t>wendpoku</t>
  </si>
  <si>
    <t>bwalhell</t>
  </si>
  <si>
    <t>opariyar</t>
  </si>
  <si>
    <t>sahajame</t>
  </si>
  <si>
    <t>ikamsaid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</si>
  <si>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</si>
  <si>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</si>
  <si>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</si>
  <si>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</si>
  <si>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</si>
  <si>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</si>
  <si>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</si>
  <si>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</si>
  <si>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</si>
  <si>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</si>
  <si>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</si>
  <si>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</si>
  <si>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</si>
  <si>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</si>
  <si>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</si>
  <si>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</si>
  <si>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</si>
  <si>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</si>
  <si>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</si>
  <si>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</si>
  <si>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</si>
  <si>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</si>
  <si>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</si>
  <si>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</si>
  <si>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</si>
  <si>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</si>
  <si>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</si>
  <si>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</si>
  <si>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</si>
  <si>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</si>
  <si>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</si>
  <si>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</si>
  <si>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</si>
  <si>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</si>
  <si>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</si>
  <si>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</si>
  <si>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</si>
  <si>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</si>
  <si>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</si>
  <si>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</si>
  <si>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</si>
  <si>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</si>
  <si>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</si>
  <si>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</si>
  <si>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</si>
  <si>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</si>
  <si>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</si>
  <si>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</si>
  <si>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</si>
  <si>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</si>
  <si>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</si>
  <si>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</si>
  <si>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</si>
  <si>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</si>
  <si>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</si>
  <si>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</si>
  <si>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</si>
  <si>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</si>
  <si>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</si>
  <si>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</si>
  <si>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</si>
  <si>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</si>
  <si>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</si>
  <si>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</si>
  <si>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</si>
  <si>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</si>
  <si>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</si>
  <si>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</si>
  <si>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</si>
  <si>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</si>
  <si>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</si>
  <si>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</si>
  <si>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</si>
  <si>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</si>
  <si>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</si>
  <si>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</si>
  <si>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</si>
  <si>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</si>
  <si>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</si>
  <si>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</si>
  <si>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</si>
  <si>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</si>
  <si>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</si>
  <si>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</si>
  <si>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</si>
  <si>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</si>
  <si>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</si>
  <si>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</si>
  <si>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</si>
  <si>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</si>
  <si>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</si>
  <si>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</si>
  <si>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</si>
  <si>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</si>
  <si>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</si>
  <si>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</si>
  <si>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</si>
  <si>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</si>
  <si>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</si>
  <si>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</si>
  <si>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</si>
  <si>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</si>
  <si>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</si>
  <si>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</si>
  <si>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</si>
  <si>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</si>
  <si>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</si>
  <si>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</si>
  <si>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</si>
  <si>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</si>
  <si>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</si>
  <si>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</si>
  <si>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</si>
  <si>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</si>
  <si>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</si>
  <si>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</si>
  <si>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</si>
  <si>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</si>
  <si>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</si>
  <si>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</si>
  <si>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</si>
  <si>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</si>
  <si>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</si>
  <si>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</si>
  <si>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</si>
  <si>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</si>
  <si>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</si>
  <si>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</si>
  <si>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</si>
  <si>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</si>
  <si>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</si>
  <si>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</si>
  <si>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</si>
  <si>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</si>
  <si>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</si>
  <si>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</si>
  <si>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</si>
  <si>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</si>
  <si>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</si>
  <si>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</si>
  <si>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</si>
  <si>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</si>
  <si>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</si>
  <si>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</si>
  <si>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</si>
  <si>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</si>
  <si>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</si>
  <si>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</si>
  <si>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</si>
  <si>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</si>
  <si>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</si>
  <si>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</si>
  <si>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</si>
  <si>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</si>
  <si>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</si>
  <si>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</si>
  <si>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</si>
  <si>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</si>
  <si>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</si>
  <si>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</si>
  <si>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</si>
  <si>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</si>
  <si>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</si>
  <si>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</si>
  <si>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</si>
  <si>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</si>
  <si>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</si>
  <si>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</si>
  <si>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</si>
  <si>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</si>
  <si>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globquan</t>
  </si>
  <si>
    <t>GLORIA QUANSAH</t>
  </si>
  <si>
    <t>knkumbuj</t>
  </si>
  <si>
    <t>JOSEPHINE NKUMBU CHI</t>
  </si>
  <si>
    <t>mnengnfl</t>
  </si>
  <si>
    <t>FLAVIN NENG NKHAN</t>
  </si>
  <si>
    <t>nkrfelix</t>
  </si>
  <si>
    <t>FELIX MENSAH NKRUMAH</t>
  </si>
  <si>
    <t>cheropeg</t>
  </si>
  <si>
    <t>GRASHA CHEROP</t>
  </si>
  <si>
    <t>jepkirja</t>
  </si>
  <si>
    <t>Jane Jepkirui</t>
  </si>
  <si>
    <t>jepchval</t>
  </si>
  <si>
    <t>JEPCHIRCHIR VALENTINE</t>
  </si>
  <si>
    <t>kipchumn</t>
  </si>
  <si>
    <t>Brian Kipchumba</t>
  </si>
  <si>
    <t>chjoycec</t>
  </si>
  <si>
    <t>JOYCE CHEROP CHERUIYOT</t>
  </si>
  <si>
    <t>bmaximki</t>
  </si>
  <si>
    <t>MAXIMILAR JEPCHUM</t>
  </si>
  <si>
    <t>merabelf</t>
  </si>
  <si>
    <t>MERABEL FENIBEE</t>
  </si>
  <si>
    <t>amukclin</t>
  </si>
  <si>
    <t>Clinton Amukhoywa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</si>
  <si>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</si>
  <si>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</si>
  <si>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</si>
  <si>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</si>
  <si>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</si>
  <si>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</si>
  <si>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</si>
  <si>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</si>
  <si>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</si>
  <si>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</si>
  <si>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</si>
  <si>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</si>
  <si>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</si>
  <si>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</si>
  <si>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</si>
  <si>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</si>
  <si>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</si>
  <si>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</si>
  <si>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jerstelt</t>
  </si>
  <si>
    <t>STELLAH JEROP</t>
  </si>
  <si>
    <t>ikitusyl</t>
  </si>
  <si>
    <t>SYLYN CHEROP KITUR</t>
  </si>
  <si>
    <t>fuissaka</t>
  </si>
  <si>
    <t>Fullera Issaka</t>
  </si>
  <si>
    <t>commeygs</t>
  </si>
  <si>
    <t xml:space="preserve">Grace Kaaley Commey 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</si>
  <si>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</si>
  <si>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</si>
  <si>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</si>
  <si>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</si>
  <si>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</si>
  <si>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</si>
  <si>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</si>
  <si>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</si>
  <si>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</si>
  <si>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</si>
  <si>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</si>
  <si>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</si>
  <si>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</si>
  <si>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</si>
  <si>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</si>
  <si>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</si>
  <si>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</si>
  <si>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</si>
  <si>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</si>
  <si>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</si>
  <si>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</si>
  <si>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</si>
  <si>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</si>
  <si>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</si>
  <si>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</si>
  <si>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</si>
  <si>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</si>
  <si>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</si>
  <si>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</si>
  <si>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</si>
  <si>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</si>
  <si>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</si>
  <si>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echubobo</t>
  </si>
  <si>
    <t>BORIS ECHUBOU NANA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</si>
  <si>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</si>
  <si>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</si>
  <si>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</si>
  <si>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</si>
  <si>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</si>
  <si>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</si>
  <si>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</si>
  <si>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</si>
  <si>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nbashali</t>
  </si>
  <si>
    <t>ALI BASHIR KASAGA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</si>
  <si>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</si>
  <si>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</si>
  <si>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</si>
  <si>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</si>
  <si>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</si>
  <si>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</si>
  <si>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</si>
  <si>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</si>
  <si>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</si>
  <si>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</si>
  <si>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</si>
  <si>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</si>
  <si>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frasernk</t>
  </si>
  <si>
    <t>almsukwf</t>
  </si>
  <si>
    <t>ssqurais</t>
  </si>
  <si>
    <t>kahuhenx</t>
  </si>
  <si>
    <t>Steven Bills Otchan</t>
  </si>
  <si>
    <t>Vincent Phiri</t>
  </si>
  <si>
    <t>Gracious Pamhwanya Nyirenda</t>
  </si>
  <si>
    <t>Fraser Nkosana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</si>
  <si>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</si>
  <si>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</si>
  <si>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</si>
  <si>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</si>
  <si>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</si>
  <si>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</si>
  <si>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</si>
  <si>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</si>
  <si>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</si>
  <si>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</si>
  <si>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</si>
  <si>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</si>
  <si>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</si>
  <si>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</si>
  <si>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</si>
  <si>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</si>
  <si>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</si>
  <si>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</si>
  <si>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</si>
  <si>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</si>
  <si>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</si>
  <si>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</si>
  <si>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</si>
  <si>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</si>
  <si>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</si>
  <si>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</si>
  <si>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</si>
  <si>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</si>
  <si>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</si>
  <si>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</si>
  <si>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</si>
  <si>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</si>
  <si>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</si>
  <si>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</si>
  <si>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</si>
  <si>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</si>
  <si>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</si>
  <si>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</si>
  <si>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</si>
  <si>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</si>
  <si>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</si>
  <si>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</si>
  <si>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</si>
  <si>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</si>
  <si>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</si>
  <si>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</si>
  <si>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</si>
  <si>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</si>
  <si>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</si>
  <si>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</si>
  <si>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</si>
  <si>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</si>
  <si>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</si>
  <si>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SAIDUKAMARA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</si>
  <si>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</si>
  <si>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</si>
  <si>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</si>
  <si>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</si>
  <si>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</si>
  <si>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</si>
  <si>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</si>
  <si>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</si>
  <si>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</si>
  <si>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</si>
  <si>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</si>
  <si>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</si>
  <si>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</si>
  <si>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</si>
  <si>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</si>
  <si>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</si>
  <si>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</si>
  <si>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</si>
  <si>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</si>
  <si>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</si>
  <si>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</si>
  <si>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</si>
  <si>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</si>
  <si>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</si>
  <si>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</si>
  <si>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</si>
  <si>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</si>
  <si>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</si>
  <si>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</si>
  <si>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</si>
  <si>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</si>
  <si>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</si>
  <si>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</si>
  <si>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</si>
  <si>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</si>
  <si>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</si>
  <si>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ritjuoke</t>
  </si>
  <si>
    <t>violjepk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</si>
  <si>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</si>
  <si>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</si>
  <si>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</si>
  <si>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</si>
  <si>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</si>
  <si>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</si>
  <si>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</si>
  <si>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</si>
  <si>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RITA JUO KEDZE</t>
  </si>
  <si>
    <t>Violah Jepkemei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</si>
  <si>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</si>
  <si>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</si>
  <si>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</si>
  <si>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</si>
  <si>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</si>
  <si>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</si>
  <si>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</si>
  <si>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</si>
  <si>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</si>
  <si>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</si>
  <si>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</si>
  <si>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</si>
  <si>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</si>
  <si>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</si>
  <si>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</si>
  <si>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</si>
  <si>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</si>
  <si>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</si>
  <si>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</si>
  <si>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</si>
  <si>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</si>
  <si>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</si>
  <si>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</si>
  <si>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</si>
  <si>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</si>
  <si>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</si>
  <si>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</si>
  <si>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</si>
  <si>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</si>
  <si>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</si>
  <si>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</si>
  <si>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</si>
  <si>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</si>
  <si>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</si>
  <si>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</si>
  <si>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</si>
  <si>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</si>
  <si>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</si>
  <si>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</si>
  <si>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</si>
  <si>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</si>
  <si>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</si>
  <si>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</si>
  <si>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</si>
  <si>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</si>
  <si>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</si>
  <si>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</si>
  <si>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</si>
  <si>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</si>
  <si>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</si>
  <si>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</si>
  <si>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</si>
  <si>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</si>
  <si>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</si>
  <si>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</si>
  <si>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</si>
  <si>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</si>
  <si>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</si>
  <si>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fredrimw</t>
  </si>
  <si>
    <t>FREDRICK MWENDWA MWANIKI</t>
  </si>
  <si>
    <t>kengachu</t>
  </si>
  <si>
    <t>Kennedy Maina Gachui</t>
  </si>
  <si>
    <t>kimutcol</t>
  </si>
  <si>
    <t>Collins Kimutai</t>
  </si>
  <si>
    <t>jhabshai</t>
  </si>
  <si>
    <t>Habeeb Shaik</t>
  </si>
  <si>
    <t>efhayfor</t>
  </si>
  <si>
    <t>Hayford Effah</t>
  </si>
  <si>
    <t>islmehez</t>
  </si>
  <si>
    <t>Mehebub Islam</t>
  </si>
  <si>
    <t>eindrakr</t>
  </si>
  <si>
    <t>Indra Kumar Ray</t>
  </si>
  <si>
    <t>kanyoalb</t>
  </si>
  <si>
    <t>Albert Kanyoro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</si>
  <si>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</si>
  <si>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</si>
  <si>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</si>
  <si>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</si>
  <si>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</si>
  <si>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</si>
  <si>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</si>
  <si>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</si>
  <si>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</si>
  <si>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</si>
  <si>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cosmkibe</t>
  </si>
  <si>
    <t>Cosmas Kirwa Kibet</t>
  </si>
  <si>
    <t>tabiayuj</t>
  </si>
  <si>
    <t>Arrey Tabiayuk Brandon</t>
  </si>
  <si>
    <t>ukipetej</t>
  </si>
  <si>
    <t>JORAM KIPETER</t>
  </si>
  <si>
    <t>rjwanjir</t>
  </si>
  <si>
    <t>JOSEPH NJUGUNA WANJIRU</t>
  </si>
  <si>
    <t>boickelv</t>
  </si>
  <si>
    <t>KELVIN KIMUTAI BOIT</t>
  </si>
  <si>
    <t>wedwinki</t>
  </si>
  <si>
    <t>Edwin Kimani Wandui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</si>
  <si>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</si>
  <si>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</si>
  <si>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</si>
  <si>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</si>
  <si>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</si>
  <si>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</si>
  <si>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</si>
  <si>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</si>
  <si>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</si>
  <si>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</si>
  <si>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</si>
  <si>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</si>
  <si>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</si>
  <si>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</si>
  <si>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</si>
  <si>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</si>
  <si>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</si>
  <si>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</si>
  <si>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</si>
  <si>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</si>
  <si>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</si>
  <si>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</si>
  <si>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</si>
  <si>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</si>
  <si>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</si>
  <si>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</si>
  <si>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</si>
  <si>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</si>
  <si>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</si>
  <si>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</si>
  <si>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</si>
  <si>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</si>
  <si>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</si>
  <si>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</si>
  <si>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</si>
  <si>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</si>
  <si>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</si>
  <si>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</si>
  <si>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</si>
  <si>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</si>
  <si>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</si>
  <si>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</si>
  <si>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</si>
  <si>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</si>
  <si>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</si>
  <si>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</si>
  <si>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kourever</t>
  </si>
  <si>
    <t>Everline Nyamoita Ouru</t>
  </si>
  <si>
    <t>htameklo</t>
  </si>
  <si>
    <t>Happy Tamekloe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</si>
  <si>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</si>
  <si>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</si>
  <si>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</si>
  <si>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</si>
  <si>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</si>
  <si>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</si>
  <si>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</si>
  <si>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</si>
  <si>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</si>
  <si>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</si>
  <si>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jopkolin</t>
  </si>
  <si>
    <t>JOPKOEECH,LINDAH</t>
  </si>
  <si>
    <t>Fondwhit</t>
  </si>
  <si>
    <t>Whitney-Lois Fenui Fondanui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</si>
  <si>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</si>
  <si>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</si>
  <si>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</si>
  <si>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</si>
  <si>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</si>
  <si>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</si>
  <si>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</si>
  <si>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</si>
  <si>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</si>
  <si>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</si>
  <si>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</si>
  <si>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</si>
  <si>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</si>
  <si>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</si>
  <si>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</si>
  <si>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</si>
  <si>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</si>
  <si>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</si>
  <si>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</si>
  <si>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</si>
  <si>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</si>
  <si>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</si>
  <si>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</si>
  <si>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</si>
  <si>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</si>
  <si>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</si>
  <si>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</si>
  <si>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</si>
  <si>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</si>
  <si>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</si>
  <si>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</si>
  <si>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</si>
  <si>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</si>
  <si>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</si>
  <si>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</si>
  <si>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</si>
  <si>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</si>
  <si>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</si>
  <si>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</si>
  <si>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</si>
  <si>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</si>
  <si>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</si>
  <si>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</si>
  <si>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</si>
  <si>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</si>
  <si>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</si>
  <si>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</si>
  <si>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</si>
  <si>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</si>
  <si>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</si>
  <si>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thembik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</si>
  <si>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</si>
  <si>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</si>
  <si>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</si>
  <si>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</si>
  <si>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</si>
  <si>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</si>
  <si>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</si>
  <si>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</si>
  <si>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</si>
  <si>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</si>
  <si>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</si>
  <si>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</si>
  <si>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</si>
  <si>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</si>
  <si>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</si>
  <si>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</si>
  <si>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</si>
  <si>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</si>
  <si>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</si>
  <si>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</si>
  <si>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</si>
  <si>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</si>
  <si>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</si>
  <si>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</si>
  <si>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</si>
  <si>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</si>
  <si>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</si>
  <si>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</si>
  <si>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</si>
  <si>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</si>
  <si>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</si>
  <si>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</si>
  <si>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</si>
  <si>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</si>
  <si>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</si>
  <si>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</si>
  <si>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</si>
  <si>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</si>
  <si>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</si>
  <si>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</si>
  <si>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</si>
  <si>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</si>
  <si>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</si>
  <si>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</si>
  <si>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</si>
  <si>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</si>
  <si>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</si>
  <si>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</si>
  <si>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</si>
  <si>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</si>
  <si>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</si>
  <si>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</si>
  <si>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</si>
  <si>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</si>
  <si>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</si>
  <si>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</si>
  <si>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</si>
  <si>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</si>
  <si>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</si>
  <si>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</si>
  <si>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</si>
  <si>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</si>
  <si>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</si>
  <si>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</si>
  <si>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</si>
  <si>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</si>
  <si>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</si>
  <si>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</si>
  <si>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</si>
  <si>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</si>
  <si>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</si>
  <si>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</si>
  <si>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</si>
  <si>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</si>
  <si>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</si>
  <si>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</si>
  <si>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</si>
  <si>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</si>
  <si>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</si>
  <si>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</si>
  <si>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</si>
  <si>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</si>
  <si>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</si>
  <si>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</si>
  <si>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</si>
  <si>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</si>
  <si>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</si>
  <si>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</si>
  <si>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</si>
  <si>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</si>
  <si>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</si>
  <si>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</si>
  <si>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</si>
  <si>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</si>
  <si>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</si>
  <si>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</si>
  <si>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</si>
  <si>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</si>
  <si>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</si>
  <si>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</si>
  <si>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</si>
  <si>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</si>
  <si>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</si>
  <si>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</si>
  <si>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</si>
  <si>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</si>
  <si>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</si>
  <si>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</si>
  <si>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</si>
  <si>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</si>
  <si>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</si>
  <si>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</si>
  <si>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</si>
  <si>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</si>
  <si>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</si>
  <si>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</si>
  <si>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</si>
  <si>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</si>
  <si>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</si>
  <si>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</si>
  <si>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</si>
  <si>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</si>
  <si>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</si>
  <si>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</si>
  <si>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</si>
  <si>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</si>
  <si>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</si>
  <si>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</si>
  <si>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</si>
  <si>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</si>
  <si>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</si>
  <si>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</si>
  <si>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</si>
  <si>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</si>
  <si>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</si>
  <si>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</si>
  <si>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</si>
  <si>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</si>
  <si>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</si>
  <si>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</si>
  <si>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</si>
  <si>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</si>
  <si>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</si>
  <si>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</si>
  <si>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</si>
  <si>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</si>
  <si>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</si>
  <si>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</si>
  <si>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</si>
  <si>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</si>
  <si>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</si>
  <si>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</si>
  <si>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</si>
  <si>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</si>
  <si>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</si>
  <si>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</si>
  <si>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</si>
  <si>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</si>
  <si>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</si>
  <si>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</si>
  <si>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</si>
  <si>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</si>
  <si>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</si>
  <si>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</si>
  <si>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</si>
  <si>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</si>
  <si>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</si>
  <si>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</si>
  <si>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</si>
  <si>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</si>
  <si>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</si>
  <si>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</si>
  <si>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</si>
  <si>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</si>
  <si>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</si>
  <si>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</si>
  <si>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</si>
  <si>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</si>
  <si>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</si>
  <si>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</si>
  <si>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</si>
  <si>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</si>
  <si>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</si>
  <si>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</si>
  <si>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</si>
  <si>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</si>
  <si>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</si>
  <si>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</si>
  <si>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</si>
  <si>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</si>
  <si>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</si>
  <si>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</si>
  <si>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</si>
  <si>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</si>
  <si>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</si>
  <si>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</si>
  <si>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</si>
  <si>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</si>
  <si>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</si>
  <si>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</si>
  <si>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</si>
  <si>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</si>
  <si>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</si>
  <si>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</si>
  <si>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</si>
  <si>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</si>
  <si>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</si>
  <si>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</si>
  <si>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</si>
  <si>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</si>
  <si>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</si>
  <si>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</si>
  <si>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</si>
  <si>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</si>
  <si>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</si>
  <si>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</si>
  <si>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</si>
  <si>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</si>
  <si>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</si>
  <si>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</si>
  <si>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</si>
  <si>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</si>
  <si>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</si>
  <si>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</si>
  <si>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</si>
  <si>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</si>
  <si>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</si>
  <si>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</si>
  <si>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</si>
  <si>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</si>
  <si>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</si>
  <si>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</si>
  <si>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osmanthu</t>
  </si>
  <si>
    <t>THULLAH,OSMAN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</si>
  <si>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</si>
  <si>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</si>
  <si>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</si>
  <si>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</si>
  <si>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</si>
  <si>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</si>
  <si>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</si>
  <si>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</si>
  <si>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</si>
  <si>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</si>
  <si>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</si>
  <si>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</si>
  <si>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</si>
  <si>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</si>
  <si>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</si>
  <si>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</si>
  <si>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</si>
  <si>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</si>
  <si>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</si>
  <si>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</si>
  <si>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</si>
  <si>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</si>
  <si>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</si>
  <si>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</si>
  <si>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</si>
  <si>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</si>
  <si>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</si>
  <si>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</si>
  <si>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</si>
  <si>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</si>
  <si>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</si>
  <si>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</si>
  <si>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</si>
  <si>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</si>
  <si>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</si>
  <si>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</si>
  <si>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</si>
  <si>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</si>
  <si>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</si>
  <si>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</si>
  <si>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</si>
  <si>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</si>
  <si>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</si>
  <si>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</si>
  <si>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</si>
  <si>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</si>
  <si>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</si>
  <si>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</si>
  <si>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</si>
  <si>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</si>
  <si>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</si>
  <si>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</si>
  <si>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</si>
  <si>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</si>
  <si>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</si>
  <si>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</si>
  <si>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</si>
  <si>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</si>
  <si>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</si>
  <si>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</si>
  <si>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</si>
  <si>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</si>
  <si>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</si>
  <si>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</si>
  <si>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</si>
  <si>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</si>
  <si>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</si>
  <si>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</si>
  <si>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</si>
  <si>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</si>
  <si>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</si>
  <si>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</si>
  <si>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</si>
  <si>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</si>
  <si>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</si>
  <si>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</si>
  <si>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</si>
  <si>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</si>
  <si>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</si>
  <si>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</si>
  <si>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</si>
  <si>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</si>
  <si>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</si>
  <si>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</si>
  <si>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</si>
  <si>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</si>
  <si>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</si>
  <si>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</si>
  <si>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</si>
  <si>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</si>
  <si>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</si>
  <si>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</si>
  <si>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</si>
  <si>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</si>
  <si>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</si>
  <si>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</si>
  <si>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</si>
  <si>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</si>
  <si>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</si>
  <si>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</si>
  <si>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</si>
  <si>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</si>
  <si>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</si>
  <si>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</si>
  <si>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</si>
  <si>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</si>
  <si>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</si>
  <si>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</si>
  <si>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</si>
  <si>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</si>
  <si>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</si>
  <si>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</si>
  <si>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</si>
  <si>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</si>
  <si>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</si>
  <si>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</si>
  <si>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</si>
  <si>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</si>
  <si>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</si>
  <si>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</si>
  <si>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</si>
  <si>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</si>
  <si>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</si>
  <si>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</si>
  <si>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</si>
  <si>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</si>
  <si>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</si>
  <si>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</si>
  <si>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</si>
  <si>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</si>
  <si>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</si>
  <si>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</si>
  <si>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</si>
  <si>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</si>
  <si>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</si>
  <si>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</si>
  <si>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</si>
  <si>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</si>
  <si>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</si>
  <si>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</si>
  <si>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</si>
  <si>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</si>
  <si>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</si>
  <si>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</si>
  <si>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</si>
  <si>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</si>
  <si>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</si>
  <si>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</si>
  <si>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</si>
  <si>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</si>
  <si>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</si>
  <si>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</si>
  <si>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</si>
  <si>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</si>
  <si>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</si>
  <si>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</si>
  <si>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</si>
  <si>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</si>
  <si>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</si>
  <si>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</si>
  <si>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</si>
  <si>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</si>
  <si>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</si>
  <si>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</si>
  <si>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</si>
  <si>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</si>
  <si>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</si>
  <si>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</si>
  <si>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</si>
  <si>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</si>
  <si>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</si>
  <si>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</si>
  <si>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</si>
  <si>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</si>
  <si>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</si>
  <si>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</si>
  <si>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</si>
  <si>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</si>
  <si>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</si>
  <si>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</si>
  <si>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</si>
  <si>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</si>
  <si>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</si>
  <si>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</si>
  <si>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</si>
  <si>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</si>
  <si>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</si>
  <si>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</si>
  <si>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</si>
  <si>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</si>
  <si>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</si>
  <si>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</si>
  <si>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</si>
  <si>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</si>
  <si>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</si>
  <si>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</si>
  <si>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</si>
  <si>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</si>
  <si>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</si>
  <si>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</si>
  <si>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</si>
  <si>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</si>
  <si>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</si>
  <si>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</si>
  <si>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</si>
  <si>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</si>
  <si>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</si>
  <si>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</si>
  <si>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</si>
  <si>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</si>
  <si>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</si>
  <si>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</si>
  <si>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</si>
  <si>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</si>
  <si>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</si>
  <si>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</si>
  <si>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</si>
  <si>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</si>
  <si>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</si>
  <si>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</si>
  <si>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</si>
  <si>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</si>
  <si>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</si>
  <si>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</si>
  <si>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</si>
  <si>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</si>
  <si>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</si>
  <si>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</si>
  <si>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</si>
  <si>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</si>
  <si>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</si>
  <si>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</si>
  <si>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</si>
  <si>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</si>
  <si>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</si>
  <si>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</si>
  <si>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</si>
  <si>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</si>
  <si>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</si>
  <si>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</si>
  <si>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</si>
  <si>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</si>
  <si>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</si>
  <si>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</si>
  <si>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</si>
  <si>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</si>
  <si>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</si>
  <si>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</si>
  <si>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</si>
  <si>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</si>
  <si>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</si>
  <si>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</si>
  <si>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</si>
  <si>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</si>
  <si>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</si>
  <si>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</si>
  <si>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</si>
  <si>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</si>
  <si>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</si>
  <si>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</si>
  <si>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</si>
  <si>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</si>
  <si>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</si>
  <si>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</si>
  <si>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</si>
  <si>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</si>
  <si>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</si>
  <si>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</si>
  <si>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</si>
  <si>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</si>
  <si>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</si>
  <si>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</si>
  <si>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</si>
  <si>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</si>
  <si>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</si>
  <si>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</si>
  <si>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</si>
  <si>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</si>
  <si>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</si>
  <si>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</si>
  <si>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</si>
  <si>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</si>
  <si>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</si>
  <si>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</si>
  <si>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</si>
  <si>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</si>
  <si>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</si>
  <si>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</si>
  <si>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</si>
  <si>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</si>
  <si>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</si>
  <si>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</si>
  <si>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</si>
  <si>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</si>
  <si>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</si>
  <si>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</si>
  <si>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</si>
  <si>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</si>
  <si>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</si>
  <si>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</si>
  <si>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</si>
  <si>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</si>
  <si>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</si>
  <si>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</si>
  <si>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</si>
  <si>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</si>
  <si>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</si>
  <si>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</si>
  <si>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</si>
  <si>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</si>
  <si>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</si>
  <si>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</si>
  <si>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</si>
  <si>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</si>
  <si>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</si>
  <si>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</si>
  <si>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</si>
  <si>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</si>
  <si>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</si>
  <si>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</si>
  <si>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</si>
  <si>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</si>
  <si>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</si>
  <si>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</si>
  <si>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</si>
  <si>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</si>
  <si>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</si>
  <si>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</si>
  <si>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</si>
  <si>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</si>
  <si>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</si>
  <si>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</si>
  <si>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</si>
  <si>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</si>
  <si>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</si>
  <si>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</si>
  <si>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</si>
  <si>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</si>
  <si>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</si>
  <si>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</si>
  <si>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</si>
  <si>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</si>
  <si>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</si>
  <si>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</si>
  <si>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</si>
  <si>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</si>
  <si>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</si>
  <si>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</si>
  <si>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</si>
  <si>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</si>
  <si>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</si>
  <si>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</si>
  <si>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</si>
  <si>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</si>
  <si>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</si>
  <si>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</si>
  <si>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</si>
  <si>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</si>
  <si>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</si>
  <si>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</si>
  <si>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</si>
  <si>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</si>
  <si>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</si>
  <si>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</si>
  <si>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</si>
  <si>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</si>
  <si>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</si>
  <si>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</si>
  <si>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</si>
  <si>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</si>
  <si>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</si>
  <si>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</si>
  <si>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</si>
  <si>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</si>
  <si>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</si>
  <si>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</si>
  <si>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</si>
  <si>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</si>
  <si>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</si>
  <si>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</si>
  <si>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</si>
  <si>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</si>
  <si>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</si>
  <si>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</si>
  <si>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</si>
  <si>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</si>
  <si>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</si>
  <si>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</si>
  <si>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</si>
  <si>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</si>
  <si>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</si>
  <si>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</si>
  <si>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</si>
  <si>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</si>
  <si>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</si>
  <si>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</si>
  <si>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</si>
  <si>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</si>
  <si>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</si>
  <si>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</si>
  <si>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</si>
  <si>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</si>
  <si>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</si>
  <si>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</si>
  <si>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</si>
  <si>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</si>
  <si>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</si>
  <si>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</si>
  <si>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</si>
  <si>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</si>
  <si>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</si>
  <si>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</si>
  <si>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</si>
  <si>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</si>
  <si>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</si>
  <si>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</si>
  <si>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</si>
  <si>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</si>
  <si>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</si>
  <si>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</si>
  <si>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</si>
  <si>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</si>
  <si>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</si>
  <si>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</si>
  <si>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</si>
  <si>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miasajid</t>
  </si>
  <si>
    <t>Asghar,Sajid</t>
  </si>
  <si>
    <t>malbaraa</t>
  </si>
  <si>
    <t>Malkawi,Baraa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</si>
  <si>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</si>
  <si>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</si>
  <si>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</si>
  <si>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</si>
  <si>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</si>
  <si>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</si>
  <si>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</si>
  <si>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</si>
  <si>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</si>
  <si>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</si>
  <si>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</si>
  <si>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</si>
  <si>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</si>
  <si>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</si>
  <si>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</si>
  <si>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</si>
  <si>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</si>
  <si>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</si>
  <si>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</si>
  <si>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</si>
  <si>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</si>
  <si>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</si>
  <si>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</si>
  <si>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</si>
  <si>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</si>
  <si>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</si>
  <si>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</si>
  <si>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</si>
  <si>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</si>
  <si>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</si>
  <si>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</si>
  <si>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</si>
  <si>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</si>
  <si>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</si>
  <si>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</si>
  <si>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DUFIE MARY</t>
  </si>
  <si>
    <t>GIDEON WANJALA WEYAULA</t>
  </si>
  <si>
    <t>CYRIL DELA AMAVIE</t>
  </si>
  <si>
    <t>FATU F SARCKOH BONARWOLO</t>
  </si>
  <si>
    <t>Kinuthia,Caroline Wachera</t>
  </si>
  <si>
    <t>Missed SOS punch</t>
  </si>
  <si>
    <t>Annual leave</t>
  </si>
  <si>
    <t>Social leave</t>
  </si>
  <si>
    <t>Ramp UP AA</t>
  </si>
  <si>
    <t>Beaverment leave</t>
  </si>
  <si>
    <t>COMP OFF</t>
  </si>
  <si>
    <t>AA resignation on next 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</si>
</sst>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54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9" fontId="2" fillId="0" borderId="27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9" fontId="2" fillId="0" borderId="27" xfId="1" applyFont="1" applyBorder="1" applyAlignment="1">
      <alignment horizontal="center"/>
    </xf>
    <xf numFmtId="9" fontId="10" fillId="0" borderId="27" xfId="1" applyFont="1" applyBorder="1" applyAlignment="1">
      <alignment horizontal="center" vertical="center"/>
    </xf>
    <xf numFmtId="9" fontId="2" fillId="0" borderId="1" xfId="1" applyFont="1" applyBorder="1"/>
    <xf numFmtId="49" fontId="2" fillId="0" borderId="0" xfId="1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790"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789"/>
    </tableStyle>
    <tableStyle name="Table Style 2" pivot="0" count="2" xr9:uid="{18C1CFA2-D327-418D-9CE3-705B1B857C1A}">
      <tableStyleElement type="headerRow" dxfId="788"/>
      <tableStyleElement type="firstRowStripe" dxfId="787"/>
    </tableStyle>
  </tableStyles>
  <colors>
    <mruColors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hamreh\Downloads\employeeList-AUH1%20(28).csv" TargetMode="External"/><Relationship Id="rId1" Type="http://schemas.openxmlformats.org/officeDocument/2006/relationships/externalLinkPath" Target="file:///C:\Users\mhamreh\Downloads\employeeList-AUH1%20(28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List-AUH1 (28)"/>
    </sheetNames>
    <sheetDataSet>
      <sheetData sheetId="0" refreshError="1">
        <row r="1">
          <cell r="A1" t="str">
            <v>Employee ID</v>
          </cell>
          <cell r="B1" t="str">
            <v>User ID</v>
          </cell>
          <cell r="C1" t="str">
            <v>Employee Name</v>
          </cell>
          <cell r="D1" t="str">
            <v>Badge Barcode ID</v>
          </cell>
          <cell r="E1" t="str">
            <v>Department ID</v>
          </cell>
          <cell r="F1" t="str">
            <v>Employment Start Date</v>
          </cell>
          <cell r="G1" t="str">
            <v>Employment Type</v>
          </cell>
          <cell r="H1" t="str">
            <v>Employee Status</v>
          </cell>
          <cell r="I1" t="str">
            <v>Manager Name</v>
          </cell>
          <cell r="J1" t="str">
            <v>Temp Agency Code</v>
          </cell>
        </row>
        <row r="2">
          <cell r="A2">
            <v>206192267</v>
          </cell>
          <cell r="B2" t="str">
            <v>fcherono</v>
          </cell>
          <cell r="C2" t="str">
            <v>Cherono,Faith</v>
          </cell>
          <cell r="D2">
            <v>11446549</v>
          </cell>
          <cell r="E2">
            <v>1299</v>
          </cell>
          <cell r="F2" t="str">
            <v>Mon Oct 06 00:00:00 UTC 2025</v>
          </cell>
          <cell r="G2" t="str">
            <v>3PTY</v>
          </cell>
          <cell r="H2" t="str">
            <v>Active</v>
          </cell>
          <cell r="I2" t="str">
            <v>Scaria,Varghese</v>
          </cell>
          <cell r="J2" t="str">
            <v>EFSV</v>
          </cell>
        </row>
        <row r="3">
          <cell r="A3">
            <v>206137340</v>
          </cell>
          <cell r="B3" t="str">
            <v>kevndung</v>
          </cell>
          <cell r="C3" t="str">
            <v>Ndungu Kosgei,Kevin</v>
          </cell>
          <cell r="D3">
            <v>197036</v>
          </cell>
          <cell r="E3">
            <v>1299</v>
          </cell>
          <cell r="F3" t="str">
            <v>Mon Sep 29 00:00:00 UTC 2025</v>
          </cell>
          <cell r="G3" t="str">
            <v>3PTY</v>
          </cell>
          <cell r="H3" t="str">
            <v>Active</v>
          </cell>
          <cell r="I3" t="str">
            <v>Thomas,Binil</v>
          </cell>
          <cell r="J3" t="str">
            <v>FLO</v>
          </cell>
        </row>
        <row r="4">
          <cell r="A4">
            <v>203908324</v>
          </cell>
          <cell r="B4" t="str">
            <v>nkhonesn</v>
          </cell>
          <cell r="C4" t="str">
            <v>Khonje,Esnart</v>
          </cell>
          <cell r="D4">
            <v>13950607</v>
          </cell>
          <cell r="E4">
            <v>1299</v>
          </cell>
          <cell r="F4" t="str">
            <v>Mon Sep 02 00:00:00 UTC 2024</v>
          </cell>
          <cell r="G4" t="str">
            <v>3PTY</v>
          </cell>
          <cell r="H4" t="str">
            <v>Active</v>
          </cell>
          <cell r="I4" t="str">
            <v>Ansari,Ammar Abdullah</v>
          </cell>
          <cell r="J4" t="str">
            <v>FLO</v>
          </cell>
        </row>
        <row r="5">
          <cell r="A5">
            <v>203965177</v>
          </cell>
          <cell r="B5" t="str">
            <v>ujstanle</v>
          </cell>
          <cell r="C5" t="str">
            <v>STANLEY DEGLE,JOSHUA</v>
          </cell>
          <cell r="D5">
            <v>14694675</v>
          </cell>
          <cell r="E5">
            <v>1299</v>
          </cell>
          <cell r="F5" t="str">
            <v>Mon Sep 09 00:00:00 UTC 2024</v>
          </cell>
          <cell r="G5" t="str">
            <v>3PTY</v>
          </cell>
          <cell r="H5" t="str">
            <v>Active</v>
          </cell>
          <cell r="I5" t="str">
            <v>elrashid,Hassan</v>
          </cell>
          <cell r="J5" t="str">
            <v>FLO</v>
          </cell>
        </row>
        <row r="6">
          <cell r="A6">
            <v>203555403</v>
          </cell>
          <cell r="B6" t="str">
            <v>chsampan</v>
          </cell>
          <cell r="C6" t="str">
            <v>Sampana,Christiana Yamigmah</v>
          </cell>
          <cell r="D6">
            <v>14655934</v>
          </cell>
          <cell r="E6">
            <v>1299</v>
          </cell>
          <cell r="F6" t="str">
            <v>Thu Jun 27 00:00:00 UTC 2024</v>
          </cell>
          <cell r="G6" t="str">
            <v>3PTY</v>
          </cell>
          <cell r="H6" t="str">
            <v>Active</v>
          </cell>
          <cell r="I6" t="str">
            <v>Sohail,Anis</v>
          </cell>
          <cell r="J6" t="str">
            <v>FLO</v>
          </cell>
        </row>
        <row r="7">
          <cell r="A7">
            <v>204319805</v>
          </cell>
          <cell r="B7" t="str">
            <v>thtorgbo</v>
          </cell>
          <cell r="C7" t="str">
            <v>Torgbor,Theophilus</v>
          </cell>
          <cell r="D7">
            <v>14498368</v>
          </cell>
          <cell r="E7">
            <v>1299</v>
          </cell>
          <cell r="F7" t="str">
            <v>Thu Oct 24 00:00:00 UTC 2024</v>
          </cell>
          <cell r="G7" t="str">
            <v>3PTY</v>
          </cell>
          <cell r="H7" t="str">
            <v>Active</v>
          </cell>
          <cell r="I7" t="str">
            <v>Meera,Bava Bahrudeen</v>
          </cell>
          <cell r="J7" t="str">
            <v>QUES</v>
          </cell>
        </row>
        <row r="8">
          <cell r="A8">
            <v>204094494</v>
          </cell>
          <cell r="B8" t="str">
            <v>dabarich</v>
          </cell>
          <cell r="C8" t="str">
            <v>Ababio,Richard Boateng</v>
          </cell>
          <cell r="D8">
            <v>12727254</v>
          </cell>
          <cell r="E8">
            <v>1299</v>
          </cell>
          <cell r="F8" t="str">
            <v>Thu Sep 26 00:00:00 UTC 2024</v>
          </cell>
          <cell r="G8" t="str">
            <v>3PTY</v>
          </cell>
          <cell r="H8" t="str">
            <v>Active</v>
          </cell>
          <cell r="I8" t="str">
            <v>Thomas,Binil</v>
          </cell>
          <cell r="J8" t="str">
            <v>QUES</v>
          </cell>
        </row>
        <row r="9">
          <cell r="A9">
            <v>203468747</v>
          </cell>
          <cell r="B9" t="str">
            <v>reginkum</v>
          </cell>
          <cell r="C9" t="str">
            <v>Kumi,Regina Afua</v>
          </cell>
          <cell r="D9">
            <v>12422298</v>
          </cell>
          <cell r="E9">
            <v>1299</v>
          </cell>
          <cell r="F9" t="str">
            <v>Thu Jun 13 00:00:00 UTC 2024</v>
          </cell>
          <cell r="G9" t="str">
            <v>3PTY</v>
          </cell>
          <cell r="H9" t="str">
            <v>Active</v>
          </cell>
          <cell r="I9" t="str">
            <v>Narshad,Muhammad Ashik</v>
          </cell>
          <cell r="J9" t="str">
            <v>FLO</v>
          </cell>
        </row>
        <row r="10">
          <cell r="A10">
            <v>206491331</v>
          </cell>
          <cell r="B10" t="str">
            <v>bocollns</v>
          </cell>
          <cell r="C10" t="str">
            <v>BORGUTT,COLLNS KIPCHIRCHIR</v>
          </cell>
          <cell r="D10">
            <v>11160919</v>
          </cell>
          <cell r="E10">
            <v>1299</v>
          </cell>
          <cell r="F10" t="str">
            <v>Mon Nov 10 00:00:00 UTC 2025</v>
          </cell>
          <cell r="G10" t="str">
            <v>3PTY</v>
          </cell>
          <cell r="H10" t="str">
            <v>Active</v>
          </cell>
          <cell r="I10" t="str">
            <v>Lakkireddy,Sai Raghavendra Reddy</v>
          </cell>
          <cell r="J10" t="str">
            <v>EFSV</v>
          </cell>
        </row>
        <row r="11">
          <cell r="A11">
            <v>204010440</v>
          </cell>
          <cell r="B11" t="str">
            <v>kssekale</v>
          </cell>
          <cell r="C11" t="str">
            <v>SSEKALEGGA,KEVIN</v>
          </cell>
          <cell r="D11">
            <v>14993711</v>
          </cell>
          <cell r="E11">
            <v>1299</v>
          </cell>
          <cell r="F11" t="str">
            <v>Mon Aug 25 00:00:00 UTC 2025</v>
          </cell>
          <cell r="G11" t="str">
            <v>3PTY</v>
          </cell>
          <cell r="H11" t="str">
            <v>Active</v>
          </cell>
          <cell r="I11" t="str">
            <v>Lakkireddy,Sai Raghavendra Reddy</v>
          </cell>
          <cell r="J11" t="str">
            <v>DULS</v>
          </cell>
        </row>
        <row r="12">
          <cell r="A12">
            <v>204868854</v>
          </cell>
          <cell r="B12" t="str">
            <v>mensacon</v>
          </cell>
          <cell r="C12" t="str">
            <v>Mensah,Confidence</v>
          </cell>
          <cell r="D12">
            <v>11910781</v>
          </cell>
          <cell r="E12">
            <v>1299</v>
          </cell>
          <cell r="F12" t="str">
            <v>Mon Feb 03 00:00:00 UTC 2025</v>
          </cell>
          <cell r="G12" t="str">
            <v>3PTY</v>
          </cell>
          <cell r="H12" t="str">
            <v>Active</v>
          </cell>
          <cell r="I12" t="str">
            <v>Katyal,Varun</v>
          </cell>
          <cell r="J12" t="str">
            <v>QUES</v>
          </cell>
        </row>
        <row r="13">
          <cell r="A13">
            <v>204072320</v>
          </cell>
          <cell r="B13" t="str">
            <v>mosaselv</v>
          </cell>
          <cell r="C13" t="str">
            <v>MOSAS,SELVA</v>
          </cell>
          <cell r="D13">
            <v>14394292</v>
          </cell>
          <cell r="E13">
            <v>1299</v>
          </cell>
          <cell r="F13" t="str">
            <v>Mon Jan 27 00:00:00 UTC 2025</v>
          </cell>
          <cell r="G13" t="str">
            <v>3PTY</v>
          </cell>
          <cell r="H13" t="str">
            <v>Active</v>
          </cell>
          <cell r="I13" t="str">
            <v>Meera,Bava Bahrudeen</v>
          </cell>
          <cell r="J13" t="str">
            <v>DULS</v>
          </cell>
        </row>
        <row r="14">
          <cell r="A14">
            <v>207470999</v>
          </cell>
          <cell r="B14" t="str">
            <v>emmaabez</v>
          </cell>
          <cell r="C14" t="str">
            <v>Abeka,Emmanuel</v>
          </cell>
          <cell r="D14">
            <v>14244915</v>
          </cell>
          <cell r="E14">
            <v>1712</v>
          </cell>
          <cell r="F14" t="str">
            <v>Sun May 10 00:00:00 UTC 2026</v>
          </cell>
          <cell r="G14" t="str">
            <v>3PTY</v>
          </cell>
          <cell r="H14" t="str">
            <v>Active</v>
          </cell>
          <cell r="I14" t="str">
            <v>ramadoss,vadivel</v>
          </cell>
          <cell r="J14" t="str">
            <v>KBTS</v>
          </cell>
        </row>
        <row r="15">
          <cell r="A15">
            <v>206072876</v>
          </cell>
          <cell r="B15" t="str">
            <v>cjoheyia</v>
          </cell>
          <cell r="C15" t="str">
            <v>Eyiah,John</v>
          </cell>
          <cell r="D15">
            <v>13572112</v>
          </cell>
          <cell r="E15">
            <v>1299</v>
          </cell>
          <cell r="F15" t="str">
            <v>Mon Sep 22 00:00:00 UTC 2025</v>
          </cell>
          <cell r="G15" t="str">
            <v>3PTY</v>
          </cell>
          <cell r="H15" t="str">
            <v>Active</v>
          </cell>
          <cell r="I15" t="str">
            <v>Katyal,Varun</v>
          </cell>
          <cell r="J15" t="str">
            <v>FLO</v>
          </cell>
        </row>
        <row r="16">
          <cell r="A16">
            <v>203879776</v>
          </cell>
          <cell r="B16" t="str">
            <v>avmdshah</v>
          </cell>
          <cell r="C16" t="str">
            <v>Ansari,Md Shahid</v>
          </cell>
          <cell r="D16">
            <v>14170379</v>
          </cell>
          <cell r="E16">
            <v>1299</v>
          </cell>
          <cell r="F16" t="str">
            <v>Mon Sep 23 00:00:00 UTC 2024</v>
          </cell>
          <cell r="G16" t="str">
            <v>3PTY</v>
          </cell>
          <cell r="H16" t="str">
            <v>Active</v>
          </cell>
          <cell r="I16" t="str">
            <v>Lakkireddy,Sai Raghavendra Reddy</v>
          </cell>
          <cell r="J16" t="str">
            <v>ADEC</v>
          </cell>
        </row>
        <row r="17">
          <cell r="A17">
            <v>203881657</v>
          </cell>
          <cell r="B17" t="str">
            <v>tanguimm</v>
          </cell>
          <cell r="C17" t="str">
            <v>Tangu,Immaculate Wiysanyuy</v>
          </cell>
          <cell r="D17">
            <v>12037092</v>
          </cell>
          <cell r="E17">
            <v>1299</v>
          </cell>
          <cell r="F17" t="str">
            <v>Mon Aug 26 00:00:00 UTC 2024</v>
          </cell>
          <cell r="G17" t="str">
            <v>3PTY</v>
          </cell>
          <cell r="H17" t="str">
            <v>Active</v>
          </cell>
          <cell r="I17" t="str">
            <v>Thomas,Binil</v>
          </cell>
          <cell r="J17" t="str">
            <v>FLO</v>
          </cell>
        </row>
        <row r="18">
          <cell r="A18">
            <v>206953810</v>
          </cell>
          <cell r="B18" t="str">
            <v>pbmateke</v>
          </cell>
          <cell r="C18" t="str">
            <v>MATEKE,BRIAN</v>
          </cell>
          <cell r="D18">
            <v>15389998</v>
          </cell>
          <cell r="E18">
            <v>1299</v>
          </cell>
          <cell r="F18" t="str">
            <v>Mon Jan 26 00:00:00 UTC 2026</v>
          </cell>
          <cell r="G18" t="str">
            <v>3PTY</v>
          </cell>
          <cell r="H18" t="str">
            <v>Active</v>
          </cell>
          <cell r="I18" t="str">
            <v>Sohail,Anis</v>
          </cell>
          <cell r="J18" t="str">
            <v>DULS</v>
          </cell>
        </row>
        <row r="19">
          <cell r="A19">
            <v>205996686</v>
          </cell>
          <cell r="B19" t="str">
            <v>timfelig</v>
          </cell>
          <cell r="C19" t="str">
            <v>TIMAH,FELICIA</v>
          </cell>
          <cell r="D19">
            <v>14146774</v>
          </cell>
          <cell r="E19">
            <v>1299</v>
          </cell>
          <cell r="F19" t="str">
            <v>Mon Sep 15 00:00:00 UTC 2025</v>
          </cell>
          <cell r="G19" t="str">
            <v>3PTY</v>
          </cell>
          <cell r="H19" t="str">
            <v>Active</v>
          </cell>
          <cell r="I19" t="str">
            <v>Dinberu,Eden</v>
          </cell>
          <cell r="J19" t="str">
            <v>FLO</v>
          </cell>
        </row>
        <row r="20">
          <cell r="A20">
            <v>205853578</v>
          </cell>
          <cell r="B20" t="str">
            <v>chepkoil</v>
          </cell>
          <cell r="C20" t="str">
            <v>CHEPKOIR,LOICE</v>
          </cell>
          <cell r="D20">
            <v>224198</v>
          </cell>
          <cell r="E20">
            <v>1299</v>
          </cell>
          <cell r="F20" t="str">
            <v>Mon Aug 25 00:00:00 UTC 2025</v>
          </cell>
          <cell r="G20" t="str">
            <v>3PTY</v>
          </cell>
          <cell r="H20" t="str">
            <v>Active</v>
          </cell>
          <cell r="I20" t="str">
            <v>Narshad,Muhammad Ashik</v>
          </cell>
          <cell r="J20" t="str">
            <v>EFSV</v>
          </cell>
        </row>
        <row r="21">
          <cell r="A21">
            <v>205961664</v>
          </cell>
          <cell r="B21" t="str">
            <v>ekhannau</v>
          </cell>
          <cell r="C21" t="str">
            <v>Khan,Naushad</v>
          </cell>
          <cell r="D21">
            <v>12022803</v>
          </cell>
          <cell r="E21">
            <v>1712</v>
          </cell>
          <cell r="F21" t="str">
            <v>Fri Sep 05 00:00:00 UTC 2025</v>
          </cell>
          <cell r="G21" t="str">
            <v>3PTY</v>
          </cell>
          <cell r="H21" t="str">
            <v>Active</v>
          </cell>
          <cell r="I21" t="str">
            <v>Rizvan,Mohamed</v>
          </cell>
          <cell r="J21" t="str">
            <v>TDTS</v>
          </cell>
        </row>
        <row r="22">
          <cell r="A22">
            <v>207865018</v>
          </cell>
          <cell r="B22" t="str">
            <v>hakanton</v>
          </cell>
          <cell r="C22" t="str">
            <v>Akentyev,Anton</v>
          </cell>
          <cell r="D22">
            <v>8772611</v>
          </cell>
          <cell r="E22">
            <v>1200</v>
          </cell>
          <cell r="F22" t="str">
            <v>Sun Jul 05 00:00:00 UTC 2026</v>
          </cell>
          <cell r="G22" t="str">
            <v>3PTY</v>
          </cell>
          <cell r="H22" t="str">
            <v>Active</v>
          </cell>
          <cell r="I22" t="str">
            <v>Alhashmi,Abdulla</v>
          </cell>
          <cell r="J22" t="str">
            <v>SSIS</v>
          </cell>
        </row>
        <row r="23">
          <cell r="A23">
            <v>203469452</v>
          </cell>
          <cell r="B23" t="str">
            <v>emmbrobb</v>
          </cell>
          <cell r="C23" t="str">
            <v>BROBBEY,EMMANUEL</v>
          </cell>
          <cell r="D23">
            <v>14429353</v>
          </cell>
          <cell r="E23">
            <v>1299</v>
          </cell>
          <cell r="F23" t="str">
            <v>Thu Jun 13 00:00:00 UTC 2024</v>
          </cell>
          <cell r="G23" t="str">
            <v>3PTY</v>
          </cell>
          <cell r="H23" t="str">
            <v>Active</v>
          </cell>
          <cell r="I23" t="str">
            <v>Sohail,Anis</v>
          </cell>
          <cell r="J23" t="str">
            <v>ADEC</v>
          </cell>
        </row>
        <row r="24">
          <cell r="A24">
            <v>204967151</v>
          </cell>
          <cell r="B24" t="str">
            <v>koomsoer</v>
          </cell>
          <cell r="C24" t="str">
            <v>KOOMSON,ERIC KUM</v>
          </cell>
          <cell r="D24">
            <v>12537899</v>
          </cell>
          <cell r="E24">
            <v>1299</v>
          </cell>
          <cell r="F24" t="str">
            <v>Wed Jun 18 00:00:00 UTC 2025</v>
          </cell>
          <cell r="G24" t="str">
            <v>3PTY</v>
          </cell>
          <cell r="H24" t="str">
            <v>Active</v>
          </cell>
          <cell r="I24" t="str">
            <v>Katyal,Varun</v>
          </cell>
          <cell r="J24" t="str">
            <v>DULS</v>
          </cell>
        </row>
        <row r="25">
          <cell r="A25">
            <v>203965413</v>
          </cell>
          <cell r="B25" t="str">
            <v>chrafful</v>
          </cell>
          <cell r="C25" t="str">
            <v>Afful,Christopher</v>
          </cell>
          <cell r="D25">
            <v>12526479</v>
          </cell>
          <cell r="E25">
            <v>1299</v>
          </cell>
          <cell r="F25" t="str">
            <v>Mon Sep 09 00:00:00 UTC 2024</v>
          </cell>
          <cell r="G25" t="str">
            <v>3PTY</v>
          </cell>
          <cell r="H25" t="str">
            <v>Active</v>
          </cell>
          <cell r="I25" t="str">
            <v>elrashid,Hassan</v>
          </cell>
          <cell r="J25" t="str">
            <v>FLO</v>
          </cell>
        </row>
        <row r="26">
          <cell r="A26">
            <v>203555405</v>
          </cell>
          <cell r="B26" t="str">
            <v>essummau</v>
          </cell>
          <cell r="C26" t="str">
            <v>Essumang,Mary</v>
          </cell>
          <cell r="D26">
            <v>11229307</v>
          </cell>
          <cell r="E26">
            <v>1299</v>
          </cell>
          <cell r="F26" t="str">
            <v>Thu Jun 27 00:00:00 UTC 2024</v>
          </cell>
          <cell r="G26" t="str">
            <v>3PTY</v>
          </cell>
          <cell r="H26" t="str">
            <v>Active</v>
          </cell>
          <cell r="I26" t="str">
            <v>Meera,Bava Bahrudeen</v>
          </cell>
          <cell r="J26" t="str">
            <v>FLO</v>
          </cell>
        </row>
        <row r="27">
          <cell r="A27">
            <v>206897649</v>
          </cell>
          <cell r="B27" t="str">
            <v>gideopwa</v>
          </cell>
          <cell r="C27" t="str">
            <v>WANJALA WEYAULA,GIDEON</v>
          </cell>
          <cell r="D27">
            <v>12901466</v>
          </cell>
          <cell r="E27">
            <v>1299</v>
          </cell>
          <cell r="F27" t="str">
            <v>Tue Aug 04 00:00:00 UTC 2026</v>
          </cell>
          <cell r="G27" t="str">
            <v>3PTY</v>
          </cell>
          <cell r="H27" t="str">
            <v>Active</v>
          </cell>
          <cell r="I27" t="str">
            <v>Scaria,Varghese</v>
          </cell>
          <cell r="J27" t="str">
            <v>FLO</v>
          </cell>
        </row>
        <row r="28">
          <cell r="A28">
            <v>204013686</v>
          </cell>
          <cell r="B28" t="str">
            <v>pagyeiok</v>
          </cell>
          <cell r="C28" t="str">
            <v>Agyei Okai,Prince</v>
          </cell>
          <cell r="D28">
            <v>12014727</v>
          </cell>
          <cell r="E28">
            <v>1299</v>
          </cell>
          <cell r="F28" t="str">
            <v>Mon Sep 16 00:00:00 UTC 2024</v>
          </cell>
          <cell r="G28" t="str">
            <v>3PTY</v>
          </cell>
          <cell r="H28" t="str">
            <v>Active</v>
          </cell>
          <cell r="I28" t="str">
            <v>Ansari,Ammar Abdullah</v>
          </cell>
          <cell r="J28" t="str">
            <v>FLO</v>
          </cell>
        </row>
        <row r="29">
          <cell r="A29">
            <v>204373675</v>
          </cell>
          <cell r="B29" t="str">
            <v>hishkutt</v>
          </cell>
          <cell r="C29" t="str">
            <v>Kutty,Hisham hashim Hashimon Essa</v>
          </cell>
          <cell r="D29">
            <v>11795406</v>
          </cell>
          <cell r="E29">
            <v>1299</v>
          </cell>
          <cell r="F29" t="str">
            <v>Mon Oct 28 00:00:00 UTC 2024</v>
          </cell>
          <cell r="G29" t="str">
            <v>3PTY</v>
          </cell>
          <cell r="H29" t="str">
            <v>Active</v>
          </cell>
          <cell r="I29" t="str">
            <v>Sohail,Anis</v>
          </cell>
          <cell r="J29" t="str">
            <v>ADEC</v>
          </cell>
        </row>
        <row r="30">
          <cell r="A30">
            <v>205236908</v>
          </cell>
          <cell r="B30" t="str">
            <v>adnjames</v>
          </cell>
          <cell r="C30" t="str">
            <v>ADADE,JAMES</v>
          </cell>
          <cell r="D30">
            <v>12082938</v>
          </cell>
          <cell r="E30">
            <v>1299</v>
          </cell>
          <cell r="F30" t="str">
            <v>Mon Jun 23 00:00:00 UTC 2025</v>
          </cell>
          <cell r="G30" t="str">
            <v>3PTY</v>
          </cell>
          <cell r="H30" t="str">
            <v>Active</v>
          </cell>
          <cell r="I30" t="str">
            <v>Katyal,Varun</v>
          </cell>
          <cell r="J30" t="str">
            <v>DULS</v>
          </cell>
        </row>
        <row r="31">
          <cell r="A31">
            <v>202198840</v>
          </cell>
          <cell r="B31" t="str">
            <v>judibaba</v>
          </cell>
          <cell r="C31" t="str">
            <v>Baba,Judith Atampoka</v>
          </cell>
          <cell r="D31">
            <v>11718327</v>
          </cell>
          <cell r="E31">
            <v>1299</v>
          </cell>
          <cell r="F31" t="str">
            <v>Mon Oct 21 00:00:00 UTC 2024</v>
          </cell>
          <cell r="G31" t="str">
            <v>3PTY</v>
          </cell>
          <cell r="H31" t="str">
            <v>Active</v>
          </cell>
          <cell r="I31" t="str">
            <v>Thomas,Binil</v>
          </cell>
          <cell r="J31" t="str">
            <v>QUES</v>
          </cell>
        </row>
        <row r="32">
          <cell r="A32">
            <v>205275634</v>
          </cell>
          <cell r="B32" t="str">
            <v>andleemu</v>
          </cell>
          <cell r="C32" t="str">
            <v>Ndeke,Lee Muriuki</v>
          </cell>
          <cell r="D32">
            <v>324658</v>
          </cell>
          <cell r="E32">
            <v>1299</v>
          </cell>
          <cell r="F32" t="str">
            <v>Thu May 15 00:00:00 UTC 2025</v>
          </cell>
          <cell r="G32" t="str">
            <v>3PTY</v>
          </cell>
          <cell r="H32" t="str">
            <v>Active</v>
          </cell>
          <cell r="I32" t="str">
            <v>Ansari,Ammar Abdullah</v>
          </cell>
          <cell r="J32" t="str">
            <v>EFSV</v>
          </cell>
        </row>
        <row r="33">
          <cell r="A33">
            <v>205638324</v>
          </cell>
          <cell r="B33" t="str">
            <v>nghasine</v>
          </cell>
          <cell r="C33" t="str">
            <v>Ghale,Sine</v>
          </cell>
          <cell r="D33">
            <v>13796919</v>
          </cell>
          <cell r="E33">
            <v>1712</v>
          </cell>
          <cell r="F33" t="str">
            <v>Tue Jul 08 00:00:00 UTC 2025</v>
          </cell>
          <cell r="G33" t="str">
            <v>3PTY</v>
          </cell>
          <cell r="H33" t="str">
            <v>Active</v>
          </cell>
          <cell r="I33" t="str">
            <v>Rizvan,Mohamed</v>
          </cell>
          <cell r="J33" t="str">
            <v>KBTS</v>
          </cell>
        </row>
        <row r="34">
          <cell r="A34">
            <v>203737200</v>
          </cell>
          <cell r="B34" t="str">
            <v>kabhenry</v>
          </cell>
          <cell r="C34" t="str">
            <v>KABANDA,HENRY PETER</v>
          </cell>
          <cell r="D34">
            <v>13160463</v>
          </cell>
          <cell r="E34">
            <v>1299</v>
          </cell>
          <cell r="F34" t="str">
            <v>Mon Jul 29 00:00:00 UTC 2024</v>
          </cell>
          <cell r="G34" t="str">
            <v>3PTY</v>
          </cell>
          <cell r="H34" t="str">
            <v>Active</v>
          </cell>
          <cell r="I34" t="str">
            <v>Katyal,Varun</v>
          </cell>
          <cell r="J34" t="str">
            <v>DULS</v>
          </cell>
        </row>
        <row r="35">
          <cell r="A35">
            <v>204246613</v>
          </cell>
          <cell r="B35" t="str">
            <v>talenzim</v>
          </cell>
          <cell r="C35" t="str">
            <v>Zimbuma,Talent</v>
          </cell>
          <cell r="D35">
            <v>13207118</v>
          </cell>
          <cell r="E35">
            <v>1299</v>
          </cell>
          <cell r="F35" t="str">
            <v>Mon Oct 14 00:00:00 UTC 2024</v>
          </cell>
          <cell r="G35" t="str">
            <v>3PTY</v>
          </cell>
          <cell r="H35" t="str">
            <v>Active</v>
          </cell>
          <cell r="I35" t="str">
            <v>Katyal,Varun</v>
          </cell>
          <cell r="J35" t="str">
            <v>QUES</v>
          </cell>
        </row>
        <row r="36">
          <cell r="A36">
            <v>206873870</v>
          </cell>
          <cell r="B36" t="str">
            <v>elimukis</v>
          </cell>
          <cell r="C36" t="str">
            <v>MUKISA WABWIRE,ELIJAH</v>
          </cell>
          <cell r="D36">
            <v>14914049</v>
          </cell>
          <cell r="E36">
            <v>1299</v>
          </cell>
          <cell r="F36" t="str">
            <v>Mon Dec 29 00:00:00 UTC 2025</v>
          </cell>
          <cell r="G36" t="str">
            <v>3PTY</v>
          </cell>
          <cell r="H36" t="str">
            <v>Active</v>
          </cell>
          <cell r="I36" t="str">
            <v>Katyal,Varun</v>
          </cell>
          <cell r="J36" t="str">
            <v>DULS</v>
          </cell>
        </row>
        <row r="37">
          <cell r="A37">
            <v>206875142</v>
          </cell>
          <cell r="B37" t="str">
            <v>ddumalla</v>
          </cell>
          <cell r="C37" t="str">
            <v>DDUMBA SSENTAMU,ALLAN</v>
          </cell>
          <cell r="D37">
            <v>12068071</v>
          </cell>
          <cell r="E37">
            <v>1299</v>
          </cell>
          <cell r="F37" t="str">
            <v>Mon Dec 29 00:00:00 UTC 2025</v>
          </cell>
          <cell r="G37" t="str">
            <v>3PTY</v>
          </cell>
          <cell r="H37" t="str">
            <v>Active</v>
          </cell>
          <cell r="I37" t="str">
            <v>Sohail,Anis</v>
          </cell>
          <cell r="J37" t="str">
            <v>DULS</v>
          </cell>
        </row>
        <row r="38">
          <cell r="A38">
            <v>206926476</v>
          </cell>
          <cell r="B38" t="str">
            <v>musittez</v>
          </cell>
          <cell r="C38" t="str">
            <v>TEZIKUBA,MUSITAFA</v>
          </cell>
          <cell r="D38">
            <v>12366814</v>
          </cell>
          <cell r="E38">
            <v>1299</v>
          </cell>
          <cell r="F38" t="str">
            <v>Thu Jan 15 00:00:00 UTC 2026</v>
          </cell>
          <cell r="G38" t="str">
            <v>3PTY</v>
          </cell>
          <cell r="H38" t="str">
            <v>Active</v>
          </cell>
          <cell r="I38" t="str">
            <v>elrashid,Hassan</v>
          </cell>
          <cell r="J38" t="str">
            <v>DULS</v>
          </cell>
        </row>
        <row r="39">
          <cell r="A39">
            <v>204095806</v>
          </cell>
          <cell r="B39" t="str">
            <v>nsamkeri</v>
          </cell>
          <cell r="C39" t="str">
            <v>Nsambimana,Kerim</v>
          </cell>
          <cell r="D39">
            <v>15382853</v>
          </cell>
          <cell r="E39">
            <v>1299</v>
          </cell>
          <cell r="F39" t="str">
            <v>Thu Sep 26 00:00:00 UTC 2024</v>
          </cell>
          <cell r="G39" t="str">
            <v>3PTY</v>
          </cell>
          <cell r="H39" t="str">
            <v>Active</v>
          </cell>
          <cell r="I39" t="str">
            <v>Lakkireddy,Sai Raghavendra Reddy</v>
          </cell>
          <cell r="J39" t="str">
            <v>QUES</v>
          </cell>
        </row>
        <row r="40">
          <cell r="A40">
            <v>206260776</v>
          </cell>
          <cell r="B40" t="str">
            <v>kyclaust</v>
          </cell>
          <cell r="C40" t="str">
            <v>Kyazze,Clause</v>
          </cell>
          <cell r="D40">
            <v>12778737</v>
          </cell>
          <cell r="E40">
            <v>1712</v>
          </cell>
          <cell r="F40" t="str">
            <v>Sun Oct 12 00:00:00 UTC 2025</v>
          </cell>
          <cell r="G40" t="str">
            <v>3PTY</v>
          </cell>
          <cell r="H40" t="str">
            <v>Active</v>
          </cell>
          <cell r="I40" t="str">
            <v>Rizvan,Mohamed</v>
          </cell>
          <cell r="J40" t="str">
            <v>KBTS</v>
          </cell>
        </row>
        <row r="41">
          <cell r="A41">
            <v>203635601</v>
          </cell>
          <cell r="B41" t="str">
            <v>awesmail</v>
          </cell>
          <cell r="C41" t="str">
            <v>Awawou,Esmaila Chamban</v>
          </cell>
          <cell r="D41">
            <v>14899039</v>
          </cell>
          <cell r="E41">
            <v>1299</v>
          </cell>
          <cell r="F41" t="str">
            <v>Mon Jul 08 00:00:00 UTC 2024</v>
          </cell>
          <cell r="G41" t="str">
            <v>3PTY</v>
          </cell>
          <cell r="H41" t="str">
            <v>Active</v>
          </cell>
          <cell r="I41" t="str">
            <v>Sohail,Anis</v>
          </cell>
          <cell r="J41" t="str">
            <v>FLO</v>
          </cell>
        </row>
        <row r="42">
          <cell r="A42">
            <v>202351580</v>
          </cell>
          <cell r="B42" t="str">
            <v>geradink</v>
          </cell>
          <cell r="C42" t="str">
            <v>Lumafor,Geradine</v>
          </cell>
          <cell r="D42">
            <v>11980763</v>
          </cell>
          <cell r="E42">
            <v>1299</v>
          </cell>
          <cell r="F42" t="str">
            <v>Mon Sep 09 00:00:00 UTC 2024</v>
          </cell>
          <cell r="G42" t="str">
            <v>3PTY</v>
          </cell>
          <cell r="H42" t="str">
            <v>Active</v>
          </cell>
          <cell r="I42" t="str">
            <v>Scaria,Varghese</v>
          </cell>
          <cell r="J42" t="str">
            <v>FLO</v>
          </cell>
        </row>
        <row r="43">
          <cell r="A43">
            <v>204138496</v>
          </cell>
          <cell r="B43" t="str">
            <v>sumahmba</v>
          </cell>
          <cell r="C43" t="str">
            <v>sumah,mbalu</v>
          </cell>
          <cell r="D43">
            <v>14793943</v>
          </cell>
          <cell r="E43">
            <v>1299</v>
          </cell>
          <cell r="F43" t="str">
            <v>Mon Sep 30 00:00:00 UTC 2024</v>
          </cell>
          <cell r="G43" t="str">
            <v>3PTY</v>
          </cell>
          <cell r="H43" t="str">
            <v>Active</v>
          </cell>
          <cell r="I43" t="str">
            <v>Thomas,Binil</v>
          </cell>
          <cell r="J43" t="str">
            <v>FLO</v>
          </cell>
        </row>
        <row r="44">
          <cell r="A44">
            <v>206947959</v>
          </cell>
          <cell r="B44" t="str">
            <v>rodsseny</v>
          </cell>
          <cell r="C44" t="str">
            <v>Ssenyonga,Rodgers</v>
          </cell>
          <cell r="D44">
            <v>13078269</v>
          </cell>
          <cell r="E44">
            <v>1712</v>
          </cell>
          <cell r="F44" t="str">
            <v>Mon Jan 19 00:00:00 UTC 2026</v>
          </cell>
          <cell r="G44" t="str">
            <v>3PTY</v>
          </cell>
          <cell r="H44" t="str">
            <v>Active</v>
          </cell>
          <cell r="I44" t="str">
            <v>Mahamood,Kamal</v>
          </cell>
          <cell r="J44" t="str">
            <v>KBTS</v>
          </cell>
        </row>
        <row r="45">
          <cell r="A45">
            <v>207739034</v>
          </cell>
          <cell r="B45" t="str">
            <v>khdashrj</v>
          </cell>
          <cell r="C45" t="str">
            <v>khatri,Dashrath khatri</v>
          </cell>
          <cell r="D45">
            <v>11106581</v>
          </cell>
          <cell r="E45">
            <v>1712</v>
          </cell>
          <cell r="F45" t="str">
            <v>Sat Jun 13 00:00:00 UTC 2026</v>
          </cell>
          <cell r="G45" t="str">
            <v>3PTY</v>
          </cell>
          <cell r="H45" t="str">
            <v>Active</v>
          </cell>
          <cell r="I45" t="str">
            <v>Raynold,Shine</v>
          </cell>
          <cell r="J45" t="str">
            <v>KBTS</v>
          </cell>
        </row>
        <row r="46">
          <cell r="A46">
            <v>203512946</v>
          </cell>
          <cell r="B46" t="str">
            <v>priszmaw</v>
          </cell>
          <cell r="C46" t="str">
            <v>Mawusi,Priscilla</v>
          </cell>
          <cell r="D46">
            <v>12425532</v>
          </cell>
          <cell r="E46">
            <v>1299</v>
          </cell>
          <cell r="F46" t="str">
            <v>Thu Jun 20 00:00:00 UTC 2024</v>
          </cell>
          <cell r="G46" t="str">
            <v>3PTY</v>
          </cell>
          <cell r="H46" t="str">
            <v>Active</v>
          </cell>
          <cell r="I46" t="str">
            <v>Ansari,Ammar Abdullah</v>
          </cell>
          <cell r="J46" t="str">
            <v>FLO</v>
          </cell>
        </row>
        <row r="47">
          <cell r="A47">
            <v>205996132</v>
          </cell>
          <cell r="B47" t="str">
            <v>fosovict</v>
          </cell>
          <cell r="C47" t="str">
            <v>VICTOR PRISO,FOSSOH</v>
          </cell>
          <cell r="D47">
            <v>11036433</v>
          </cell>
          <cell r="E47">
            <v>1299</v>
          </cell>
          <cell r="F47" t="str">
            <v>Mon Sep 15 00:00:00 UTC 2025</v>
          </cell>
          <cell r="G47" t="str">
            <v>3PTY</v>
          </cell>
          <cell r="H47" t="str">
            <v>Active</v>
          </cell>
          <cell r="I47" t="str">
            <v>elrashid,Hassan</v>
          </cell>
          <cell r="J47" t="str">
            <v>FLO</v>
          </cell>
        </row>
        <row r="48">
          <cell r="A48">
            <v>205961666</v>
          </cell>
          <cell r="B48" t="str">
            <v>alaudimu</v>
          </cell>
          <cell r="C48" t="str">
            <v>Alaudin Miya,Mujaheedeen</v>
          </cell>
          <cell r="D48">
            <v>14841516</v>
          </cell>
          <cell r="E48">
            <v>1712</v>
          </cell>
          <cell r="F48" t="str">
            <v>Fri Sep 05 00:00:00 UTC 2025</v>
          </cell>
          <cell r="G48" t="str">
            <v>3PTY</v>
          </cell>
          <cell r="H48" t="str">
            <v>Active</v>
          </cell>
          <cell r="I48" t="str">
            <v>Rizvan,Mohamed</v>
          </cell>
          <cell r="J48" t="str">
            <v>TDTS</v>
          </cell>
        </row>
        <row r="49">
          <cell r="A49">
            <v>206462456</v>
          </cell>
          <cell r="B49" t="str">
            <v>wfarhamo</v>
          </cell>
          <cell r="C49" t="str">
            <v>Farhan,Mohammad</v>
          </cell>
          <cell r="D49">
            <v>11061356</v>
          </cell>
          <cell r="E49">
            <v>1712</v>
          </cell>
          <cell r="F49" t="str">
            <v>Sat Nov 01 00:00:00 UTC 2025</v>
          </cell>
          <cell r="G49" t="str">
            <v>3PTY</v>
          </cell>
          <cell r="H49" t="str">
            <v>Active</v>
          </cell>
          <cell r="I49" t="str">
            <v>Rizvan,Mohamed</v>
          </cell>
          <cell r="J49" t="str">
            <v>KBTS</v>
          </cell>
        </row>
        <row r="50">
          <cell r="A50">
            <v>204013683</v>
          </cell>
          <cell r="B50" t="str">
            <v>muckorom</v>
          </cell>
          <cell r="C50" t="str">
            <v>Koroma,Muctarr</v>
          </cell>
          <cell r="D50">
            <v>15103769</v>
          </cell>
          <cell r="E50">
            <v>1299</v>
          </cell>
          <cell r="F50" t="str">
            <v>Mon Sep 16 00:00:00 UTC 2024</v>
          </cell>
          <cell r="G50" t="str">
            <v>3PTY</v>
          </cell>
          <cell r="H50" t="str">
            <v>Active</v>
          </cell>
          <cell r="I50" t="str">
            <v>Narshad,Muhammad Ashik</v>
          </cell>
          <cell r="J50" t="str">
            <v>FLO</v>
          </cell>
        </row>
        <row r="51">
          <cell r="A51">
            <v>206897644</v>
          </cell>
          <cell r="B51" t="str">
            <v>odurfraa</v>
          </cell>
          <cell r="C51" t="str">
            <v>ODURO,FRANCIS</v>
          </cell>
          <cell r="D51">
            <v>15343792</v>
          </cell>
          <cell r="E51">
            <v>1299</v>
          </cell>
          <cell r="F51" t="str">
            <v>Thu Jan 08 00:00:00 UTC 2026</v>
          </cell>
          <cell r="G51" t="str">
            <v>3PTY</v>
          </cell>
          <cell r="H51" t="str">
            <v>Active</v>
          </cell>
          <cell r="I51" t="str">
            <v>Lakkireddy,Sai Raghavendra Reddy</v>
          </cell>
          <cell r="J51" t="str">
            <v>FLO</v>
          </cell>
        </row>
        <row r="52">
          <cell r="A52">
            <v>204029042</v>
          </cell>
          <cell r="B52" t="str">
            <v>kabubulu</v>
          </cell>
          <cell r="C52" t="str">
            <v>Kabubu,Lukia</v>
          </cell>
          <cell r="D52">
            <v>14908836</v>
          </cell>
          <cell r="E52">
            <v>1299</v>
          </cell>
          <cell r="F52" t="str">
            <v>Sun Sep 15 00:00:00 UTC 2024</v>
          </cell>
          <cell r="G52" t="str">
            <v>3PTY</v>
          </cell>
          <cell r="H52" t="str">
            <v>Active</v>
          </cell>
          <cell r="I52" t="str">
            <v>Akhtar,Muhammad Zohaib</v>
          </cell>
          <cell r="J52" t="str">
            <v>WOFZ</v>
          </cell>
        </row>
        <row r="53">
          <cell r="A53">
            <v>206015600</v>
          </cell>
          <cell r="B53" t="str">
            <v>bamehami</v>
          </cell>
          <cell r="C53" t="str">
            <v>BAMEH MARAH,AMINATA</v>
          </cell>
          <cell r="D53">
            <v>14194802</v>
          </cell>
          <cell r="E53">
            <v>1299</v>
          </cell>
          <cell r="F53" t="str">
            <v>Mon Sep 15 00:00:00 UTC 2025</v>
          </cell>
          <cell r="G53" t="str">
            <v>3PTY</v>
          </cell>
          <cell r="H53" t="str">
            <v>Active</v>
          </cell>
          <cell r="I53" t="str">
            <v>Katyal,Varun</v>
          </cell>
          <cell r="J53" t="str">
            <v>FLO</v>
          </cell>
        </row>
        <row r="54">
          <cell r="A54">
            <v>206915156</v>
          </cell>
          <cell r="B54" t="str">
            <v>otchaste</v>
          </cell>
          <cell r="C54" t="str">
            <v>Otchan,Steven Billz</v>
          </cell>
          <cell r="D54">
            <v>12860306</v>
          </cell>
          <cell r="E54">
            <v>1299</v>
          </cell>
          <cell r="F54" t="str">
            <v>Mon Jan 12 00:00:00 UTC 2026</v>
          </cell>
          <cell r="G54" t="str">
            <v>3PTY</v>
          </cell>
          <cell r="H54" t="str">
            <v>Active</v>
          </cell>
          <cell r="I54" t="str">
            <v>Katyal,Varun</v>
          </cell>
          <cell r="J54" t="str">
            <v>DULS</v>
          </cell>
        </row>
        <row r="55">
          <cell r="A55">
            <v>207475770</v>
          </cell>
          <cell r="B55" t="str">
            <v>khabdure</v>
          </cell>
          <cell r="C55" t="str">
            <v>Abdure,Khamiss Mohammed</v>
          </cell>
          <cell r="D55">
            <v>11146731</v>
          </cell>
          <cell r="E55">
            <v>1299</v>
          </cell>
          <cell r="F55" t="str">
            <v>Tue May 12 00:00:00 UTC 2026</v>
          </cell>
          <cell r="G55" t="str">
            <v>3PTY</v>
          </cell>
          <cell r="H55" t="str">
            <v>Active</v>
          </cell>
          <cell r="I55" t="str">
            <v>Parungao,Priscila Montejo</v>
          </cell>
          <cell r="J55" t="str">
            <v>STWC</v>
          </cell>
        </row>
        <row r="56">
          <cell r="A56">
            <v>203880236</v>
          </cell>
          <cell r="B56" t="str">
            <v>amoakviw</v>
          </cell>
          <cell r="C56" t="str">
            <v>Amoako,Vida</v>
          </cell>
          <cell r="D56">
            <v>14279003</v>
          </cell>
          <cell r="E56">
            <v>1299</v>
          </cell>
          <cell r="F56" t="str">
            <v>Mon Aug 26 00:00:00 UTC 2024</v>
          </cell>
          <cell r="G56" t="str">
            <v>3PTY</v>
          </cell>
          <cell r="H56" t="str">
            <v>Active</v>
          </cell>
          <cell r="I56" t="str">
            <v>Katyal,Varun</v>
          </cell>
          <cell r="J56" t="str">
            <v>FLO</v>
          </cell>
        </row>
        <row r="57">
          <cell r="A57">
            <v>205853581</v>
          </cell>
          <cell r="B57" t="str">
            <v>rumauree</v>
          </cell>
          <cell r="C57" t="str">
            <v>RUTTO,MAUREEN JEPCHUMBA</v>
          </cell>
          <cell r="D57">
            <v>247881</v>
          </cell>
          <cell r="E57">
            <v>1299</v>
          </cell>
          <cell r="F57" t="str">
            <v>Mon Aug 25 00:00:00 UTC 2025</v>
          </cell>
          <cell r="G57" t="str">
            <v>3PTY</v>
          </cell>
          <cell r="H57" t="str">
            <v>Active</v>
          </cell>
          <cell r="I57" t="str">
            <v>Narshad,Muhammad Ashik</v>
          </cell>
          <cell r="J57" t="str">
            <v>EFSV</v>
          </cell>
        </row>
        <row r="58">
          <cell r="A58">
            <v>206573809</v>
          </cell>
          <cell r="B58" t="str">
            <v>tawakaab</v>
          </cell>
          <cell r="C58" t="str">
            <v>Abdulle,Tawakal Abdurazak</v>
          </cell>
          <cell r="D58">
            <v>13215402</v>
          </cell>
          <cell r="E58">
            <v>1711</v>
          </cell>
          <cell r="F58" t="str">
            <v>Tue Nov 11 00:00:00 UTC 2025</v>
          </cell>
          <cell r="G58" t="str">
            <v>3PTY</v>
          </cell>
          <cell r="H58" t="str">
            <v>Active</v>
          </cell>
          <cell r="I58" t="str">
            <v>Abdul Hakkim,Muhammed</v>
          </cell>
          <cell r="J58" t="str">
            <v>KBTS</v>
          </cell>
        </row>
        <row r="59">
          <cell r="A59">
            <v>206192239</v>
          </cell>
          <cell r="B59" t="str">
            <v>ysheilaj</v>
          </cell>
          <cell r="C59" t="str">
            <v>Yator,Sheila jepchumba</v>
          </cell>
          <cell r="D59">
            <v>14531574</v>
          </cell>
          <cell r="E59">
            <v>1299</v>
          </cell>
          <cell r="F59" t="str">
            <v>Mon Oct 06 00:00:00 UTC 2025</v>
          </cell>
          <cell r="G59" t="str">
            <v>3PTY</v>
          </cell>
          <cell r="H59" t="str">
            <v>Active</v>
          </cell>
          <cell r="I59" t="str">
            <v>Thomas,Binil</v>
          </cell>
          <cell r="J59" t="str">
            <v>EFSV</v>
          </cell>
        </row>
        <row r="60">
          <cell r="A60">
            <v>205845550</v>
          </cell>
          <cell r="B60" t="str">
            <v>shaandhk</v>
          </cell>
          <cell r="C60" t="str">
            <v>ANDHI,SHAFIC</v>
          </cell>
          <cell r="D60">
            <v>14127060</v>
          </cell>
          <cell r="E60">
            <v>1299</v>
          </cell>
          <cell r="F60" t="str">
            <v>Mon Aug 25 00:00:00 UTC 2025</v>
          </cell>
          <cell r="G60" t="str">
            <v>3PTY</v>
          </cell>
          <cell r="H60" t="str">
            <v>Active</v>
          </cell>
          <cell r="I60" t="str">
            <v>Ansari,Ammar Abdullah</v>
          </cell>
          <cell r="J60" t="str">
            <v>DULS</v>
          </cell>
        </row>
        <row r="61">
          <cell r="A61">
            <v>205842487</v>
          </cell>
          <cell r="B61" t="str">
            <v>irfiisla</v>
          </cell>
          <cell r="C61" t="str">
            <v>Islam,Irfan</v>
          </cell>
          <cell r="D61">
            <v>14810774</v>
          </cell>
          <cell r="E61">
            <v>1712</v>
          </cell>
          <cell r="F61" t="str">
            <v>Tue Aug 19 00:00:00 UTC 2025</v>
          </cell>
          <cell r="G61" t="str">
            <v>3PTY</v>
          </cell>
          <cell r="H61" t="str">
            <v>Active</v>
          </cell>
          <cell r="I61" t="str">
            <v>Rizvan,Mohamed</v>
          </cell>
          <cell r="J61" t="str">
            <v>TDTS</v>
          </cell>
        </row>
        <row r="62">
          <cell r="A62">
            <v>206874041</v>
          </cell>
          <cell r="B62" t="str">
            <v>kazibwas</v>
          </cell>
          <cell r="C62" t="str">
            <v>SIRAGI,KAZIBWA</v>
          </cell>
          <cell r="D62">
            <v>14537467</v>
          </cell>
          <cell r="E62">
            <v>1299</v>
          </cell>
          <cell r="F62" t="str">
            <v>Mon Dec 29 00:00:00 UTC 2025</v>
          </cell>
          <cell r="G62" t="str">
            <v>3PTY</v>
          </cell>
          <cell r="H62" t="str">
            <v>Active</v>
          </cell>
          <cell r="I62" t="str">
            <v>Katyal,Varun</v>
          </cell>
          <cell r="J62" t="str">
            <v>DULS</v>
          </cell>
        </row>
        <row r="63">
          <cell r="A63">
            <v>203521523</v>
          </cell>
          <cell r="B63" t="str">
            <v>ayematil</v>
          </cell>
          <cell r="C63" t="str">
            <v>Ayesu,Matilda</v>
          </cell>
          <cell r="D63">
            <v>12188725</v>
          </cell>
          <cell r="E63">
            <v>1299</v>
          </cell>
          <cell r="F63" t="str">
            <v>Thu Jun 20 00:00:00 UTC 2024</v>
          </cell>
          <cell r="G63" t="str">
            <v>3PTY</v>
          </cell>
          <cell r="H63" t="str">
            <v>Active</v>
          </cell>
          <cell r="I63" t="str">
            <v>Katyal,Varun</v>
          </cell>
          <cell r="J63" t="str">
            <v>FLO</v>
          </cell>
        </row>
        <row r="64">
          <cell r="A64">
            <v>203881659</v>
          </cell>
          <cell r="B64" t="str">
            <v>sankosam</v>
          </cell>
          <cell r="C64" t="str">
            <v>Sankoh,Sampha</v>
          </cell>
          <cell r="D64">
            <v>11604622</v>
          </cell>
          <cell r="E64">
            <v>1299</v>
          </cell>
          <cell r="F64" t="str">
            <v>Mon Aug 26 00:00:00 UTC 2024</v>
          </cell>
          <cell r="G64" t="str">
            <v>3PTY</v>
          </cell>
          <cell r="H64" t="str">
            <v>Active</v>
          </cell>
          <cell r="I64" t="str">
            <v>Scaria,Varghese</v>
          </cell>
          <cell r="J64" t="str">
            <v>FLO</v>
          </cell>
        </row>
        <row r="65">
          <cell r="A65">
            <v>205977111</v>
          </cell>
          <cell r="B65" t="str">
            <v>mpandeal</v>
          </cell>
          <cell r="C65" t="str">
            <v>MPANDE,ALEX</v>
          </cell>
          <cell r="D65">
            <v>15374025</v>
          </cell>
          <cell r="E65">
            <v>1299</v>
          </cell>
          <cell r="F65" t="str">
            <v>Mon Sep 15 00:00:00 UTC 2025</v>
          </cell>
          <cell r="G65" t="str">
            <v>3PTY</v>
          </cell>
          <cell r="H65" t="str">
            <v>Active</v>
          </cell>
          <cell r="I65" t="str">
            <v>Katyal,Varun</v>
          </cell>
          <cell r="J65" t="str">
            <v>DULS</v>
          </cell>
        </row>
        <row r="66">
          <cell r="A66">
            <v>206192647</v>
          </cell>
          <cell r="B66" t="str">
            <v>cchrisas</v>
          </cell>
          <cell r="C66" t="str">
            <v>Asamoah,Christiana Boatemaa</v>
          </cell>
          <cell r="D66">
            <v>13029175</v>
          </cell>
          <cell r="E66">
            <v>1299</v>
          </cell>
          <cell r="F66" t="str">
            <v>Mon Oct 13 00:00:00 UTC 2025</v>
          </cell>
          <cell r="G66" t="str">
            <v>3PTY</v>
          </cell>
          <cell r="H66" t="str">
            <v>Active</v>
          </cell>
          <cell r="I66" t="str">
            <v>Dinberu,Eden</v>
          </cell>
          <cell r="J66" t="str">
            <v>EFSV</v>
          </cell>
        </row>
        <row r="67">
          <cell r="A67">
            <v>204821207</v>
          </cell>
          <cell r="B67" t="str">
            <v>munshahz</v>
          </cell>
          <cell r="C67" t="str">
            <v>Munir,Shahzaib Muhammad</v>
          </cell>
          <cell r="D67">
            <v>14761776</v>
          </cell>
          <cell r="E67">
            <v>1171</v>
          </cell>
          <cell r="F67" t="str">
            <v>Sat Jun 20 00:00:00 UTC 2026</v>
          </cell>
          <cell r="G67" t="str">
            <v>3PTY</v>
          </cell>
          <cell r="H67" t="str">
            <v>Active</v>
          </cell>
          <cell r="I67" t="str">
            <v>Niazi,Mohammad Fazal</v>
          </cell>
          <cell r="J67" t="str">
            <v>CSDS</v>
          </cell>
        </row>
        <row r="68">
          <cell r="A68">
            <v>201161555</v>
          </cell>
          <cell r="B68" t="str">
            <v>bethomam</v>
          </cell>
          <cell r="C68" t="str">
            <v>Thomas,Benjamin Yaw</v>
          </cell>
          <cell r="D68">
            <v>11160633</v>
          </cell>
          <cell r="E68">
            <v>1299</v>
          </cell>
          <cell r="F68" t="str">
            <v>Mon Oct 21 00:00:00 UTC 2024</v>
          </cell>
          <cell r="G68" t="str">
            <v>3PTY</v>
          </cell>
          <cell r="H68" t="str">
            <v>Active</v>
          </cell>
          <cell r="I68" t="str">
            <v>Scaria,Varghese</v>
          </cell>
          <cell r="J68" t="str">
            <v>QUES</v>
          </cell>
        </row>
        <row r="69">
          <cell r="A69">
            <v>206791751</v>
          </cell>
          <cell r="B69" t="str">
            <v>abanebar</v>
          </cell>
          <cell r="C69" t="str">
            <v>ABAHO,NEBART</v>
          </cell>
          <cell r="D69">
            <v>172556</v>
          </cell>
          <cell r="E69">
            <v>1299</v>
          </cell>
          <cell r="F69" t="str">
            <v>Mon Dec 08 00:00:00 UTC 2025</v>
          </cell>
          <cell r="G69" t="str">
            <v>3PTY</v>
          </cell>
          <cell r="H69" t="str">
            <v>Active</v>
          </cell>
          <cell r="I69" t="str">
            <v>Katyal,Varun</v>
          </cell>
          <cell r="J69" t="str">
            <v>DULS</v>
          </cell>
        </row>
        <row r="70">
          <cell r="A70">
            <v>206791445</v>
          </cell>
          <cell r="B70" t="str">
            <v>huslssen</v>
          </cell>
          <cell r="C70" t="str">
            <v>SSENYONGA,HUSAMA</v>
          </cell>
          <cell r="D70">
            <v>13554636</v>
          </cell>
          <cell r="E70">
            <v>1299</v>
          </cell>
          <cell r="F70" t="str">
            <v>Mon Dec 08 00:00:00 UTC 2025</v>
          </cell>
          <cell r="G70" t="str">
            <v>3PTY</v>
          </cell>
          <cell r="H70" t="str">
            <v>Active</v>
          </cell>
          <cell r="I70" t="str">
            <v>Katyal,Varun</v>
          </cell>
          <cell r="J70" t="str">
            <v>DULS</v>
          </cell>
        </row>
        <row r="71">
          <cell r="A71">
            <v>206846703</v>
          </cell>
          <cell r="B71" t="str">
            <v>wasjustu</v>
          </cell>
          <cell r="C71" t="str">
            <v>WASSWA KAKULU,JUSTUS</v>
          </cell>
          <cell r="D71">
            <v>14158718</v>
          </cell>
          <cell r="E71">
            <v>1299</v>
          </cell>
          <cell r="F71" t="str">
            <v>Mon Dec 22 00:00:00 UTC 2025</v>
          </cell>
          <cell r="G71" t="str">
            <v>3PTY</v>
          </cell>
          <cell r="H71" t="str">
            <v>Active</v>
          </cell>
          <cell r="I71" t="str">
            <v>Katyal,Varun</v>
          </cell>
          <cell r="J71" t="str">
            <v>DULS</v>
          </cell>
        </row>
        <row r="72">
          <cell r="A72">
            <v>204072899</v>
          </cell>
          <cell r="B72" t="str">
            <v>timokino</v>
          </cell>
          <cell r="C72" t="str">
            <v>KINONGO,TIMOTHY</v>
          </cell>
          <cell r="D72">
            <v>13687491</v>
          </cell>
          <cell r="E72">
            <v>1299</v>
          </cell>
          <cell r="F72" t="str">
            <v>Mon Sep 23 00:00:00 UTC 2024</v>
          </cell>
          <cell r="G72" t="str">
            <v>3PTY</v>
          </cell>
          <cell r="H72" t="str">
            <v>Active</v>
          </cell>
          <cell r="I72" t="str">
            <v>Ansari,Ammar Abdullah</v>
          </cell>
          <cell r="J72" t="str">
            <v>DULS</v>
          </cell>
        </row>
        <row r="73">
          <cell r="A73">
            <v>202419640</v>
          </cell>
          <cell r="B73" t="str">
            <v>noamohav</v>
          </cell>
          <cell r="C73" t="str">
            <v>Noah,Mohamed</v>
          </cell>
          <cell r="D73">
            <v>13287132</v>
          </cell>
          <cell r="E73">
            <v>1299</v>
          </cell>
          <cell r="F73" t="str">
            <v>Thu Sep 26 00:00:00 UTC 2024</v>
          </cell>
          <cell r="G73" t="str">
            <v>3PTY</v>
          </cell>
          <cell r="H73" t="str">
            <v>Active</v>
          </cell>
          <cell r="I73" t="str">
            <v>Scaria,Varghese</v>
          </cell>
          <cell r="J73" t="str">
            <v>QUES</v>
          </cell>
        </row>
        <row r="74">
          <cell r="A74">
            <v>204172234</v>
          </cell>
          <cell r="B74" t="str">
            <v>dpbikram</v>
          </cell>
          <cell r="C74" t="str">
            <v>DHAKAL,BIKRAM</v>
          </cell>
          <cell r="D74">
            <v>13958928</v>
          </cell>
          <cell r="E74">
            <v>1299</v>
          </cell>
          <cell r="F74" t="str">
            <v>Thu Oct 03 00:00:00 UTC 2024</v>
          </cell>
          <cell r="G74" t="str">
            <v>3PTY</v>
          </cell>
          <cell r="H74" t="str">
            <v>Active</v>
          </cell>
          <cell r="I74" t="str">
            <v>Lakkireddy,Sai Raghavendra Reddy</v>
          </cell>
          <cell r="J74" t="str">
            <v>DULS</v>
          </cell>
        </row>
        <row r="75">
          <cell r="A75">
            <v>206846111</v>
          </cell>
          <cell r="B75" t="str">
            <v>etusasir</v>
          </cell>
          <cell r="C75" t="str">
            <v>TUSASIRWE,EMMANUEL</v>
          </cell>
          <cell r="D75">
            <v>13512543</v>
          </cell>
          <cell r="E75">
            <v>1299</v>
          </cell>
          <cell r="F75" t="str">
            <v>Mon Dec 22 00:00:00 UTC 2025</v>
          </cell>
          <cell r="G75" t="str">
            <v>3PTY</v>
          </cell>
          <cell r="H75" t="str">
            <v>Active</v>
          </cell>
          <cell r="I75" t="str">
            <v>elrashid,Hassan</v>
          </cell>
          <cell r="J75" t="str">
            <v>DULS</v>
          </cell>
        </row>
        <row r="76">
          <cell r="A76">
            <v>203851006</v>
          </cell>
          <cell r="B76" t="str">
            <v>chrbaid</v>
          </cell>
          <cell r="C76" t="str">
            <v>Baiden,Christian Ampofo</v>
          </cell>
          <cell r="D76">
            <v>94125</v>
          </cell>
          <cell r="E76">
            <v>1299</v>
          </cell>
          <cell r="F76" t="str">
            <v>Tue Aug 20 00:00:00 UTC 2024</v>
          </cell>
          <cell r="G76" t="str">
            <v>3PTY</v>
          </cell>
          <cell r="H76" t="str">
            <v>Active</v>
          </cell>
          <cell r="I76" t="str">
            <v>Katyal,Varun</v>
          </cell>
          <cell r="J76" t="str">
            <v>FLO</v>
          </cell>
        </row>
        <row r="77">
          <cell r="A77">
            <v>204228019</v>
          </cell>
          <cell r="B77" t="str">
            <v>kibkenet</v>
          </cell>
          <cell r="C77" t="str">
            <v>KIBIRIGE,KENETH</v>
          </cell>
          <cell r="D77">
            <v>12170398</v>
          </cell>
          <cell r="E77">
            <v>1299</v>
          </cell>
          <cell r="F77" t="str">
            <v>Mon Jan 27 00:00:00 UTC 2025</v>
          </cell>
          <cell r="G77" t="str">
            <v>3PTY</v>
          </cell>
          <cell r="H77" t="str">
            <v>Active</v>
          </cell>
          <cell r="I77" t="str">
            <v>Lakkireddy,Sai Raghavendra Reddy</v>
          </cell>
          <cell r="J77" t="str">
            <v>DULS</v>
          </cell>
        </row>
        <row r="78">
          <cell r="A78">
            <v>203992092</v>
          </cell>
          <cell r="B78" t="str">
            <v>amosbeko</v>
          </cell>
          <cell r="C78" t="str">
            <v>Bekoe,Amos</v>
          </cell>
          <cell r="D78">
            <v>14054680</v>
          </cell>
          <cell r="E78">
            <v>1299</v>
          </cell>
          <cell r="F78" t="str">
            <v>Thu Sep 12 00:00:00 UTC 2024</v>
          </cell>
          <cell r="G78" t="str">
            <v>3PTY</v>
          </cell>
          <cell r="H78" t="str">
            <v>Active</v>
          </cell>
          <cell r="I78" t="str">
            <v>Thomas,Binil</v>
          </cell>
          <cell r="J78" t="str">
            <v>FLO</v>
          </cell>
        </row>
        <row r="79">
          <cell r="A79">
            <v>203813035</v>
          </cell>
          <cell r="B79" t="str">
            <v>zauguaug</v>
          </cell>
          <cell r="C79" t="str">
            <v>AUGUSTIN,AUGUSTIN</v>
          </cell>
          <cell r="D79">
            <v>12056731</v>
          </cell>
          <cell r="E79">
            <v>1299</v>
          </cell>
          <cell r="F79" t="str">
            <v>Tue Aug 13 00:00:00 UTC 2024</v>
          </cell>
          <cell r="G79" t="str">
            <v>3PTY</v>
          </cell>
          <cell r="H79" t="str">
            <v>Active</v>
          </cell>
          <cell r="I79" t="str">
            <v>Katyal,Varun</v>
          </cell>
          <cell r="J79" t="str">
            <v>ADEC</v>
          </cell>
        </row>
        <row r="80">
          <cell r="A80">
            <v>204299903</v>
          </cell>
          <cell r="B80" t="str">
            <v>emmfofie</v>
          </cell>
          <cell r="C80" t="str">
            <v>Fofie,Emmanuel</v>
          </cell>
          <cell r="D80">
            <v>14734459</v>
          </cell>
          <cell r="E80">
            <v>1299</v>
          </cell>
          <cell r="F80" t="str">
            <v>Mon Oct 21 00:00:00 UTC 2024</v>
          </cell>
          <cell r="G80" t="str">
            <v>3PTY</v>
          </cell>
          <cell r="H80" t="str">
            <v>Active</v>
          </cell>
          <cell r="I80" t="str">
            <v>Sohail,Anis</v>
          </cell>
          <cell r="J80" t="str">
            <v>QUES</v>
          </cell>
        </row>
        <row r="81">
          <cell r="A81">
            <v>203160805</v>
          </cell>
          <cell r="B81" t="str">
            <v>ratheekn</v>
          </cell>
          <cell r="C81" t="str">
            <v>KUMAR,RATHEESH</v>
          </cell>
          <cell r="D81">
            <v>92589</v>
          </cell>
          <cell r="E81">
            <v>1299</v>
          </cell>
          <cell r="F81" t="str">
            <v>Sun Mar 31 00:00:00 UTC 2024</v>
          </cell>
          <cell r="G81" t="str">
            <v>3PTY</v>
          </cell>
          <cell r="H81" t="str">
            <v>Active</v>
          </cell>
          <cell r="I81" t="str">
            <v>Akhtar,Muhammad Zohaib</v>
          </cell>
          <cell r="J81" t="str">
            <v>WOFZ</v>
          </cell>
        </row>
        <row r="82">
          <cell r="A82">
            <v>203725678</v>
          </cell>
          <cell r="B82" t="str">
            <v>adarskug</v>
          </cell>
          <cell r="C82" t="str">
            <v>KUMAR,ADARSH KALESH</v>
          </cell>
          <cell r="D82">
            <v>12319373</v>
          </cell>
          <cell r="E82">
            <v>1299</v>
          </cell>
          <cell r="F82" t="str">
            <v>Mon Jul 22 00:00:00 UTC 2024</v>
          </cell>
          <cell r="G82" t="str">
            <v>3PTY</v>
          </cell>
          <cell r="H82" t="str">
            <v>Active</v>
          </cell>
          <cell r="I82" t="str">
            <v>Akhtar,Muhammad Zohaib</v>
          </cell>
          <cell r="J82" t="str">
            <v>WOFZ</v>
          </cell>
        </row>
        <row r="83">
          <cell r="A83">
            <v>206504141</v>
          </cell>
          <cell r="B83" t="str">
            <v>kasobfra</v>
          </cell>
          <cell r="C83" t="str">
            <v>KASOBYA,FRANCIS</v>
          </cell>
          <cell r="D83">
            <v>14603175</v>
          </cell>
          <cell r="E83">
            <v>1299</v>
          </cell>
          <cell r="F83" t="str">
            <v>Mon Nov 10 00:00:00 UTC 2025</v>
          </cell>
          <cell r="G83" t="str">
            <v>3PTY</v>
          </cell>
          <cell r="H83" t="str">
            <v>Active</v>
          </cell>
          <cell r="I83" t="str">
            <v>Katyal,Varun</v>
          </cell>
          <cell r="J83" t="str">
            <v>DULS</v>
          </cell>
        </row>
        <row r="84">
          <cell r="A84">
            <v>205939862</v>
          </cell>
          <cell r="B84" t="str">
            <v>sanjajev</v>
          </cell>
          <cell r="C84" t="str">
            <v>JERALD,SANJAY</v>
          </cell>
          <cell r="D84">
            <v>12681147</v>
          </cell>
          <cell r="E84">
            <v>1299</v>
          </cell>
          <cell r="F84" t="str">
            <v>Mon Sep 08 00:00:00 UTC 2025</v>
          </cell>
          <cell r="G84" t="str">
            <v>3PTY</v>
          </cell>
          <cell r="H84" t="str">
            <v>Active</v>
          </cell>
          <cell r="I84" t="str">
            <v>Scaria,Varghese</v>
          </cell>
          <cell r="J84" t="str">
            <v>EFSV</v>
          </cell>
        </row>
        <row r="85">
          <cell r="A85">
            <v>204117188</v>
          </cell>
          <cell r="B85" t="str">
            <v>rberinea</v>
          </cell>
          <cell r="C85" t="str">
            <v>Lanyang,Berine Amoh</v>
          </cell>
          <cell r="D85">
            <v>13753395</v>
          </cell>
          <cell r="E85">
            <v>1299</v>
          </cell>
          <cell r="F85" t="str">
            <v>Thu Sep 26 00:00:00 UTC 2024</v>
          </cell>
          <cell r="G85" t="str">
            <v>3PTY</v>
          </cell>
          <cell r="H85" t="str">
            <v>Active</v>
          </cell>
          <cell r="I85" t="str">
            <v>Thomas,Binil</v>
          </cell>
          <cell r="J85" t="str">
            <v>QUES</v>
          </cell>
        </row>
        <row r="86">
          <cell r="A86">
            <v>206504596</v>
          </cell>
          <cell r="B86" t="str">
            <v>tadekizi</v>
          </cell>
          <cell r="C86" t="str">
            <v>KIZITO,TADEO</v>
          </cell>
          <cell r="D86">
            <v>12633525</v>
          </cell>
          <cell r="E86">
            <v>1299</v>
          </cell>
          <cell r="F86" t="str">
            <v>Mon Nov 10 00:00:00 UTC 2025</v>
          </cell>
          <cell r="G86" t="str">
            <v>3PTY</v>
          </cell>
          <cell r="H86" t="str">
            <v>Active</v>
          </cell>
          <cell r="I86" t="str">
            <v>Katyal,Varun</v>
          </cell>
          <cell r="J86" t="str">
            <v>DULS</v>
          </cell>
        </row>
        <row r="87">
          <cell r="A87">
            <v>206491325</v>
          </cell>
          <cell r="B87" t="str">
            <v>dachepkv</v>
          </cell>
          <cell r="C87" t="str">
            <v>CHEPKOECH,DAISY</v>
          </cell>
          <cell r="D87">
            <v>11180654</v>
          </cell>
          <cell r="E87">
            <v>1299</v>
          </cell>
          <cell r="F87" t="str">
            <v>Mon Nov 10 00:00:00 UTC 2025</v>
          </cell>
          <cell r="G87" t="str">
            <v>3PTY</v>
          </cell>
          <cell r="H87" t="str">
            <v>Active</v>
          </cell>
          <cell r="I87" t="str">
            <v>Scaria,Varghese</v>
          </cell>
          <cell r="J87" t="str">
            <v>EFSV</v>
          </cell>
        </row>
        <row r="88">
          <cell r="A88">
            <v>205647583</v>
          </cell>
          <cell r="B88" t="str">
            <v>abedmkas</v>
          </cell>
          <cell r="C88" t="str">
            <v>Abedi,Mkasi  Mwalimu</v>
          </cell>
          <cell r="D88">
            <v>11480390</v>
          </cell>
          <cell r="E88">
            <v>1299</v>
          </cell>
          <cell r="F88" t="str">
            <v>Mon Jul 14 00:00:00 UTC 2025</v>
          </cell>
          <cell r="G88" t="str">
            <v>3PTY</v>
          </cell>
          <cell r="H88" t="str">
            <v>Active</v>
          </cell>
          <cell r="I88" t="str">
            <v>Meera,Bava Bahrudeen</v>
          </cell>
          <cell r="J88" t="str">
            <v>EFSV</v>
          </cell>
        </row>
        <row r="89">
          <cell r="A89">
            <v>204319797</v>
          </cell>
          <cell r="B89" t="str">
            <v>nkrumaai</v>
          </cell>
          <cell r="C89" t="str">
            <v>Nkrumah,Alex</v>
          </cell>
          <cell r="D89">
            <v>12145501</v>
          </cell>
          <cell r="E89">
            <v>1299</v>
          </cell>
          <cell r="F89" t="str">
            <v>Thu Oct 24 00:00:00 UTC 2024</v>
          </cell>
          <cell r="G89" t="str">
            <v>3PTY</v>
          </cell>
          <cell r="H89" t="str">
            <v>Active</v>
          </cell>
          <cell r="I89" t="str">
            <v>Katyal,Varun</v>
          </cell>
          <cell r="J89" t="str">
            <v>QUES</v>
          </cell>
        </row>
        <row r="90">
          <cell r="A90">
            <v>206504126</v>
          </cell>
          <cell r="B90" t="str">
            <v>andebayi</v>
          </cell>
          <cell r="C90" t="str">
            <v>ANDERSON,BAYINGANA</v>
          </cell>
          <cell r="D90">
            <v>13500506</v>
          </cell>
          <cell r="E90">
            <v>1299</v>
          </cell>
          <cell r="F90" t="str">
            <v>Mon Nov 10 00:00:00 UTC 2025</v>
          </cell>
          <cell r="G90" t="str">
            <v>3PTY</v>
          </cell>
          <cell r="H90" t="str">
            <v>Active</v>
          </cell>
          <cell r="I90" t="str">
            <v>Katyal,Varun</v>
          </cell>
          <cell r="J90" t="str">
            <v>DULS</v>
          </cell>
        </row>
        <row r="91">
          <cell r="A91">
            <v>205854274</v>
          </cell>
          <cell r="B91" t="str">
            <v>kyeicynt</v>
          </cell>
          <cell r="C91" t="str">
            <v>KYEI BAFFOUR,CYNTHIA</v>
          </cell>
          <cell r="D91">
            <v>13985696</v>
          </cell>
          <cell r="E91">
            <v>1290</v>
          </cell>
          <cell r="F91" t="str">
            <v>Thu Jul 23 00:00:00 UTC 2026</v>
          </cell>
          <cell r="G91" t="str">
            <v>3PTY</v>
          </cell>
          <cell r="H91" t="str">
            <v>Active</v>
          </cell>
          <cell r="I91" t="str">
            <v>Scaria,Varghese</v>
          </cell>
          <cell r="J91" t="str">
            <v>EFSV</v>
          </cell>
        </row>
        <row r="92">
          <cell r="A92">
            <v>204009951</v>
          </cell>
          <cell r="B92" t="str">
            <v>jqkumars</v>
          </cell>
          <cell r="C92" t="str">
            <v>KUMAR SHARMA,JITENDRA</v>
          </cell>
          <cell r="D92">
            <v>11400850</v>
          </cell>
          <cell r="E92">
            <v>1299</v>
          </cell>
          <cell r="F92" t="str">
            <v>Mon Sep 16 00:00:00 UTC 2024</v>
          </cell>
          <cell r="G92" t="str">
            <v>3PTY</v>
          </cell>
          <cell r="H92" t="str">
            <v>Active</v>
          </cell>
          <cell r="I92" t="str">
            <v>Lakkireddy,Sai Raghavendra Reddy</v>
          </cell>
          <cell r="J92" t="str">
            <v>DULS</v>
          </cell>
        </row>
        <row r="93">
          <cell r="A93">
            <v>204967039</v>
          </cell>
          <cell r="B93" t="str">
            <v>aprinceo</v>
          </cell>
          <cell r="C93" t="str">
            <v>ANIM,PRINCE OWUSU</v>
          </cell>
          <cell r="D93">
            <v>14313085</v>
          </cell>
          <cell r="E93">
            <v>1299</v>
          </cell>
          <cell r="F93" t="str">
            <v>Mon Mar 03 00:00:00 UTC 2025</v>
          </cell>
          <cell r="G93" t="str">
            <v>3PTY</v>
          </cell>
          <cell r="H93" t="str">
            <v>Active</v>
          </cell>
          <cell r="I93" t="str">
            <v>Ansari,Ammar Abdullah</v>
          </cell>
          <cell r="J93" t="str">
            <v>DULS</v>
          </cell>
        </row>
        <row r="94">
          <cell r="A94">
            <v>203736256</v>
          </cell>
          <cell r="B94" t="str">
            <v>mukalash</v>
          </cell>
          <cell r="C94" t="str">
            <v>MUKALAZI,SHAFIC</v>
          </cell>
          <cell r="D94">
            <v>11011238</v>
          </cell>
          <cell r="E94">
            <v>1299</v>
          </cell>
          <cell r="F94" t="str">
            <v>Mon Feb 03 00:00:00 UTC 2025</v>
          </cell>
          <cell r="G94" t="str">
            <v>3PTY</v>
          </cell>
          <cell r="H94" t="str">
            <v>Active</v>
          </cell>
          <cell r="I94" t="str">
            <v>Thomas,Binil</v>
          </cell>
          <cell r="J94" t="str">
            <v>DULS</v>
          </cell>
        </row>
        <row r="95">
          <cell r="A95">
            <v>206129609</v>
          </cell>
          <cell r="B95" t="str">
            <v>abdababa</v>
          </cell>
          <cell r="C95" t="str">
            <v>Babah Turay,Abdulai</v>
          </cell>
          <cell r="D95">
            <v>14712527</v>
          </cell>
          <cell r="E95">
            <v>1299</v>
          </cell>
          <cell r="F95" t="str">
            <v>Mon Sep 29 00:00:00 UTC 2025</v>
          </cell>
          <cell r="G95" t="str">
            <v>3PTY</v>
          </cell>
          <cell r="H95" t="str">
            <v>Active</v>
          </cell>
          <cell r="I95" t="str">
            <v>Ansari,Ammar Abdullah</v>
          </cell>
          <cell r="J95" t="str">
            <v>FLO</v>
          </cell>
        </row>
        <row r="96">
          <cell r="A96">
            <v>204252239</v>
          </cell>
          <cell r="B96" t="str">
            <v>alamavis</v>
          </cell>
          <cell r="C96" t="str">
            <v>Alabila,Mavis Akua</v>
          </cell>
          <cell r="D96">
            <v>14885273</v>
          </cell>
          <cell r="E96">
            <v>1299</v>
          </cell>
          <cell r="F96" t="str">
            <v>Mon Oct 14 00:00:00 UTC 2024</v>
          </cell>
          <cell r="G96" t="str">
            <v>3PTY</v>
          </cell>
          <cell r="H96" t="str">
            <v>Active</v>
          </cell>
          <cell r="I96" t="str">
            <v>Katyal,Varun</v>
          </cell>
          <cell r="J96" t="str">
            <v>QUES</v>
          </cell>
        </row>
        <row r="97">
          <cell r="A97">
            <v>204116439</v>
          </cell>
          <cell r="B97" t="str">
            <v>etugalex</v>
          </cell>
          <cell r="C97" t="str">
            <v>Etuge,Alexander</v>
          </cell>
          <cell r="D97">
            <v>13297485</v>
          </cell>
          <cell r="E97">
            <v>1299</v>
          </cell>
          <cell r="F97" t="str">
            <v>Thu Sep 26 00:00:00 UTC 2024</v>
          </cell>
          <cell r="G97" t="str">
            <v>3PTY</v>
          </cell>
          <cell r="H97" t="str">
            <v>Active</v>
          </cell>
          <cell r="I97" t="str">
            <v>Lakkireddy,Sai Raghavendra Reddy</v>
          </cell>
          <cell r="J97" t="str">
            <v>QUES</v>
          </cell>
        </row>
        <row r="98">
          <cell r="A98">
            <v>202219229</v>
          </cell>
          <cell r="B98" t="str">
            <v>mavconte</v>
          </cell>
          <cell r="C98" t="str">
            <v>CONTEH,MARION</v>
          </cell>
          <cell r="D98">
            <v>14247160</v>
          </cell>
          <cell r="E98">
            <v>1299</v>
          </cell>
          <cell r="F98" t="str">
            <v>Thu Oct 31 00:00:00 UTC 2024</v>
          </cell>
          <cell r="G98" t="str">
            <v>3PTY</v>
          </cell>
          <cell r="H98" t="str">
            <v>Active</v>
          </cell>
          <cell r="I98" t="str">
            <v>Meera,Bava Bahrudeen</v>
          </cell>
          <cell r="J98" t="str">
            <v>FLO</v>
          </cell>
        </row>
        <row r="99">
          <cell r="A99">
            <v>204117683</v>
          </cell>
          <cell r="B99" t="str">
            <v>kunopatr</v>
          </cell>
          <cell r="C99" t="str">
            <v>Kundu,Patricia</v>
          </cell>
          <cell r="D99">
            <v>251021</v>
          </cell>
          <cell r="E99">
            <v>1299</v>
          </cell>
          <cell r="F99" t="str">
            <v>Thu Sep 26 00:00:00 UTC 2024</v>
          </cell>
          <cell r="G99" t="str">
            <v>3PTY</v>
          </cell>
          <cell r="H99" t="str">
            <v>Active</v>
          </cell>
          <cell r="I99" t="str">
            <v>Scaria,Varghese</v>
          </cell>
          <cell r="J99" t="str">
            <v>QUES</v>
          </cell>
        </row>
        <row r="100">
          <cell r="A100">
            <v>203850786</v>
          </cell>
          <cell r="B100" t="str">
            <v>ashrnkwa</v>
          </cell>
          <cell r="C100" t="str">
            <v>Nkwanga,Ashraf Ashro</v>
          </cell>
          <cell r="D100">
            <v>11168364</v>
          </cell>
          <cell r="E100">
            <v>1299</v>
          </cell>
          <cell r="F100" t="str">
            <v>Tue Aug 20 00:00:00 UTC 2024</v>
          </cell>
          <cell r="G100" t="str">
            <v>3PTY</v>
          </cell>
          <cell r="H100" t="str">
            <v>Active</v>
          </cell>
          <cell r="I100" t="str">
            <v>Thomas,Binil</v>
          </cell>
          <cell r="J100" t="str">
            <v>DULS</v>
          </cell>
        </row>
        <row r="101">
          <cell r="A101">
            <v>206964163</v>
          </cell>
          <cell r="B101" t="str">
            <v>euzobiat</v>
          </cell>
          <cell r="C101" t="str">
            <v>TUMURAMYE,EUZOBIA</v>
          </cell>
          <cell r="D101">
            <v>11435182</v>
          </cell>
          <cell r="E101">
            <v>1712</v>
          </cell>
          <cell r="F101" t="str">
            <v>Fri Jan 23 00:00:00 UTC 2026</v>
          </cell>
          <cell r="G101" t="str">
            <v>3PTY</v>
          </cell>
          <cell r="H101" t="str">
            <v>Active</v>
          </cell>
          <cell r="I101" t="str">
            <v>Rajendran,Ajith Kumar</v>
          </cell>
          <cell r="J101" t="str">
            <v>KBTS</v>
          </cell>
        </row>
        <row r="102">
          <cell r="A102">
            <v>203850900</v>
          </cell>
          <cell r="B102" t="str">
            <v>mukakooz</v>
          </cell>
          <cell r="C102" t="str">
            <v>Kakooza,Musa</v>
          </cell>
          <cell r="D102">
            <v>12162305</v>
          </cell>
          <cell r="E102">
            <v>1299</v>
          </cell>
          <cell r="F102" t="str">
            <v>Tue Aug 20 00:00:00 UTC 2024</v>
          </cell>
          <cell r="G102" t="str">
            <v>3PTY</v>
          </cell>
          <cell r="H102" t="str">
            <v>Active</v>
          </cell>
          <cell r="I102" t="str">
            <v>Narshad,Muhammad Ashik</v>
          </cell>
          <cell r="J102" t="str">
            <v>DULS</v>
          </cell>
        </row>
        <row r="103">
          <cell r="A103">
            <v>208123535</v>
          </cell>
          <cell r="B103" t="str">
            <v>ojepkeme</v>
          </cell>
          <cell r="C103" t="str">
            <v>JEPKEMBOI,MERCY</v>
          </cell>
          <cell r="D103">
            <v>15121656</v>
          </cell>
          <cell r="E103">
            <v>1299</v>
          </cell>
          <cell r="F103" t="str">
            <v>Tue Aug 04 00:00:00 UTC 2026</v>
          </cell>
          <cell r="G103" t="str">
            <v>3PTY</v>
          </cell>
          <cell r="H103" t="str">
            <v>Active</v>
          </cell>
          <cell r="I103" t="str">
            <v>Narshad,Muhammad Ashik</v>
          </cell>
          <cell r="J103" t="str">
            <v>EFSV</v>
          </cell>
        </row>
        <row r="104">
          <cell r="A104">
            <v>203908868</v>
          </cell>
          <cell r="B104" t="str">
            <v>benjanko</v>
          </cell>
          <cell r="C104" t="str">
            <v>Ankomahene,Benjamin</v>
          </cell>
          <cell r="D104">
            <v>14718114</v>
          </cell>
          <cell r="E104">
            <v>1299</v>
          </cell>
          <cell r="F104" t="str">
            <v>Mon Sep 02 00:00:00 UTC 2024</v>
          </cell>
          <cell r="G104" t="str">
            <v>3PTY</v>
          </cell>
          <cell r="H104" t="str">
            <v>Active</v>
          </cell>
          <cell r="I104" t="str">
            <v>Scaria,Varghese</v>
          </cell>
          <cell r="J104" t="str">
            <v>FLO</v>
          </cell>
        </row>
        <row r="105">
          <cell r="A105">
            <v>204975662</v>
          </cell>
          <cell r="B105" t="str">
            <v>islmehez</v>
          </cell>
          <cell r="C105" t="str">
            <v>Islam,Mehebub</v>
          </cell>
          <cell r="D105">
            <v>13167811</v>
          </cell>
          <cell r="E105">
            <v>1299</v>
          </cell>
          <cell r="F105" t="str">
            <v>Thu Feb 27 00:00:00 UTC 2025</v>
          </cell>
          <cell r="G105" t="str">
            <v>3PTY</v>
          </cell>
          <cell r="H105" t="str">
            <v>Active</v>
          </cell>
          <cell r="I105" t="str">
            <v>Lakkireddy,Sai Raghavendra Reddy</v>
          </cell>
          <cell r="J105" t="str">
            <v>EFSV</v>
          </cell>
        </row>
        <row r="106">
          <cell r="A106">
            <v>203965524</v>
          </cell>
          <cell r="B106" t="str">
            <v>adufbrig</v>
          </cell>
          <cell r="C106" t="str">
            <v>Adu,Bright</v>
          </cell>
          <cell r="D106">
            <v>12658021</v>
          </cell>
          <cell r="E106">
            <v>1299</v>
          </cell>
          <cell r="F106" t="str">
            <v>Mon Sep 09 00:00:00 UTC 2024</v>
          </cell>
          <cell r="G106" t="str">
            <v>3PTY</v>
          </cell>
          <cell r="H106" t="str">
            <v>Active</v>
          </cell>
          <cell r="I106" t="str">
            <v>Katyal,Varun</v>
          </cell>
          <cell r="J106" t="str">
            <v>FLO</v>
          </cell>
        </row>
        <row r="107">
          <cell r="A107">
            <v>203965526</v>
          </cell>
          <cell r="B107" t="str">
            <v>sibwelli</v>
          </cell>
          <cell r="C107" t="str">
            <v>Sibanda,Wellington</v>
          </cell>
          <cell r="D107">
            <v>11321801</v>
          </cell>
          <cell r="E107">
            <v>1299</v>
          </cell>
          <cell r="F107" t="str">
            <v>Mon Sep 09 00:00:00 UTC 2024</v>
          </cell>
          <cell r="G107" t="str">
            <v>3PTY</v>
          </cell>
          <cell r="H107" t="str">
            <v>Active</v>
          </cell>
          <cell r="I107" t="str">
            <v>Katyal,Varun</v>
          </cell>
          <cell r="J107" t="str">
            <v>FLO</v>
          </cell>
        </row>
        <row r="108">
          <cell r="A108">
            <v>206953813</v>
          </cell>
          <cell r="B108" t="str">
            <v>rpnahabw</v>
          </cell>
          <cell r="C108" t="str">
            <v>RODGERS,NAHABWE</v>
          </cell>
          <cell r="D108">
            <v>14016628</v>
          </cell>
          <cell r="E108">
            <v>1299</v>
          </cell>
          <cell r="F108" t="str">
            <v>Wed Jan 28 00:00:00 UTC 2026</v>
          </cell>
          <cell r="G108" t="str">
            <v>3PTY</v>
          </cell>
          <cell r="H108" t="str">
            <v>Active</v>
          </cell>
          <cell r="I108" t="str">
            <v>Katyal,Varun</v>
          </cell>
          <cell r="J108" t="str">
            <v>DULS</v>
          </cell>
        </row>
        <row r="109">
          <cell r="A109">
            <v>206883746</v>
          </cell>
          <cell r="B109" t="str">
            <v>alicewan</v>
          </cell>
          <cell r="C109" t="str">
            <v>WANJIKU,ALICE NJAMBI</v>
          </cell>
          <cell r="D109">
            <v>15390062</v>
          </cell>
          <cell r="E109">
            <v>1299</v>
          </cell>
          <cell r="F109" t="str">
            <v>Mon Jan 05 00:00:00 UTC 2026</v>
          </cell>
          <cell r="G109" t="str">
            <v>3PTY</v>
          </cell>
          <cell r="H109" t="str">
            <v>Active</v>
          </cell>
          <cell r="I109" t="str">
            <v>Katyal,Varun</v>
          </cell>
          <cell r="J109" t="str">
            <v>EFSV</v>
          </cell>
        </row>
        <row r="110">
          <cell r="A110">
            <v>203880400</v>
          </cell>
          <cell r="B110" t="str">
            <v>mbockari</v>
          </cell>
          <cell r="C110" t="str">
            <v>Bockarie,Moniya</v>
          </cell>
          <cell r="D110">
            <v>14150071</v>
          </cell>
          <cell r="E110">
            <v>1299</v>
          </cell>
          <cell r="F110" t="str">
            <v>Mon Aug 26 00:00:00 UTC 2024</v>
          </cell>
          <cell r="G110" t="str">
            <v>3PTY</v>
          </cell>
          <cell r="H110" t="str">
            <v>Active</v>
          </cell>
          <cell r="I110" t="str">
            <v>Lakkireddy,Sai Raghavendra Reddy</v>
          </cell>
          <cell r="J110" t="str">
            <v>FLO</v>
          </cell>
        </row>
        <row r="111">
          <cell r="A111">
            <v>204864796</v>
          </cell>
          <cell r="B111" t="str">
            <v>charmakp</v>
          </cell>
          <cell r="C111" t="str">
            <v>AKPAKA,CHARLES</v>
          </cell>
          <cell r="D111">
            <v>11401258</v>
          </cell>
          <cell r="E111">
            <v>1299</v>
          </cell>
          <cell r="F111" t="str">
            <v>Mon May 12 00:00:00 UTC 2025</v>
          </cell>
          <cell r="G111" t="str">
            <v>3PTY</v>
          </cell>
          <cell r="H111" t="str">
            <v>Active</v>
          </cell>
          <cell r="I111" t="str">
            <v>Ansari,Ammar Abdullah</v>
          </cell>
          <cell r="J111" t="str">
            <v>DULS</v>
          </cell>
        </row>
        <row r="112">
          <cell r="A112">
            <v>206915295</v>
          </cell>
          <cell r="B112" t="str">
            <v>btayebwe</v>
          </cell>
          <cell r="C112" t="str">
            <v>TAYEBWE,BENON</v>
          </cell>
          <cell r="D112">
            <v>12817957</v>
          </cell>
          <cell r="E112">
            <v>1299</v>
          </cell>
          <cell r="F112" t="str">
            <v>Mon Jan 12 00:00:00 UTC 2026</v>
          </cell>
          <cell r="G112" t="str">
            <v>3PTY</v>
          </cell>
          <cell r="H112" t="str">
            <v>Active</v>
          </cell>
          <cell r="I112" t="str">
            <v>Katyal,Varun</v>
          </cell>
          <cell r="J112" t="str">
            <v>DULS</v>
          </cell>
        </row>
        <row r="113">
          <cell r="A113">
            <v>207868610</v>
          </cell>
          <cell r="B113" t="str">
            <v>sirmohar</v>
          </cell>
          <cell r="C113" t="str">
            <v>Mohammed,Sirajuddin</v>
          </cell>
          <cell r="D113">
            <v>11062444</v>
          </cell>
          <cell r="E113">
            <v>1200</v>
          </cell>
          <cell r="F113" t="str">
            <v>Mon Jul 06 00:00:00 UTC 2026</v>
          </cell>
          <cell r="G113" t="str">
            <v>3PTY</v>
          </cell>
          <cell r="H113" t="str">
            <v>Active</v>
          </cell>
          <cell r="I113" t="str">
            <v>Alhashmi,Abdulla</v>
          </cell>
          <cell r="J113" t="str">
            <v>MEUE</v>
          </cell>
        </row>
        <row r="114">
          <cell r="A114">
            <v>203813036</v>
          </cell>
          <cell r="B114" t="str">
            <v>arshshaj</v>
          </cell>
          <cell r="C114" t="str">
            <v>SHAJAHAN,ARSHAD</v>
          </cell>
          <cell r="D114">
            <v>12778733</v>
          </cell>
          <cell r="E114">
            <v>1299</v>
          </cell>
          <cell r="F114" t="str">
            <v>Tue Aug 13 00:00:00 UTC 2024</v>
          </cell>
          <cell r="G114" t="str">
            <v>3PTY</v>
          </cell>
          <cell r="H114" t="str">
            <v>Active</v>
          </cell>
          <cell r="I114" t="str">
            <v>Katyal,Varun</v>
          </cell>
          <cell r="J114" t="str">
            <v>ADEC</v>
          </cell>
        </row>
        <row r="115">
          <cell r="A115">
            <v>203908332</v>
          </cell>
          <cell r="B115" t="str">
            <v>siasiimw</v>
          </cell>
          <cell r="C115" t="str">
            <v>ASIIMWE,SIMON</v>
          </cell>
          <cell r="D115">
            <v>13151336</v>
          </cell>
          <cell r="E115">
            <v>1299</v>
          </cell>
          <cell r="F115" t="str">
            <v>Mon Sep 02 00:00:00 UTC 2024</v>
          </cell>
          <cell r="G115" t="str">
            <v>3PTY</v>
          </cell>
          <cell r="H115" t="str">
            <v>Active</v>
          </cell>
          <cell r="I115" t="str">
            <v>Thomas,Binil</v>
          </cell>
          <cell r="J115" t="str">
            <v>DULS</v>
          </cell>
        </row>
        <row r="116">
          <cell r="A116">
            <v>203522217</v>
          </cell>
          <cell r="B116" t="str">
            <v>korkwaku</v>
          </cell>
          <cell r="C116" t="str">
            <v>Kwaku,Koranteng Joseph</v>
          </cell>
          <cell r="D116">
            <v>13837488</v>
          </cell>
          <cell r="E116">
            <v>1299</v>
          </cell>
          <cell r="F116" t="str">
            <v>Thu Jun 20 00:00:00 UTC 2024</v>
          </cell>
          <cell r="G116" t="str">
            <v>3PTY</v>
          </cell>
          <cell r="H116" t="str">
            <v>Active</v>
          </cell>
          <cell r="I116" t="str">
            <v>Thomas,Binil</v>
          </cell>
          <cell r="J116" t="str">
            <v>ADEC</v>
          </cell>
        </row>
        <row r="117">
          <cell r="A117">
            <v>208024061</v>
          </cell>
          <cell r="B117" t="str">
            <v>manvisak</v>
          </cell>
          <cell r="C117" t="str">
            <v>Manmadhan,Visakh Plakkalaparambil</v>
          </cell>
          <cell r="D117">
            <v>11759066</v>
          </cell>
          <cell r="E117">
            <v>1200</v>
          </cell>
          <cell r="F117" t="str">
            <v>Thu Jul 16 00:00:00 UTC 2026</v>
          </cell>
          <cell r="G117" t="str">
            <v>3PTY</v>
          </cell>
          <cell r="H117" t="str">
            <v>Active</v>
          </cell>
          <cell r="I117" t="str">
            <v>Alhashmi,Abdulla</v>
          </cell>
          <cell r="J117" t="str">
            <v>SNTC</v>
          </cell>
        </row>
        <row r="118">
          <cell r="A118">
            <v>203800602</v>
          </cell>
          <cell r="B118" t="str">
            <v>agabamag</v>
          </cell>
          <cell r="C118" t="str">
            <v>AGABA,MARTIN</v>
          </cell>
          <cell r="D118">
            <v>12545732</v>
          </cell>
          <cell r="E118">
            <v>1299</v>
          </cell>
          <cell r="F118" t="str">
            <v>Mon Aug 12 00:00:00 UTC 2024</v>
          </cell>
          <cell r="G118" t="str">
            <v>3PTY</v>
          </cell>
          <cell r="H118" t="str">
            <v>Active</v>
          </cell>
          <cell r="I118" t="str">
            <v>Meera,Bava Bahrudeen</v>
          </cell>
          <cell r="J118" t="str">
            <v>DULS</v>
          </cell>
        </row>
        <row r="119">
          <cell r="A119">
            <v>205214424</v>
          </cell>
          <cell r="B119" t="str">
            <v>gauraima</v>
          </cell>
          <cell r="C119" t="str">
            <v>Rai Magar,Gaushila</v>
          </cell>
          <cell r="D119">
            <v>12300795</v>
          </cell>
          <cell r="E119">
            <v>1712</v>
          </cell>
          <cell r="F119" t="str">
            <v>Sun Apr 27 00:00:00 UTC 2025</v>
          </cell>
          <cell r="G119" t="str">
            <v>3PTY</v>
          </cell>
          <cell r="H119" t="str">
            <v>Active</v>
          </cell>
          <cell r="I119" t="str">
            <v>POGALA,HAREESH</v>
          </cell>
          <cell r="J119" t="str">
            <v>KBTS</v>
          </cell>
        </row>
        <row r="120">
          <cell r="A120">
            <v>203881697</v>
          </cell>
          <cell r="B120" t="str">
            <v>winashcr</v>
          </cell>
          <cell r="C120" t="str">
            <v>Ashcroft,Winston Desmond Adesumi</v>
          </cell>
          <cell r="D120">
            <v>14997356</v>
          </cell>
          <cell r="E120">
            <v>1299</v>
          </cell>
          <cell r="F120" t="str">
            <v>Mon Aug 26 00:00:00 UTC 2024</v>
          </cell>
          <cell r="G120" t="str">
            <v>3PTY</v>
          </cell>
          <cell r="H120" t="str">
            <v>Active</v>
          </cell>
          <cell r="I120" t="str">
            <v>Ansari,Ammar Abdullah</v>
          </cell>
          <cell r="J120" t="str">
            <v>FLO</v>
          </cell>
        </row>
        <row r="121">
          <cell r="A121">
            <v>205279080</v>
          </cell>
          <cell r="B121" t="str">
            <v>namasara</v>
          </cell>
          <cell r="C121" t="str">
            <v>Namakula,Sarah</v>
          </cell>
          <cell r="D121">
            <v>14778031</v>
          </cell>
          <cell r="E121">
            <v>1299</v>
          </cell>
          <cell r="F121" t="str">
            <v>Thu May 15 00:00:00 UTC 2025</v>
          </cell>
          <cell r="G121" t="str">
            <v>3PTY</v>
          </cell>
          <cell r="H121" t="str">
            <v>Active</v>
          </cell>
          <cell r="I121" t="str">
            <v>Scaria,Varghese</v>
          </cell>
          <cell r="J121" t="str">
            <v>EFSV</v>
          </cell>
        </row>
        <row r="122">
          <cell r="A122">
            <v>206915466</v>
          </cell>
          <cell r="B122" t="str">
            <v>almsukwf</v>
          </cell>
          <cell r="C122" t="str">
            <v>MSUKWA,ALEX</v>
          </cell>
          <cell r="D122">
            <v>14039778</v>
          </cell>
          <cell r="E122">
            <v>1299</v>
          </cell>
          <cell r="F122" t="str">
            <v>Mon Jan 12 00:00:00 UTC 2026</v>
          </cell>
          <cell r="G122" t="str">
            <v>3PTY</v>
          </cell>
          <cell r="H122" t="str">
            <v>Active</v>
          </cell>
          <cell r="I122" t="str">
            <v>Lakkireddy,Sai Raghavendra Reddy</v>
          </cell>
          <cell r="J122" t="str">
            <v>DULS</v>
          </cell>
        </row>
        <row r="123">
          <cell r="A123">
            <v>206915472</v>
          </cell>
          <cell r="B123" t="str">
            <v>ssqurais</v>
          </cell>
          <cell r="C123" t="str">
            <v>SSEMATIMBA,QURAISH</v>
          </cell>
          <cell r="D123">
            <v>12600407</v>
          </cell>
          <cell r="E123">
            <v>1299</v>
          </cell>
          <cell r="F123" t="str">
            <v>Mon Jan 12 00:00:00 UTC 2026</v>
          </cell>
          <cell r="G123" t="str">
            <v>3PTY</v>
          </cell>
          <cell r="H123" t="str">
            <v>Active</v>
          </cell>
          <cell r="I123" t="str">
            <v>Thomas,Binil</v>
          </cell>
          <cell r="J123" t="str">
            <v>DULS</v>
          </cell>
        </row>
        <row r="124">
          <cell r="A124">
            <v>203965179</v>
          </cell>
          <cell r="B124" t="str">
            <v>kiifiank</v>
          </cell>
          <cell r="C124" t="str">
            <v>Fianko,Kingsley Ohene</v>
          </cell>
          <cell r="D124">
            <v>11439942</v>
          </cell>
          <cell r="E124">
            <v>1299</v>
          </cell>
          <cell r="F124" t="str">
            <v>Mon Sep 09 00:00:00 UTC 2024</v>
          </cell>
          <cell r="G124" t="str">
            <v>3PTY</v>
          </cell>
          <cell r="H124" t="str">
            <v>Active</v>
          </cell>
          <cell r="I124" t="str">
            <v>Lakkireddy,Sai Raghavendra Reddy</v>
          </cell>
          <cell r="J124" t="str">
            <v>EFSV</v>
          </cell>
        </row>
        <row r="125">
          <cell r="A125">
            <v>205233462</v>
          </cell>
          <cell r="B125" t="str">
            <v>kalamsid</v>
          </cell>
          <cell r="C125" t="str">
            <v>Kalam Siddiqui,Ehtesam Siddiqui</v>
          </cell>
          <cell r="D125">
            <v>13225821</v>
          </cell>
          <cell r="E125">
            <v>1711</v>
          </cell>
          <cell r="F125" t="str">
            <v>Fri May 02 00:00:00 UTC 2025</v>
          </cell>
          <cell r="G125" t="str">
            <v>3PTY</v>
          </cell>
          <cell r="H125" t="str">
            <v>Active</v>
          </cell>
          <cell r="I125" t="str">
            <v>Rizvan,Mohamed</v>
          </cell>
          <cell r="J125" t="str">
            <v>KBTS</v>
          </cell>
        </row>
        <row r="126">
          <cell r="A126">
            <v>206873643</v>
          </cell>
          <cell r="B126" t="str">
            <v>hekibuuk</v>
          </cell>
          <cell r="C126" t="str">
            <v>KIBUUKA,HERMAN</v>
          </cell>
          <cell r="D126">
            <v>13439643</v>
          </cell>
          <cell r="E126">
            <v>1299</v>
          </cell>
          <cell r="F126" t="str">
            <v>Mon Dec 29 00:00:00 UTC 2025</v>
          </cell>
          <cell r="G126" t="str">
            <v>3PTY</v>
          </cell>
          <cell r="H126" t="str">
            <v>Active</v>
          </cell>
          <cell r="I126" t="str">
            <v>Katyal,Varun</v>
          </cell>
          <cell r="J126" t="str">
            <v>FLO</v>
          </cell>
        </row>
        <row r="127">
          <cell r="A127">
            <v>205242024</v>
          </cell>
          <cell r="B127" t="str">
            <v>sejmdsha</v>
          </cell>
          <cell r="C127" t="str">
            <v>Md Shahajalal,Sefat Ullah</v>
          </cell>
          <cell r="D127">
            <v>14974909</v>
          </cell>
          <cell r="E127">
            <v>1712</v>
          </cell>
          <cell r="F127" t="str">
            <v>Sun May 04 00:00:00 UTC 2025</v>
          </cell>
          <cell r="G127" t="str">
            <v>3PTY</v>
          </cell>
          <cell r="H127" t="str">
            <v>Active</v>
          </cell>
          <cell r="I127" t="str">
            <v>POGALA,HAREESH</v>
          </cell>
          <cell r="J127" t="str">
            <v>KBTS</v>
          </cell>
        </row>
        <row r="128">
          <cell r="A128">
            <v>204967049</v>
          </cell>
          <cell r="B128" t="str">
            <v>markumek</v>
          </cell>
          <cell r="C128" t="str">
            <v>KUMEKPE,MARTIN</v>
          </cell>
          <cell r="D128">
            <v>15309575</v>
          </cell>
          <cell r="E128">
            <v>1299</v>
          </cell>
          <cell r="F128" t="str">
            <v>Wed Jun 18 00:00:00 UTC 2025</v>
          </cell>
          <cell r="G128" t="str">
            <v>3PTY</v>
          </cell>
          <cell r="H128" t="str">
            <v>Active</v>
          </cell>
          <cell r="I128" t="str">
            <v>Katyal,Varun</v>
          </cell>
          <cell r="J128" t="str">
            <v>DULS</v>
          </cell>
        </row>
        <row r="129">
          <cell r="A129">
            <v>203813083</v>
          </cell>
          <cell r="B129" t="str">
            <v>janarsre</v>
          </cell>
          <cell r="C129" t="str">
            <v>JANARDHANAN,SREEKUTTAN KOTTUKKALPARAMBU</v>
          </cell>
          <cell r="D129">
            <v>211595</v>
          </cell>
          <cell r="E129">
            <v>1299</v>
          </cell>
          <cell r="F129" t="str">
            <v>Tue Aug 13 00:00:00 UTC 2024</v>
          </cell>
          <cell r="G129" t="str">
            <v>3PTY</v>
          </cell>
          <cell r="H129" t="str">
            <v>Active</v>
          </cell>
          <cell r="I129" t="str">
            <v>Katyal,Varun</v>
          </cell>
          <cell r="J129" t="str">
            <v>ADEC</v>
          </cell>
        </row>
        <row r="130">
          <cell r="A130">
            <v>204033425</v>
          </cell>
          <cell r="B130" t="str">
            <v>kanuprly</v>
          </cell>
          <cell r="C130" t="str">
            <v>Kalaiselvan,Anupriya</v>
          </cell>
          <cell r="D130">
            <v>12357296</v>
          </cell>
          <cell r="E130">
            <v>1299</v>
          </cell>
          <cell r="F130" t="str">
            <v>Tue Sep 17 00:00:00 UTC 2024</v>
          </cell>
          <cell r="G130" t="str">
            <v>3PTY</v>
          </cell>
          <cell r="H130" t="str">
            <v>Active</v>
          </cell>
          <cell r="I130" t="str">
            <v>Joshi,Anirudh</v>
          </cell>
          <cell r="J130" t="str">
            <v>FLO</v>
          </cell>
        </row>
        <row r="131">
          <cell r="A131">
            <v>205854083</v>
          </cell>
          <cell r="B131" t="str">
            <v>jwanjird</v>
          </cell>
          <cell r="C131" t="str">
            <v>wanjiru,Joy</v>
          </cell>
          <cell r="D131">
            <v>11034951</v>
          </cell>
          <cell r="E131">
            <v>1299</v>
          </cell>
          <cell r="F131" t="str">
            <v>Mon Aug 25 00:00:00 UTC 2025</v>
          </cell>
          <cell r="G131" t="str">
            <v>3PTY</v>
          </cell>
          <cell r="H131" t="str">
            <v>Active</v>
          </cell>
          <cell r="I131" t="str">
            <v>Thomas,Binil</v>
          </cell>
          <cell r="J131" t="str">
            <v>EFSV</v>
          </cell>
        </row>
        <row r="132">
          <cell r="A132">
            <v>207470993</v>
          </cell>
          <cell r="B132" t="str">
            <v>muzzammu</v>
          </cell>
          <cell r="C132" t="str">
            <v>Muhammad Jamil Azad,Muzzamil Hussain</v>
          </cell>
          <cell r="D132">
            <v>14751893</v>
          </cell>
          <cell r="E132">
            <v>1712</v>
          </cell>
          <cell r="F132" t="str">
            <v>Sun May 10 00:00:00 UTC 2026</v>
          </cell>
          <cell r="G132" t="str">
            <v>3PTY</v>
          </cell>
          <cell r="H132" t="str">
            <v>Active</v>
          </cell>
          <cell r="I132" t="str">
            <v>ramadoss,vadivel</v>
          </cell>
          <cell r="J132" t="str">
            <v>KBTS</v>
          </cell>
        </row>
        <row r="133">
          <cell r="A133">
            <v>203850779</v>
          </cell>
          <cell r="B133" t="str">
            <v>lamissia</v>
          </cell>
          <cell r="C133" t="str">
            <v>Abatala,Lamissi</v>
          </cell>
          <cell r="D133">
            <v>12829423</v>
          </cell>
          <cell r="E133">
            <v>1299</v>
          </cell>
          <cell r="F133" t="str">
            <v>Tue Aug 20 00:00:00 UTC 2024</v>
          </cell>
          <cell r="G133" t="str">
            <v>3PTY</v>
          </cell>
          <cell r="H133" t="str">
            <v>Active</v>
          </cell>
          <cell r="I133" t="str">
            <v>Meera,Bava Bahrudeen</v>
          </cell>
          <cell r="J133" t="str">
            <v>FLO</v>
          </cell>
        </row>
        <row r="134">
          <cell r="A134">
            <v>205848042</v>
          </cell>
          <cell r="B134" t="str">
            <v>carkorir</v>
          </cell>
          <cell r="C134" t="str">
            <v>KORIR,CAROLINE JELIMO</v>
          </cell>
          <cell r="D134">
            <v>12379031</v>
          </cell>
          <cell r="E134">
            <v>1299</v>
          </cell>
          <cell r="F134" t="str">
            <v>Mon Aug 25 00:00:00 UTC 2025</v>
          </cell>
          <cell r="G134" t="str">
            <v>3PTY</v>
          </cell>
          <cell r="H134" t="str">
            <v>Active</v>
          </cell>
          <cell r="I134" t="str">
            <v>Lakkireddy,Sai Raghavendra Reddy</v>
          </cell>
          <cell r="J134" t="str">
            <v>EFSV</v>
          </cell>
        </row>
        <row r="135">
          <cell r="A135">
            <v>206129606</v>
          </cell>
          <cell r="B135" t="str">
            <v>remmanda</v>
          </cell>
          <cell r="C135" t="str">
            <v>Dapaa,Emmanuel</v>
          </cell>
          <cell r="D135">
            <v>13277151</v>
          </cell>
          <cell r="E135">
            <v>1299</v>
          </cell>
          <cell r="F135" t="str">
            <v>Mon Sep 29 00:00:00 UTC 2025</v>
          </cell>
          <cell r="G135" t="str">
            <v>3PTY</v>
          </cell>
          <cell r="H135" t="str">
            <v>Active</v>
          </cell>
          <cell r="I135" t="str">
            <v>Narshad,Muhammad Ashik</v>
          </cell>
          <cell r="J135" t="str">
            <v>FLO</v>
          </cell>
        </row>
        <row r="136">
          <cell r="A136">
            <v>204010424</v>
          </cell>
          <cell r="B136" t="str">
            <v>ssegeoff</v>
          </cell>
          <cell r="C136" t="str">
            <v>SSEMPA,GEOFFREY</v>
          </cell>
          <cell r="D136">
            <v>12969069</v>
          </cell>
          <cell r="E136">
            <v>1299</v>
          </cell>
          <cell r="F136" t="str">
            <v>Mon Sep 16 00:00:00 UTC 2024</v>
          </cell>
          <cell r="G136" t="str">
            <v>3PTY</v>
          </cell>
          <cell r="H136" t="str">
            <v>Active</v>
          </cell>
          <cell r="I136" t="str">
            <v>Ansari,Ammar Abdullah</v>
          </cell>
          <cell r="J136" t="str">
            <v>DULS</v>
          </cell>
        </row>
        <row r="137">
          <cell r="A137">
            <v>203908841</v>
          </cell>
          <cell r="B137" t="str">
            <v>derriatt</v>
          </cell>
          <cell r="C137" t="str">
            <v>Attipoe,Derrickson</v>
          </cell>
          <cell r="D137">
            <v>11034437</v>
          </cell>
          <cell r="E137">
            <v>1299</v>
          </cell>
          <cell r="F137" t="str">
            <v>Mon Sep 02 00:00:00 UTC 2024</v>
          </cell>
          <cell r="G137" t="str">
            <v>3PTY</v>
          </cell>
          <cell r="H137" t="str">
            <v>Active</v>
          </cell>
          <cell r="I137" t="str">
            <v>Lakkireddy,Sai Raghavendra Reddy</v>
          </cell>
          <cell r="J137" t="str">
            <v>FLO</v>
          </cell>
        </row>
        <row r="138">
          <cell r="A138">
            <v>206676538</v>
          </cell>
          <cell r="B138" t="str">
            <v>sulayiti</v>
          </cell>
          <cell r="C138" t="str">
            <v>Mayanja,Sulayiti</v>
          </cell>
          <cell r="D138">
            <v>12286694</v>
          </cell>
          <cell r="E138">
            <v>1712</v>
          </cell>
          <cell r="F138" t="str">
            <v>Wed Nov 19 00:00:00 UTC 2025</v>
          </cell>
          <cell r="G138" t="str">
            <v>3PTY</v>
          </cell>
          <cell r="H138" t="str">
            <v>Active</v>
          </cell>
          <cell r="I138" t="str">
            <v>POGALA,HAREESH</v>
          </cell>
          <cell r="J138" t="str">
            <v>KBTS</v>
          </cell>
        </row>
        <row r="139">
          <cell r="A139">
            <v>204801714</v>
          </cell>
          <cell r="B139" t="str">
            <v>msaifahm</v>
          </cell>
          <cell r="C139" t="str">
            <v>Moeez Ahmad,Saif Ahmad</v>
          </cell>
          <cell r="D139">
            <v>12978045</v>
          </cell>
          <cell r="E139">
            <v>1712</v>
          </cell>
          <cell r="F139" t="str">
            <v>Wed Jan 01 00:00:00 UTC 2025</v>
          </cell>
          <cell r="G139" t="str">
            <v>3PTY</v>
          </cell>
          <cell r="H139" t="str">
            <v>Active</v>
          </cell>
          <cell r="I139" t="str">
            <v>Rizvan,Mohamed</v>
          </cell>
          <cell r="J139" t="str">
            <v>TDTS</v>
          </cell>
        </row>
        <row r="140">
          <cell r="A140">
            <v>204864410</v>
          </cell>
          <cell r="B140" t="str">
            <v>kubiandr</v>
          </cell>
          <cell r="C140" t="str">
            <v>KUBI,ANDREWS APPIAH</v>
          </cell>
          <cell r="D140">
            <v>12848899</v>
          </cell>
          <cell r="E140">
            <v>1299</v>
          </cell>
          <cell r="F140" t="str">
            <v>Mon Jan 27 00:00:00 UTC 2025</v>
          </cell>
          <cell r="G140" t="str">
            <v>3PTY</v>
          </cell>
          <cell r="H140" t="str">
            <v>Active</v>
          </cell>
          <cell r="I140" t="str">
            <v>Lakkireddy,Sai Raghavendra Reddy</v>
          </cell>
          <cell r="J140" t="str">
            <v>DULS</v>
          </cell>
        </row>
        <row r="141">
          <cell r="A141">
            <v>206065195</v>
          </cell>
          <cell r="B141" t="str">
            <v>dangbaso</v>
          </cell>
          <cell r="C141" t="str">
            <v>Basonege,Daniel</v>
          </cell>
          <cell r="D141">
            <v>15173672</v>
          </cell>
          <cell r="E141">
            <v>1299</v>
          </cell>
          <cell r="F141" t="str">
            <v>Mon Sep 22 00:00:00 UTC 2025</v>
          </cell>
          <cell r="G141" t="str">
            <v>3PTY</v>
          </cell>
          <cell r="H141" t="str">
            <v>Active</v>
          </cell>
          <cell r="I141" t="str">
            <v>Katyal,Varun</v>
          </cell>
          <cell r="J141" t="str">
            <v>FLO</v>
          </cell>
        </row>
        <row r="142">
          <cell r="A142">
            <v>206260774</v>
          </cell>
          <cell r="B142" t="str">
            <v>tuhaisfr</v>
          </cell>
          <cell r="C142" t="str">
            <v>Tuhaise,Francis</v>
          </cell>
          <cell r="D142">
            <v>14153245</v>
          </cell>
          <cell r="E142">
            <v>1712</v>
          </cell>
          <cell r="F142" t="str">
            <v>Sun Oct 12 00:00:00 UTC 2025</v>
          </cell>
          <cell r="G142" t="str">
            <v>3PTY</v>
          </cell>
          <cell r="H142" t="str">
            <v>Active</v>
          </cell>
          <cell r="I142" t="str">
            <v>Rizvan,Mohamed</v>
          </cell>
          <cell r="J142" t="str">
            <v>KBTS</v>
          </cell>
        </row>
        <row r="143">
          <cell r="A143">
            <v>206886644</v>
          </cell>
          <cell r="B143" t="str">
            <v>jepsharo</v>
          </cell>
          <cell r="C143" t="str">
            <v>Jepkemboi,Sharon</v>
          </cell>
          <cell r="D143">
            <v>13911739</v>
          </cell>
          <cell r="E143">
            <v>1299</v>
          </cell>
          <cell r="F143" t="str">
            <v>Mon Jan 05 00:00:00 UTC 2026</v>
          </cell>
          <cell r="G143" t="str">
            <v>3PTY</v>
          </cell>
          <cell r="H143" t="str">
            <v>Active</v>
          </cell>
          <cell r="I143" t="str">
            <v>Narshad,Muhammad Ashik</v>
          </cell>
          <cell r="J143" t="str">
            <v>EFSV</v>
          </cell>
        </row>
        <row r="144">
          <cell r="A144">
            <v>205477624</v>
          </cell>
          <cell r="B144" t="str">
            <v>xjonyank</v>
          </cell>
          <cell r="C144" t="str">
            <v>NYANKEY,JOHN</v>
          </cell>
          <cell r="D144">
            <v>11069200</v>
          </cell>
          <cell r="E144">
            <v>1299</v>
          </cell>
          <cell r="F144" t="str">
            <v>Mon Jun 23 00:00:00 UTC 2025</v>
          </cell>
          <cell r="G144" t="str">
            <v>3PTY</v>
          </cell>
          <cell r="H144" t="str">
            <v>Active</v>
          </cell>
          <cell r="I144" t="str">
            <v>Katyal,Varun</v>
          </cell>
          <cell r="J144" t="str">
            <v>DULS</v>
          </cell>
        </row>
        <row r="145">
          <cell r="A145">
            <v>203965024</v>
          </cell>
          <cell r="B145" t="str">
            <v>yeaunga</v>
          </cell>
          <cell r="C145" t="str">
            <v>Ye,Aung</v>
          </cell>
          <cell r="D145">
            <v>12126391</v>
          </cell>
          <cell r="E145">
            <v>1299</v>
          </cell>
          <cell r="F145" t="str">
            <v>Mon Sep 09 00:00:00 UTC 2024</v>
          </cell>
          <cell r="G145" t="str">
            <v>3PTY</v>
          </cell>
          <cell r="H145" t="str">
            <v>Active</v>
          </cell>
          <cell r="I145" t="str">
            <v>Lakkireddy,Sai Raghavendra Reddy</v>
          </cell>
          <cell r="J145" t="str">
            <v>ADEC</v>
          </cell>
        </row>
        <row r="146">
          <cell r="A146">
            <v>203737015</v>
          </cell>
          <cell r="B146" t="str">
            <v>uakatuks</v>
          </cell>
          <cell r="C146" t="str">
            <v>Akatukunda,Sheila Precious</v>
          </cell>
          <cell r="D146">
            <v>12891324</v>
          </cell>
          <cell r="E146">
            <v>1299</v>
          </cell>
          <cell r="F146" t="str">
            <v>Mon Jul 29 00:00:00 UTC 2024</v>
          </cell>
          <cell r="G146" t="str">
            <v>3PTY</v>
          </cell>
          <cell r="H146" t="str">
            <v>Active</v>
          </cell>
          <cell r="I146" t="str">
            <v>Katyal,Varun</v>
          </cell>
          <cell r="J146" t="str">
            <v>FLO</v>
          </cell>
        </row>
        <row r="147">
          <cell r="A147">
            <v>207470997</v>
          </cell>
          <cell r="B147" t="str">
            <v>jaopoku</v>
          </cell>
          <cell r="C147" t="str">
            <v>Opoku,James</v>
          </cell>
          <cell r="D147">
            <v>237599</v>
          </cell>
          <cell r="E147">
            <v>1712</v>
          </cell>
          <cell r="F147" t="str">
            <v>Sun May 10 00:00:00 UTC 2026</v>
          </cell>
          <cell r="G147" t="str">
            <v>3PTY</v>
          </cell>
          <cell r="H147" t="str">
            <v>Active</v>
          </cell>
          <cell r="I147" t="str">
            <v>ramadoss,vadivel</v>
          </cell>
          <cell r="J147" t="str">
            <v>KBTS</v>
          </cell>
        </row>
        <row r="148">
          <cell r="A148">
            <v>204138500</v>
          </cell>
          <cell r="B148" t="str">
            <v>dasaemma</v>
          </cell>
          <cell r="C148" t="str">
            <v>Asante,Emmanuel</v>
          </cell>
          <cell r="D148">
            <v>14873246</v>
          </cell>
          <cell r="E148">
            <v>1299</v>
          </cell>
          <cell r="F148" t="str">
            <v>Mon Sep 30 00:00:00 UTC 2024</v>
          </cell>
          <cell r="G148" t="str">
            <v>3PTY</v>
          </cell>
          <cell r="H148" t="str">
            <v>Active</v>
          </cell>
          <cell r="I148" t="str">
            <v>Narshad,Muhammad Ashik</v>
          </cell>
          <cell r="J148" t="str">
            <v>QUES</v>
          </cell>
        </row>
        <row r="149">
          <cell r="A149">
            <v>206814536</v>
          </cell>
          <cell r="B149" t="str">
            <v>kamangs</v>
          </cell>
          <cell r="C149" t="str">
            <v>Kamanga,Sam</v>
          </cell>
          <cell r="D149">
            <v>12347406</v>
          </cell>
          <cell r="E149">
            <v>1712</v>
          </cell>
          <cell r="F149" t="str">
            <v>Tue Dec 09 00:00:00 UTC 2025</v>
          </cell>
          <cell r="G149" t="str">
            <v>3PTY</v>
          </cell>
          <cell r="H149" t="str">
            <v>Active</v>
          </cell>
          <cell r="I149" t="str">
            <v>AbdElhakim,Ammar</v>
          </cell>
          <cell r="J149" t="str">
            <v>KBTS</v>
          </cell>
        </row>
        <row r="150">
          <cell r="A150">
            <v>203741547</v>
          </cell>
          <cell r="B150" t="str">
            <v>okrahcha</v>
          </cell>
          <cell r="C150" t="str">
            <v>OKRAH,CHARLES</v>
          </cell>
          <cell r="D150">
            <v>14201701</v>
          </cell>
          <cell r="E150">
            <v>1299</v>
          </cell>
          <cell r="F150" t="str">
            <v>Tue Aug 13 00:00:00 UTC 2024</v>
          </cell>
          <cell r="G150" t="str">
            <v>3PTY</v>
          </cell>
          <cell r="H150" t="str">
            <v>Active</v>
          </cell>
          <cell r="I150" t="str">
            <v>Sohail,Anis</v>
          </cell>
          <cell r="J150" t="str">
            <v>FLO</v>
          </cell>
        </row>
        <row r="151">
          <cell r="A151">
            <v>206957730</v>
          </cell>
          <cell r="B151" t="str">
            <v>ochijame</v>
          </cell>
          <cell r="C151" t="str">
            <v>Ochieng,James</v>
          </cell>
          <cell r="D151">
            <v>14999851</v>
          </cell>
          <cell r="E151">
            <v>1299</v>
          </cell>
          <cell r="F151" t="str">
            <v>Mon Jan 26 00:00:00 UTC 2026</v>
          </cell>
          <cell r="G151" t="str">
            <v>3PTY</v>
          </cell>
          <cell r="H151" t="str">
            <v>Active</v>
          </cell>
          <cell r="I151" t="str">
            <v>Sohail,Anis</v>
          </cell>
          <cell r="J151" t="str">
            <v>EFSV</v>
          </cell>
        </row>
        <row r="152">
          <cell r="A152">
            <v>203741317</v>
          </cell>
          <cell r="B152" t="str">
            <v>remmanai</v>
          </cell>
          <cell r="C152" t="str">
            <v>Aidoo,Emmanuel</v>
          </cell>
          <cell r="D152">
            <v>13679179</v>
          </cell>
          <cell r="E152">
            <v>1299</v>
          </cell>
          <cell r="F152" t="str">
            <v>Mon Jul 29 00:00:00 UTC 2024</v>
          </cell>
          <cell r="G152" t="str">
            <v>3PTY</v>
          </cell>
          <cell r="H152" t="str">
            <v>Active</v>
          </cell>
          <cell r="I152" t="str">
            <v>Katyal,Varun</v>
          </cell>
          <cell r="J152" t="str">
            <v>FLO</v>
          </cell>
        </row>
        <row r="153">
          <cell r="A153">
            <v>205609554</v>
          </cell>
          <cell r="B153" t="str">
            <v>bishwsan</v>
          </cell>
          <cell r="C153" t="str">
            <v>Sandesh,Bishwokarma</v>
          </cell>
          <cell r="D153">
            <v>11108216</v>
          </cell>
          <cell r="E153">
            <v>1712</v>
          </cell>
          <cell r="F153" t="str">
            <v>Thu Jul 03 00:00:00 UTC 2025</v>
          </cell>
          <cell r="G153" t="str">
            <v>3PTY</v>
          </cell>
          <cell r="H153" t="str">
            <v>Active</v>
          </cell>
          <cell r="I153" t="str">
            <v>POGALA,HAREESH</v>
          </cell>
          <cell r="J153" t="str">
            <v>KBTS</v>
          </cell>
        </row>
        <row r="154">
          <cell r="A154">
            <v>204138116</v>
          </cell>
          <cell r="B154" t="str">
            <v>fodaigak</v>
          </cell>
          <cell r="C154" t="str">
            <v>Daiga Kingsly,Fongoh</v>
          </cell>
          <cell r="D154">
            <v>13542497</v>
          </cell>
          <cell r="E154">
            <v>1299</v>
          </cell>
          <cell r="F154" t="str">
            <v>Mon Sep 30 00:00:00 UTC 2024</v>
          </cell>
          <cell r="G154" t="str">
            <v>3PTY</v>
          </cell>
          <cell r="H154" t="str">
            <v>Active</v>
          </cell>
          <cell r="I154" t="str">
            <v>Lakkireddy,Sai Raghavendra Reddy</v>
          </cell>
          <cell r="J154" t="str">
            <v>QUES</v>
          </cell>
        </row>
        <row r="155">
          <cell r="A155">
            <v>204172862</v>
          </cell>
          <cell r="B155" t="str">
            <v>edinakye</v>
          </cell>
          <cell r="C155" t="str">
            <v>Kyeremaa,Edina</v>
          </cell>
          <cell r="D155">
            <v>11826217</v>
          </cell>
          <cell r="E155">
            <v>1299</v>
          </cell>
          <cell r="F155" t="str">
            <v>Thu Oct 03 00:00:00 UTC 2024</v>
          </cell>
          <cell r="G155" t="str">
            <v>3PTY</v>
          </cell>
          <cell r="H155" t="str">
            <v>Active</v>
          </cell>
          <cell r="I155" t="str">
            <v>Thomas,Binil</v>
          </cell>
          <cell r="J155" t="str">
            <v>FLO</v>
          </cell>
        </row>
        <row r="156">
          <cell r="A156">
            <v>206199915</v>
          </cell>
          <cell r="B156" t="str">
            <v>ashrajin</v>
          </cell>
          <cell r="C156" t="str">
            <v>RAJINDER KUMAR,ASHISH</v>
          </cell>
          <cell r="D156">
            <v>14908701</v>
          </cell>
          <cell r="E156">
            <v>1299</v>
          </cell>
          <cell r="F156" t="str">
            <v>Mon Oct 06 00:00:00 UTC 2025</v>
          </cell>
          <cell r="G156" t="str">
            <v>3PTY</v>
          </cell>
          <cell r="H156" t="str">
            <v>Active</v>
          </cell>
          <cell r="I156" t="str">
            <v>Narshad,Muhammad Ashik</v>
          </cell>
          <cell r="J156" t="str">
            <v>FLO</v>
          </cell>
        </row>
        <row r="157">
          <cell r="A157">
            <v>206004602</v>
          </cell>
          <cell r="B157" t="str">
            <v>pauwkona</v>
          </cell>
          <cell r="C157" t="str">
            <v>KONAMAH BOATENG,PAULINA</v>
          </cell>
          <cell r="D157">
            <v>11398899</v>
          </cell>
          <cell r="E157">
            <v>1299</v>
          </cell>
          <cell r="F157" t="str">
            <v>Mon Sep 22 00:00:00 UTC 2025</v>
          </cell>
          <cell r="G157" t="str">
            <v>3PTY</v>
          </cell>
          <cell r="H157" t="str">
            <v>Active</v>
          </cell>
          <cell r="I157" t="str">
            <v>Ansari,Ammar Abdullah</v>
          </cell>
          <cell r="J157" t="str">
            <v>FLO</v>
          </cell>
        </row>
        <row r="158">
          <cell r="A158">
            <v>203850930</v>
          </cell>
          <cell r="B158" t="str">
            <v>vmustapa</v>
          </cell>
          <cell r="C158" t="str">
            <v>Mustapha,Aminatu Korkor</v>
          </cell>
          <cell r="D158">
            <v>14001676</v>
          </cell>
          <cell r="E158">
            <v>1299</v>
          </cell>
          <cell r="F158" t="str">
            <v>Tue Aug 20 00:00:00 UTC 2024</v>
          </cell>
          <cell r="G158" t="str">
            <v>3PTY</v>
          </cell>
          <cell r="H158" t="str">
            <v>Active</v>
          </cell>
          <cell r="I158" t="str">
            <v>Dinberu,Eden</v>
          </cell>
          <cell r="J158" t="str">
            <v>FLO</v>
          </cell>
        </row>
        <row r="159">
          <cell r="A159">
            <v>206953984</v>
          </cell>
          <cell r="B159" t="str">
            <v>kamwadan</v>
          </cell>
          <cell r="C159" t="str">
            <v>KAMWATHENDO,DANIEL</v>
          </cell>
          <cell r="D159">
            <v>83681</v>
          </cell>
          <cell r="E159">
            <v>1299</v>
          </cell>
          <cell r="F159" t="str">
            <v>Mon Jan 26 00:00:00 UTC 2026</v>
          </cell>
          <cell r="G159" t="str">
            <v>3PTY</v>
          </cell>
          <cell r="H159" t="str">
            <v>Active</v>
          </cell>
          <cell r="I159" t="str">
            <v>Sohail,Anis</v>
          </cell>
          <cell r="J159" t="str">
            <v>DULS</v>
          </cell>
        </row>
        <row r="160">
          <cell r="A160">
            <v>207719998</v>
          </cell>
          <cell r="B160" t="str">
            <v>jamkagim</v>
          </cell>
          <cell r="C160" t="str">
            <v>Kagimbura,James</v>
          </cell>
          <cell r="D160">
            <v>13475329</v>
          </cell>
          <cell r="E160">
            <v>1316</v>
          </cell>
          <cell r="F160" t="str">
            <v>Thu Jun 11 00:00:00 UTC 2026</v>
          </cell>
          <cell r="G160" t="str">
            <v>3PTY</v>
          </cell>
          <cell r="H160" t="str">
            <v>Active</v>
          </cell>
          <cell r="I160" t="str">
            <v>Akhtar,Muhammad Zohaib</v>
          </cell>
          <cell r="J160" t="str">
            <v>WOFZ</v>
          </cell>
        </row>
        <row r="161">
          <cell r="A161">
            <v>205923172</v>
          </cell>
          <cell r="B161" t="str">
            <v>ukargjoh</v>
          </cell>
          <cell r="C161" t="str">
            <v>KARGBO,JOHN</v>
          </cell>
          <cell r="D161">
            <v>12288376</v>
          </cell>
          <cell r="E161">
            <v>1299</v>
          </cell>
          <cell r="F161" t="str">
            <v>Mon Sep 08 00:00:00 UTC 2025</v>
          </cell>
          <cell r="G161" t="str">
            <v>3PTY</v>
          </cell>
          <cell r="H161" t="str">
            <v>Active</v>
          </cell>
          <cell r="I161" t="str">
            <v>Narshad,Muhammad Ashik</v>
          </cell>
          <cell r="J161" t="str">
            <v>EFSV</v>
          </cell>
        </row>
        <row r="162">
          <cell r="A162">
            <v>206886517</v>
          </cell>
          <cell r="B162" t="str">
            <v>amukclin</v>
          </cell>
          <cell r="C162" t="str">
            <v>AMUKHOYWA,CLINTON</v>
          </cell>
          <cell r="D162">
            <v>14757317</v>
          </cell>
          <cell r="E162">
            <v>1299</v>
          </cell>
          <cell r="F162" t="str">
            <v>Mon Jan 05 00:00:00 UTC 2026</v>
          </cell>
          <cell r="G162" t="str">
            <v>3PTY</v>
          </cell>
          <cell r="H162" t="str">
            <v>Active</v>
          </cell>
          <cell r="I162" t="str">
            <v>Narshad,Muhammad Ashik</v>
          </cell>
          <cell r="J162" t="str">
            <v>EFSV</v>
          </cell>
        </row>
        <row r="163">
          <cell r="A163">
            <v>204137703</v>
          </cell>
          <cell r="B163" t="str">
            <v>blamoyam</v>
          </cell>
          <cell r="C163" t="str">
            <v>Yamah,Blama</v>
          </cell>
          <cell r="D163">
            <v>15289990</v>
          </cell>
          <cell r="E163">
            <v>1299</v>
          </cell>
          <cell r="F163" t="str">
            <v>Mon Sep 30 00:00:00 UTC 2024</v>
          </cell>
          <cell r="G163" t="str">
            <v>3PTY</v>
          </cell>
          <cell r="H163" t="str">
            <v>Active</v>
          </cell>
          <cell r="I163" t="str">
            <v>Scaria,Varghese</v>
          </cell>
          <cell r="J163" t="str">
            <v>QUES</v>
          </cell>
        </row>
        <row r="164">
          <cell r="A164">
            <v>203741324</v>
          </cell>
          <cell r="B164" t="str">
            <v>iahfrank</v>
          </cell>
          <cell r="C164" t="str">
            <v>AHEN,FRANK</v>
          </cell>
          <cell r="D164">
            <v>13409304</v>
          </cell>
          <cell r="E164">
            <v>1299</v>
          </cell>
          <cell r="F164" t="str">
            <v>Mon Jul 29 00:00:00 UTC 2024</v>
          </cell>
          <cell r="G164" t="str">
            <v>3PTY</v>
          </cell>
          <cell r="H164" t="str">
            <v>Active</v>
          </cell>
          <cell r="I164" t="str">
            <v>Katyal,Varun</v>
          </cell>
          <cell r="J164" t="str">
            <v>FLO</v>
          </cell>
        </row>
        <row r="165">
          <cell r="A165">
            <v>205495595</v>
          </cell>
          <cell r="B165" t="str">
            <v>nyabuniv</v>
          </cell>
          <cell r="C165" t="str">
            <v>NYABUTO,NIVAH MORAA</v>
          </cell>
          <cell r="D165">
            <v>12735185</v>
          </cell>
          <cell r="E165">
            <v>1299</v>
          </cell>
          <cell r="F165" t="str">
            <v>Mon Jun 23 00:00:00 UTC 2025</v>
          </cell>
          <cell r="G165" t="str">
            <v>3PTY</v>
          </cell>
          <cell r="H165" t="str">
            <v>Active</v>
          </cell>
          <cell r="I165" t="str">
            <v>Katyal,Varun</v>
          </cell>
          <cell r="J165" t="str">
            <v>EFSV</v>
          </cell>
        </row>
        <row r="166">
          <cell r="A166">
            <v>206015633</v>
          </cell>
          <cell r="B166" t="str">
            <v>ciliatan</v>
          </cell>
          <cell r="C166" t="str">
            <v>CILIA NAMA,TANDU</v>
          </cell>
          <cell r="D166">
            <v>11042349</v>
          </cell>
          <cell r="E166">
            <v>1299</v>
          </cell>
          <cell r="F166" t="str">
            <v>Mon Sep 15 00:00:00 UTC 2025</v>
          </cell>
          <cell r="G166" t="str">
            <v>3PTY</v>
          </cell>
          <cell r="H166" t="str">
            <v>Active</v>
          </cell>
          <cell r="I166" t="str">
            <v>Katyal,Varun</v>
          </cell>
          <cell r="J166" t="str">
            <v>FLO</v>
          </cell>
        </row>
        <row r="167">
          <cell r="A167">
            <v>202012769</v>
          </cell>
          <cell r="B167" t="str">
            <v>muhmrafi</v>
          </cell>
          <cell r="C167" t="str">
            <v>Rafique,Muhammad Naveed</v>
          </cell>
          <cell r="D167">
            <v>11996241</v>
          </cell>
          <cell r="E167">
            <v>1092</v>
          </cell>
          <cell r="F167" t="str">
            <v>Wed Sep 06 00:00:00 UTC 2023</v>
          </cell>
          <cell r="G167" t="str">
            <v>3PTY</v>
          </cell>
          <cell r="H167" t="str">
            <v>Active</v>
          </cell>
          <cell r="I167" t="str">
            <v>Rizvan,Mohamed</v>
          </cell>
          <cell r="J167" t="str">
            <v>UBS</v>
          </cell>
        </row>
        <row r="168">
          <cell r="A168">
            <v>205608625</v>
          </cell>
          <cell r="B168" t="str">
            <v>takpalgo</v>
          </cell>
          <cell r="C168" t="str">
            <v>AKPALU,GODWIN</v>
          </cell>
          <cell r="D168">
            <v>12171158</v>
          </cell>
          <cell r="E168">
            <v>1299</v>
          </cell>
          <cell r="F168" t="str">
            <v>Mon Jul 07 00:00:00 UTC 2025</v>
          </cell>
          <cell r="G168" t="str">
            <v>3PTY</v>
          </cell>
          <cell r="H168" t="str">
            <v>Active</v>
          </cell>
          <cell r="I168" t="str">
            <v>Katyal,Varun</v>
          </cell>
          <cell r="J168" t="str">
            <v>DULS</v>
          </cell>
        </row>
        <row r="169">
          <cell r="A169">
            <v>204967150</v>
          </cell>
          <cell r="B169" t="str">
            <v>ibramoro</v>
          </cell>
          <cell r="C169" t="str">
            <v>IBRAHIM,MORO</v>
          </cell>
          <cell r="D169">
            <v>12879059</v>
          </cell>
          <cell r="E169">
            <v>1299</v>
          </cell>
          <cell r="F169" t="str">
            <v>Wed Jun 18 00:00:00 UTC 2025</v>
          </cell>
          <cell r="G169" t="str">
            <v>3PTY</v>
          </cell>
          <cell r="H169" t="str">
            <v>Active</v>
          </cell>
          <cell r="I169" t="str">
            <v>Katyal,Varun</v>
          </cell>
          <cell r="J169" t="str">
            <v>DULS</v>
          </cell>
        </row>
        <row r="170">
          <cell r="A170">
            <v>203965455</v>
          </cell>
          <cell r="B170" t="str">
            <v>abraalfo</v>
          </cell>
          <cell r="C170" t="str">
            <v>AL Fofana,Abrahim</v>
          </cell>
          <cell r="D170">
            <v>13674294</v>
          </cell>
          <cell r="E170">
            <v>1299</v>
          </cell>
          <cell r="F170" t="str">
            <v>Mon Sep 09 00:00:00 UTC 2024</v>
          </cell>
          <cell r="G170" t="str">
            <v>3PTY</v>
          </cell>
          <cell r="H170" t="str">
            <v>Active</v>
          </cell>
          <cell r="I170" t="str">
            <v>Narshad,Muhammad Ashik</v>
          </cell>
          <cell r="J170" t="str">
            <v>FLO</v>
          </cell>
        </row>
        <row r="171">
          <cell r="A171">
            <v>205147627</v>
          </cell>
          <cell r="B171" t="str">
            <v>gfiljani</v>
          </cell>
          <cell r="C171" t="str">
            <v>G. Filoteo,Janien Marie</v>
          </cell>
          <cell r="D171">
            <v>12067471</v>
          </cell>
          <cell r="E171">
            <v>1712</v>
          </cell>
          <cell r="F171" t="str">
            <v>Fri Apr 11 00:00:00 UTC 2025</v>
          </cell>
          <cell r="G171" t="str">
            <v>3PTY</v>
          </cell>
          <cell r="H171" t="str">
            <v>Active</v>
          </cell>
          <cell r="I171" t="str">
            <v>POGALA,HAREESH</v>
          </cell>
          <cell r="J171" t="str">
            <v>KBTS</v>
          </cell>
        </row>
        <row r="172">
          <cell r="A172">
            <v>207383780</v>
          </cell>
          <cell r="B172" t="str">
            <v>ashifzah</v>
          </cell>
          <cell r="C172" t="str">
            <v>AHAMED,ASHIF</v>
          </cell>
          <cell r="D172">
            <v>12682765</v>
          </cell>
          <cell r="E172">
            <v>1299</v>
          </cell>
          <cell r="F172" t="str">
            <v>Wed Apr 29 00:00:00 UTC 2026</v>
          </cell>
          <cell r="G172" t="str">
            <v>3PTY</v>
          </cell>
          <cell r="H172" t="str">
            <v>Active</v>
          </cell>
          <cell r="I172" t="str">
            <v>Joshi,Anirudh</v>
          </cell>
          <cell r="J172" t="str">
            <v>EFSV</v>
          </cell>
        </row>
        <row r="173">
          <cell r="A173">
            <v>205608618</v>
          </cell>
          <cell r="B173" t="str">
            <v>zchowusu</v>
          </cell>
          <cell r="C173" t="str">
            <v>OWUSU,CHARLES TONTO</v>
          </cell>
          <cell r="D173">
            <v>236105</v>
          </cell>
          <cell r="E173">
            <v>1299</v>
          </cell>
          <cell r="F173" t="str">
            <v>Mon Jul 07 00:00:00 UTC 2025</v>
          </cell>
          <cell r="G173" t="str">
            <v>3PTY</v>
          </cell>
          <cell r="H173" t="str">
            <v>Active</v>
          </cell>
          <cell r="I173" t="str">
            <v>Katyal,Varun</v>
          </cell>
          <cell r="J173" t="str">
            <v>DULS</v>
          </cell>
        </row>
        <row r="174">
          <cell r="A174">
            <v>204060922</v>
          </cell>
          <cell r="B174" t="str">
            <v>ivankatl</v>
          </cell>
          <cell r="C174" t="str">
            <v>KATO,IVAN</v>
          </cell>
          <cell r="D174">
            <v>12665392</v>
          </cell>
          <cell r="E174">
            <v>1299</v>
          </cell>
          <cell r="F174" t="str">
            <v>Mon Sep 23 00:00:00 UTC 2024</v>
          </cell>
          <cell r="G174" t="str">
            <v>3PTY</v>
          </cell>
          <cell r="H174" t="str">
            <v>Active</v>
          </cell>
          <cell r="I174" t="str">
            <v>Ansari,Ammar Abdullah</v>
          </cell>
          <cell r="J174" t="str">
            <v>DULS</v>
          </cell>
        </row>
        <row r="175">
          <cell r="A175">
            <v>205252750</v>
          </cell>
          <cell r="B175" t="str">
            <v>kipruthc</v>
          </cell>
          <cell r="C175" t="str">
            <v>Kipchirchir,Ruth Chepkemboi</v>
          </cell>
          <cell r="D175">
            <v>15181803</v>
          </cell>
          <cell r="E175">
            <v>1299</v>
          </cell>
          <cell r="F175" t="str">
            <v>Mon May 12 00:00:00 UTC 2025</v>
          </cell>
          <cell r="G175" t="str">
            <v>3PTY</v>
          </cell>
          <cell r="H175" t="str">
            <v>Active</v>
          </cell>
          <cell r="I175" t="str">
            <v>Narshad,Muhammad Ashik</v>
          </cell>
          <cell r="J175" t="str">
            <v>EFSV</v>
          </cell>
        </row>
        <row r="176">
          <cell r="A176">
            <v>205252356</v>
          </cell>
          <cell r="B176" t="str">
            <v>appiador</v>
          </cell>
          <cell r="C176" t="str">
            <v>Appiah,Dorcas Niamah</v>
          </cell>
          <cell r="D176">
            <v>11283043</v>
          </cell>
          <cell r="E176">
            <v>1299</v>
          </cell>
          <cell r="F176" t="str">
            <v>Tue Aug 04 00:00:00 UTC 2026</v>
          </cell>
          <cell r="G176" t="str">
            <v>3PTY</v>
          </cell>
          <cell r="H176" t="str">
            <v>Active</v>
          </cell>
          <cell r="I176" t="str">
            <v>Narshad,Muhammad Ashik</v>
          </cell>
          <cell r="J176" t="str">
            <v>EFSV</v>
          </cell>
        </row>
        <row r="177">
          <cell r="A177">
            <v>206915464</v>
          </cell>
          <cell r="B177" t="str">
            <v>ngraciou</v>
          </cell>
          <cell r="C177" t="str">
            <v>NYIRENDA,GRACIOUS PAMHWANYA</v>
          </cell>
          <cell r="D177">
            <v>14426646</v>
          </cell>
          <cell r="E177">
            <v>1299</v>
          </cell>
          <cell r="F177" t="str">
            <v>Mon Jan 12 00:00:00 UTC 2026</v>
          </cell>
          <cell r="G177" t="str">
            <v>3PTY</v>
          </cell>
          <cell r="H177" t="str">
            <v>Active</v>
          </cell>
          <cell r="I177" t="str">
            <v>Lakkireddy,Sai Raghavendra Reddy</v>
          </cell>
          <cell r="J177" t="str">
            <v>DULS</v>
          </cell>
        </row>
        <row r="178">
          <cell r="A178">
            <v>205977115</v>
          </cell>
          <cell r="B178" t="str">
            <v>masinois</v>
          </cell>
          <cell r="C178" t="str">
            <v>MASINDE,ISAAC</v>
          </cell>
          <cell r="D178">
            <v>14018620</v>
          </cell>
          <cell r="E178">
            <v>1299</v>
          </cell>
          <cell r="F178" t="str">
            <v>Mon Sep 15 00:00:00 UTC 2025</v>
          </cell>
          <cell r="G178" t="str">
            <v>3PTY</v>
          </cell>
          <cell r="H178" t="str">
            <v>Active</v>
          </cell>
          <cell r="I178" t="str">
            <v>Katyal,Varun</v>
          </cell>
          <cell r="J178" t="str">
            <v>DULS</v>
          </cell>
        </row>
        <row r="179">
          <cell r="A179">
            <v>206884029</v>
          </cell>
          <cell r="B179" t="str">
            <v>commeygs</v>
          </cell>
          <cell r="C179" t="str">
            <v>COMMEY,GRACE KAALEY</v>
          </cell>
          <cell r="D179">
            <v>11496536</v>
          </cell>
          <cell r="E179">
            <v>1299</v>
          </cell>
          <cell r="F179" t="str">
            <v>Mon Jan 05 00:00:00 UTC 2026</v>
          </cell>
          <cell r="G179" t="str">
            <v>3PTY</v>
          </cell>
          <cell r="H179" t="str">
            <v>Active</v>
          </cell>
          <cell r="I179" t="str">
            <v>Thomas,Binil</v>
          </cell>
          <cell r="J179" t="str">
            <v>EFSV</v>
          </cell>
        </row>
        <row r="180">
          <cell r="A180">
            <v>203468510</v>
          </cell>
          <cell r="B180" t="str">
            <v>kombabep</v>
          </cell>
          <cell r="C180" t="str">
            <v>Kombat,Abel Bayelema</v>
          </cell>
          <cell r="D180">
            <v>13772361</v>
          </cell>
          <cell r="E180">
            <v>1299</v>
          </cell>
          <cell r="F180" t="str">
            <v>Thu Jun 13 00:00:00 UTC 2024</v>
          </cell>
          <cell r="G180" t="str">
            <v>3PTY</v>
          </cell>
          <cell r="H180" t="str">
            <v>Active</v>
          </cell>
          <cell r="I180" t="str">
            <v>Dinberu,Eden</v>
          </cell>
          <cell r="J180" t="str">
            <v>FLO</v>
          </cell>
        </row>
        <row r="181">
          <cell r="A181">
            <v>206129604</v>
          </cell>
          <cell r="B181" t="str">
            <v>kajannab</v>
          </cell>
          <cell r="C181" t="str">
            <v>Kalumba,Annabel</v>
          </cell>
          <cell r="D181">
            <v>14365516</v>
          </cell>
          <cell r="E181">
            <v>1299</v>
          </cell>
          <cell r="F181" t="str">
            <v>Mon Sep 29 00:00:00 UTC 2025</v>
          </cell>
          <cell r="G181" t="str">
            <v>3PTY</v>
          </cell>
          <cell r="H181" t="str">
            <v>Active</v>
          </cell>
          <cell r="I181" t="str">
            <v>Lakkireddy,Sai Raghavendra Reddy</v>
          </cell>
          <cell r="J181" t="str">
            <v>FLO</v>
          </cell>
        </row>
        <row r="182">
          <cell r="A182">
            <v>206384044</v>
          </cell>
          <cell r="B182" t="str">
            <v>nisafmuh</v>
          </cell>
          <cell r="C182" t="str">
            <v>Ahmed,Nisar</v>
          </cell>
          <cell r="D182">
            <v>14929399</v>
          </cell>
          <cell r="E182">
            <v>1171</v>
          </cell>
          <cell r="F182" t="str">
            <v>Wed Jul 29 00:00:00 UTC 2026</v>
          </cell>
          <cell r="G182" t="str">
            <v>3PTY</v>
          </cell>
          <cell r="H182" t="str">
            <v>Active</v>
          </cell>
          <cell r="I182" t="str">
            <v>Niazi,Mohammad Fazal</v>
          </cell>
          <cell r="J182" t="str">
            <v>GLCR</v>
          </cell>
        </row>
        <row r="183">
          <cell r="A183">
            <v>203514419</v>
          </cell>
          <cell r="B183" t="str">
            <v>frimptel</v>
          </cell>
          <cell r="C183" t="str">
            <v>Frimpong,Elijah</v>
          </cell>
          <cell r="D183">
            <v>14447882</v>
          </cell>
          <cell r="E183">
            <v>1299</v>
          </cell>
          <cell r="F183" t="str">
            <v>Thu Jun 20 00:00:00 UTC 2024</v>
          </cell>
          <cell r="G183" t="str">
            <v>3PTY</v>
          </cell>
          <cell r="H183" t="str">
            <v>Active</v>
          </cell>
          <cell r="I183" t="str">
            <v>Narshad,Muhammad Ashik</v>
          </cell>
          <cell r="J183" t="str">
            <v>FLO</v>
          </cell>
        </row>
        <row r="184">
          <cell r="A184">
            <v>204883234</v>
          </cell>
          <cell r="B184" t="str">
            <v>nymunemw</v>
          </cell>
          <cell r="C184" t="str">
            <v>Munemo,Nyasha Millicent</v>
          </cell>
          <cell r="D184">
            <v>11654973</v>
          </cell>
          <cell r="E184">
            <v>1299</v>
          </cell>
          <cell r="F184" t="str">
            <v>Mon Feb 03 00:00:00 UTC 2025</v>
          </cell>
          <cell r="G184" t="str">
            <v>3PTY</v>
          </cell>
          <cell r="H184" t="str">
            <v>Active</v>
          </cell>
          <cell r="I184" t="str">
            <v>Katyal,Varun</v>
          </cell>
          <cell r="J184" t="str">
            <v>QUES</v>
          </cell>
        </row>
        <row r="185">
          <cell r="A185">
            <v>204094215</v>
          </cell>
          <cell r="B185" t="str">
            <v>kpafatma</v>
          </cell>
          <cell r="C185" t="str">
            <v>Kpaka,Fatmata</v>
          </cell>
          <cell r="D185">
            <v>11636439</v>
          </cell>
          <cell r="E185">
            <v>1299</v>
          </cell>
          <cell r="F185" t="str">
            <v>Thu Sep 26 00:00:00 UTC 2024</v>
          </cell>
          <cell r="G185" t="str">
            <v>3PTY</v>
          </cell>
          <cell r="H185" t="str">
            <v>Active</v>
          </cell>
          <cell r="I185" t="str">
            <v>Scaria,Varghese</v>
          </cell>
          <cell r="J185" t="str">
            <v>QUES</v>
          </cell>
        </row>
        <row r="186">
          <cell r="A186">
            <v>203521428</v>
          </cell>
          <cell r="B186" t="str">
            <v>soebenep</v>
          </cell>
          <cell r="C186" t="str">
            <v>Somiah,Ebenezer</v>
          </cell>
          <cell r="D186">
            <v>14720368</v>
          </cell>
          <cell r="E186">
            <v>1299</v>
          </cell>
          <cell r="F186" t="str">
            <v>Thu Jun 20 00:00:00 UTC 2024</v>
          </cell>
          <cell r="G186" t="str">
            <v>3PTY</v>
          </cell>
          <cell r="H186" t="str">
            <v>Active</v>
          </cell>
          <cell r="I186" t="str">
            <v>Katyal,Varun</v>
          </cell>
          <cell r="J186" t="str">
            <v>FLO</v>
          </cell>
        </row>
        <row r="187">
          <cell r="A187">
            <v>203850884</v>
          </cell>
          <cell r="B187" t="str">
            <v>jothembo</v>
          </cell>
          <cell r="C187" t="str">
            <v>Thembo,John</v>
          </cell>
          <cell r="D187">
            <v>15173123</v>
          </cell>
          <cell r="E187">
            <v>1299</v>
          </cell>
          <cell r="F187" t="str">
            <v>Tue Aug 20 00:00:00 UTC 2024</v>
          </cell>
          <cell r="G187" t="str">
            <v>3PTY</v>
          </cell>
          <cell r="H187" t="str">
            <v>Active</v>
          </cell>
          <cell r="I187" t="str">
            <v>Thomas,Binil</v>
          </cell>
          <cell r="J187" t="str">
            <v>DULS</v>
          </cell>
        </row>
        <row r="188">
          <cell r="A188">
            <v>204137711</v>
          </cell>
          <cell r="B188" t="str">
            <v>adjahpri</v>
          </cell>
          <cell r="C188" t="str">
            <v>Adjah,Prince</v>
          </cell>
          <cell r="D188">
            <v>13069210</v>
          </cell>
          <cell r="E188">
            <v>1299</v>
          </cell>
          <cell r="F188" t="str">
            <v>Mon Sep 30 00:00:00 UTC 2024</v>
          </cell>
          <cell r="G188" t="str">
            <v>3PTY</v>
          </cell>
          <cell r="H188" t="str">
            <v>Active</v>
          </cell>
          <cell r="I188" t="str">
            <v>Thomas,Binil</v>
          </cell>
          <cell r="J188" t="str">
            <v>QUES</v>
          </cell>
        </row>
        <row r="189">
          <cell r="A189">
            <v>206640499</v>
          </cell>
          <cell r="B189" t="str">
            <v>rnutekal</v>
          </cell>
          <cell r="C189" t="str">
            <v>Nuguse,Tekalign</v>
          </cell>
          <cell r="D189">
            <v>11543690</v>
          </cell>
          <cell r="E189">
            <v>1712</v>
          </cell>
          <cell r="F189" t="str">
            <v>Sat Nov 15 00:00:00 UTC 2025</v>
          </cell>
          <cell r="G189" t="str">
            <v>3PTY</v>
          </cell>
          <cell r="H189" t="str">
            <v>Active</v>
          </cell>
          <cell r="I189" t="str">
            <v>POGALA,HAREESH</v>
          </cell>
          <cell r="J189" t="str">
            <v>KBTS</v>
          </cell>
        </row>
        <row r="190">
          <cell r="A190">
            <v>203468748</v>
          </cell>
          <cell r="B190" t="str">
            <v>grahamuc</v>
          </cell>
          <cell r="C190" t="str">
            <v>Muchinikila,Graham</v>
          </cell>
          <cell r="D190">
            <v>181053</v>
          </cell>
          <cell r="E190">
            <v>1299</v>
          </cell>
          <cell r="F190" t="str">
            <v>Thu Jun 13 00:00:00 UTC 2024</v>
          </cell>
          <cell r="G190" t="str">
            <v>3PTY</v>
          </cell>
          <cell r="H190" t="str">
            <v>Active</v>
          </cell>
          <cell r="I190" t="str">
            <v>Scaria,Varghese</v>
          </cell>
          <cell r="J190" t="str">
            <v>FLO</v>
          </cell>
        </row>
        <row r="191">
          <cell r="A191">
            <v>205506476</v>
          </cell>
          <cell r="B191" t="str">
            <v>ukimtani</v>
          </cell>
          <cell r="C191" t="str">
            <v>KIMTAI,NICHOLAS KIRWA</v>
          </cell>
          <cell r="D191">
            <v>14630129</v>
          </cell>
          <cell r="E191">
            <v>1299</v>
          </cell>
          <cell r="F191" t="str">
            <v>Mon Jun 23 00:00:00 UTC 2025</v>
          </cell>
          <cell r="G191" t="str">
            <v>3PTY</v>
          </cell>
          <cell r="H191" t="str">
            <v>Active</v>
          </cell>
          <cell r="I191" t="str">
            <v>Katyal,Varun</v>
          </cell>
          <cell r="J191" t="str">
            <v>EFSV</v>
          </cell>
        </row>
        <row r="192">
          <cell r="A192">
            <v>206192541</v>
          </cell>
          <cell r="B192" t="str">
            <v>jemutmer</v>
          </cell>
          <cell r="C192" t="str">
            <v>Jemutai,Mercy</v>
          </cell>
          <cell r="D192">
            <v>233427</v>
          </cell>
          <cell r="E192">
            <v>1299</v>
          </cell>
          <cell r="F192" t="str">
            <v>Mon Oct 06 00:00:00 UTC 2025</v>
          </cell>
          <cell r="G192" t="str">
            <v>3PTY</v>
          </cell>
          <cell r="H192" t="str">
            <v>Active</v>
          </cell>
          <cell r="I192" t="str">
            <v>Thomas,Binil</v>
          </cell>
          <cell r="J192" t="str">
            <v>EFSV</v>
          </cell>
        </row>
        <row r="193">
          <cell r="A193">
            <v>206952968</v>
          </cell>
          <cell r="B193" t="str">
            <v>samssema</v>
          </cell>
          <cell r="C193" t="str">
            <v>SAM,SSEMAKULA</v>
          </cell>
          <cell r="D193">
            <v>14572119</v>
          </cell>
          <cell r="E193">
            <v>1299</v>
          </cell>
          <cell r="F193" t="str">
            <v>Mon Jan 26 00:00:00 UTC 2026</v>
          </cell>
          <cell r="G193" t="str">
            <v>3PTY</v>
          </cell>
          <cell r="H193" t="str">
            <v>Active</v>
          </cell>
          <cell r="I193" t="str">
            <v>Meera,Bava Bahrudeen</v>
          </cell>
          <cell r="J193" t="str">
            <v>DULS</v>
          </cell>
        </row>
        <row r="194">
          <cell r="A194">
            <v>203800475</v>
          </cell>
          <cell r="B194" t="str">
            <v>uansarre</v>
          </cell>
          <cell r="C194" t="str">
            <v>ANSARI,REHAN</v>
          </cell>
          <cell r="D194">
            <v>12757336</v>
          </cell>
          <cell r="E194">
            <v>1299</v>
          </cell>
          <cell r="F194" t="str">
            <v>Fri Aug 09 00:00:00 UTC 2024</v>
          </cell>
          <cell r="G194" t="str">
            <v>3PTY</v>
          </cell>
          <cell r="H194" t="str">
            <v>Active</v>
          </cell>
          <cell r="I194" t="str">
            <v>POGALA,HAREESH</v>
          </cell>
          <cell r="J194" t="str">
            <v>KBTS</v>
          </cell>
        </row>
        <row r="195">
          <cell r="A195">
            <v>206239750</v>
          </cell>
          <cell r="B195" t="str">
            <v>jboatenv</v>
          </cell>
          <cell r="C195" t="str">
            <v>JOSEPH,BOATENG</v>
          </cell>
          <cell r="D195">
            <v>11105154</v>
          </cell>
          <cell r="E195">
            <v>1299</v>
          </cell>
          <cell r="F195" t="str">
            <v>Mon Oct 13 00:00:00 UTC 2025</v>
          </cell>
          <cell r="G195" t="str">
            <v>3PTY</v>
          </cell>
          <cell r="H195" t="str">
            <v>Active</v>
          </cell>
          <cell r="I195" t="str">
            <v>Scaria,Varghese</v>
          </cell>
          <cell r="J195" t="str">
            <v>DULS</v>
          </cell>
        </row>
        <row r="196">
          <cell r="A196">
            <v>203709886</v>
          </cell>
          <cell r="B196" t="str">
            <v>kyawqmin</v>
          </cell>
          <cell r="C196" t="str">
            <v>Khant,Min</v>
          </cell>
          <cell r="D196">
            <v>142432</v>
          </cell>
          <cell r="E196">
            <v>1299</v>
          </cell>
          <cell r="F196" t="str">
            <v>Mon Jul 22 00:00:00 UTC 2024</v>
          </cell>
          <cell r="G196" t="str">
            <v>3PTY</v>
          </cell>
          <cell r="H196" t="str">
            <v>Active</v>
          </cell>
          <cell r="I196" t="str">
            <v>Dinberu,Eden</v>
          </cell>
          <cell r="J196" t="str">
            <v>ADEC</v>
          </cell>
        </row>
        <row r="197">
          <cell r="A197">
            <v>203815279</v>
          </cell>
          <cell r="B197" t="str">
            <v>kizmehth</v>
          </cell>
          <cell r="C197" t="str">
            <v>KIZHAKAYIL KARABIL,MEHTHAB HUSSAN</v>
          </cell>
          <cell r="D197">
            <v>14309559</v>
          </cell>
          <cell r="E197">
            <v>1299</v>
          </cell>
          <cell r="F197" t="str">
            <v>Mon Aug 12 00:00:00 UTC 2024</v>
          </cell>
          <cell r="G197" t="str">
            <v>3PTY</v>
          </cell>
          <cell r="H197" t="str">
            <v>Active</v>
          </cell>
          <cell r="I197" t="str">
            <v>Joshi,Anirudh</v>
          </cell>
          <cell r="J197" t="str">
            <v>FLO</v>
          </cell>
        </row>
        <row r="198">
          <cell r="A198">
            <v>206873790</v>
          </cell>
          <cell r="B198" t="str">
            <v>sserusro</v>
          </cell>
          <cell r="C198" t="str">
            <v>RONALD,SSERUKEERA</v>
          </cell>
          <cell r="D198">
            <v>15196953</v>
          </cell>
          <cell r="E198">
            <v>1299</v>
          </cell>
          <cell r="F198" t="str">
            <v>Thu Jan 08 00:00:00 UTC 2026</v>
          </cell>
          <cell r="G198" t="str">
            <v>3PTY</v>
          </cell>
          <cell r="H198" t="str">
            <v>Active</v>
          </cell>
          <cell r="I198" t="str">
            <v>Ansari,Ammar Abdullah</v>
          </cell>
          <cell r="J198" t="str">
            <v>DULS</v>
          </cell>
        </row>
        <row r="199">
          <cell r="A199">
            <v>204951311</v>
          </cell>
          <cell r="B199" t="str">
            <v>sulaamar</v>
          </cell>
          <cell r="C199" t="str">
            <v>AMARA,SULAIMAN JAY</v>
          </cell>
          <cell r="D199">
            <v>12275585</v>
          </cell>
          <cell r="E199">
            <v>1299</v>
          </cell>
          <cell r="F199" t="str">
            <v>Mon Mar 03 00:00:00 UTC 2025</v>
          </cell>
          <cell r="G199" t="str">
            <v>3PTY</v>
          </cell>
          <cell r="H199" t="str">
            <v>Active</v>
          </cell>
          <cell r="I199" t="str">
            <v>Ansari,Ammar Abdullah</v>
          </cell>
          <cell r="J199" t="str">
            <v>DULS</v>
          </cell>
        </row>
        <row r="200">
          <cell r="A200">
            <v>205854276</v>
          </cell>
          <cell r="B200" t="str">
            <v>addlchri</v>
          </cell>
          <cell r="C200" t="str">
            <v>ADDO,CHRISTIANA</v>
          </cell>
          <cell r="D200">
            <v>14332890</v>
          </cell>
          <cell r="E200">
            <v>1299</v>
          </cell>
          <cell r="F200" t="str">
            <v>Mon Aug 25 00:00:00 UTC 2025</v>
          </cell>
          <cell r="G200" t="str">
            <v>3PTY</v>
          </cell>
          <cell r="H200" t="str">
            <v>Active</v>
          </cell>
          <cell r="I200" t="str">
            <v>Narshad,Muhammad Ashik</v>
          </cell>
          <cell r="J200" t="str">
            <v>EFSV</v>
          </cell>
        </row>
        <row r="201">
          <cell r="A201">
            <v>201502749</v>
          </cell>
          <cell r="B201" t="str">
            <v>abrighta</v>
          </cell>
          <cell r="C201" t="str">
            <v>Adu,Bright Adu</v>
          </cell>
          <cell r="D201">
            <v>52360</v>
          </cell>
          <cell r="E201">
            <v>1299</v>
          </cell>
          <cell r="F201" t="str">
            <v>Thu Sep 26 00:00:00 UTC 2024</v>
          </cell>
          <cell r="G201" t="str">
            <v>3PTY</v>
          </cell>
          <cell r="H201" t="str">
            <v>Active</v>
          </cell>
          <cell r="I201" t="str">
            <v>elrashid,Hassan</v>
          </cell>
          <cell r="J201" t="str">
            <v>QUES</v>
          </cell>
        </row>
        <row r="202">
          <cell r="A202">
            <v>204467948</v>
          </cell>
          <cell r="B202" t="str">
            <v>risahrmb</v>
          </cell>
          <cell r="C202" t="str">
            <v>Sahr M'Bayo,Richard</v>
          </cell>
          <cell r="D202">
            <v>15332126</v>
          </cell>
          <cell r="E202">
            <v>1299</v>
          </cell>
          <cell r="F202" t="str">
            <v>Thu Nov 07 00:00:00 UTC 2024</v>
          </cell>
          <cell r="G202" t="str">
            <v>3PTY</v>
          </cell>
          <cell r="H202" t="str">
            <v>Active</v>
          </cell>
          <cell r="I202" t="str">
            <v>Narshad,Muhammad Ashik</v>
          </cell>
          <cell r="J202" t="str">
            <v>QUES</v>
          </cell>
        </row>
        <row r="203">
          <cell r="A203">
            <v>206875598</v>
          </cell>
          <cell r="B203" t="str">
            <v>ssekanje</v>
          </cell>
          <cell r="C203" t="str">
            <v>SSEKANDI,JOSEPH</v>
          </cell>
          <cell r="D203">
            <v>14064109</v>
          </cell>
          <cell r="E203">
            <v>1299</v>
          </cell>
          <cell r="F203" t="str">
            <v>Mon Dec 29 00:00:00 UTC 2025</v>
          </cell>
          <cell r="G203" t="str">
            <v>3PTY</v>
          </cell>
          <cell r="H203" t="str">
            <v>Active</v>
          </cell>
          <cell r="I203" t="str">
            <v>Sohail,Anis</v>
          </cell>
          <cell r="J203" t="str">
            <v>DULS</v>
          </cell>
        </row>
        <row r="204">
          <cell r="A204">
            <v>206846697</v>
          </cell>
          <cell r="B204" t="str">
            <v>muhanrod</v>
          </cell>
          <cell r="C204" t="str">
            <v>RODGERS,MUHANGI</v>
          </cell>
          <cell r="D204">
            <v>13445954</v>
          </cell>
          <cell r="E204">
            <v>1299</v>
          </cell>
          <cell r="F204" t="str">
            <v>Mon Dec 22 00:00:00 UTC 2025</v>
          </cell>
          <cell r="G204" t="str">
            <v>3PTY</v>
          </cell>
          <cell r="H204" t="str">
            <v>Active</v>
          </cell>
          <cell r="I204" t="str">
            <v>Katyal,Varun</v>
          </cell>
          <cell r="J204" t="str">
            <v>DULS</v>
          </cell>
        </row>
        <row r="205">
          <cell r="A205">
            <v>206239522</v>
          </cell>
          <cell r="B205" t="str">
            <v>aboaerne</v>
          </cell>
          <cell r="C205" t="str">
            <v>ERNEST,ABOAGYE</v>
          </cell>
          <cell r="D205">
            <v>288026</v>
          </cell>
          <cell r="E205">
            <v>1299</v>
          </cell>
          <cell r="F205" t="str">
            <v>Mon Oct 13 00:00:00 UTC 2025</v>
          </cell>
          <cell r="G205" t="str">
            <v>3PTY</v>
          </cell>
          <cell r="H205" t="str">
            <v>Active</v>
          </cell>
          <cell r="I205" t="str">
            <v>Scaria,Varghese</v>
          </cell>
          <cell r="J205" t="str">
            <v>DULS</v>
          </cell>
        </row>
        <row r="206">
          <cell r="A206">
            <v>206953817</v>
          </cell>
          <cell r="B206" t="str">
            <v>sagsumaq</v>
          </cell>
          <cell r="C206" t="str">
            <v>SAG,SUMAN</v>
          </cell>
          <cell r="D206">
            <v>12852519</v>
          </cell>
          <cell r="E206">
            <v>1299</v>
          </cell>
          <cell r="F206" t="str">
            <v>Wed Jan 28 00:00:00 UTC 2026</v>
          </cell>
          <cell r="G206" t="str">
            <v>3PTY</v>
          </cell>
          <cell r="H206" t="str">
            <v>Active</v>
          </cell>
          <cell r="I206" t="str">
            <v>Katyal,Varun</v>
          </cell>
          <cell r="J206" t="str">
            <v>DULS</v>
          </cell>
        </row>
        <row r="207">
          <cell r="A207">
            <v>203160754</v>
          </cell>
          <cell r="B207" t="str">
            <v>salahyam</v>
          </cell>
          <cell r="C207" t="str">
            <v>SALAHUDEEN,AMJAD</v>
          </cell>
          <cell r="D207">
            <v>14350531</v>
          </cell>
          <cell r="E207">
            <v>1299</v>
          </cell>
          <cell r="F207" t="str">
            <v>Sun Mar 31 00:00:00 UTC 2024</v>
          </cell>
          <cell r="G207" t="str">
            <v>3PTY</v>
          </cell>
          <cell r="H207" t="str">
            <v>Active</v>
          </cell>
          <cell r="I207" t="str">
            <v>Akhtar,Muhammad Zohaib</v>
          </cell>
          <cell r="J207" t="str">
            <v>WOFZ</v>
          </cell>
        </row>
        <row r="208">
          <cell r="A208">
            <v>203737146</v>
          </cell>
          <cell r="B208" t="str">
            <v>ponnormx</v>
          </cell>
          <cell r="C208" t="str">
            <v>Ponce,Norman Reyes</v>
          </cell>
          <cell r="D208">
            <v>15363832</v>
          </cell>
          <cell r="E208">
            <v>1299</v>
          </cell>
          <cell r="F208" t="str">
            <v>Mon Jul 29 00:00:00 UTC 2024</v>
          </cell>
          <cell r="G208" t="str">
            <v>3PTY</v>
          </cell>
          <cell r="H208" t="str">
            <v>Active</v>
          </cell>
          <cell r="I208" t="str">
            <v>Ansari,Ammar Abdullah</v>
          </cell>
          <cell r="J208" t="str">
            <v>FLO</v>
          </cell>
        </row>
        <row r="209">
          <cell r="A209">
            <v>204094496</v>
          </cell>
          <cell r="B209" t="str">
            <v>rutenmat</v>
          </cell>
          <cell r="C209" t="str">
            <v>Mateyo,Rutendo Beaulla</v>
          </cell>
          <cell r="D209">
            <v>13097458</v>
          </cell>
          <cell r="E209">
            <v>1299</v>
          </cell>
          <cell r="F209" t="str">
            <v>Thu Sep 26 00:00:00 UTC 2024</v>
          </cell>
          <cell r="G209" t="str">
            <v>3PTY</v>
          </cell>
          <cell r="H209" t="str">
            <v>Active</v>
          </cell>
          <cell r="I209" t="str">
            <v>Ansari,Ammar Abdullah</v>
          </cell>
          <cell r="J209" t="str">
            <v>QUES</v>
          </cell>
        </row>
        <row r="210">
          <cell r="A210">
            <v>203812781</v>
          </cell>
          <cell r="B210" t="str">
            <v>ditharig</v>
          </cell>
          <cell r="C210" t="str">
            <v>Tharindhu,Dimuthu</v>
          </cell>
          <cell r="D210">
            <v>11716582</v>
          </cell>
          <cell r="E210">
            <v>1299</v>
          </cell>
          <cell r="F210" t="str">
            <v>Sun Aug 11 00:00:00 UTC 2024</v>
          </cell>
          <cell r="G210" t="str">
            <v>3PTY</v>
          </cell>
          <cell r="H210" t="str">
            <v>Active</v>
          </cell>
          <cell r="I210" t="str">
            <v>Adhikari,Nayab</v>
          </cell>
          <cell r="J210" t="str">
            <v>KBTS</v>
          </cell>
        </row>
        <row r="211">
          <cell r="A211">
            <v>203850788</v>
          </cell>
          <cell r="B211" t="str">
            <v>nurenisd</v>
          </cell>
          <cell r="C211" t="str">
            <v>Salifu,Nureni</v>
          </cell>
          <cell r="D211">
            <v>12860167</v>
          </cell>
          <cell r="E211">
            <v>1299</v>
          </cell>
          <cell r="F211" t="str">
            <v>Tue Aug 20 00:00:00 UTC 2024</v>
          </cell>
          <cell r="G211" t="str">
            <v>3PTY</v>
          </cell>
          <cell r="H211" t="str">
            <v>Active</v>
          </cell>
          <cell r="I211" t="str">
            <v>Meera,Bava Bahrudeen</v>
          </cell>
          <cell r="J211" t="str">
            <v>FLO</v>
          </cell>
        </row>
        <row r="212">
          <cell r="A212">
            <v>203090005</v>
          </cell>
          <cell r="B212" t="str">
            <v>faresoal</v>
          </cell>
          <cell r="C212" t="str">
            <v>Al Khalifi,Fares Mohammed</v>
          </cell>
          <cell r="D212">
            <v>12020550</v>
          </cell>
          <cell r="E212">
            <v>1728</v>
          </cell>
          <cell r="F212" t="str">
            <v>Mon Apr 14 00:00:00 UTC 2025</v>
          </cell>
          <cell r="G212" t="str">
            <v>AMZN</v>
          </cell>
          <cell r="H212" t="str">
            <v>Active</v>
          </cell>
          <cell r="I212" t="str">
            <v>Manojlovic,Sandra</v>
          </cell>
        </row>
        <row r="213">
          <cell r="A213">
            <v>200211169</v>
          </cell>
          <cell r="B213" t="str">
            <v>jevevang</v>
          </cell>
          <cell r="C213" t="str">
            <v>Evangelista,Jenalyn</v>
          </cell>
          <cell r="D213">
            <v>15046735</v>
          </cell>
          <cell r="E213">
            <v>1172</v>
          </cell>
          <cell r="F213" t="str">
            <v>Wed Jul 27 00:00:00 UTC 2022</v>
          </cell>
          <cell r="G213" t="str">
            <v>3PTY</v>
          </cell>
          <cell r="H213" t="str">
            <v>Active</v>
          </cell>
          <cell r="I213" t="str">
            <v>Butt,Abdul Wahab</v>
          </cell>
          <cell r="J213" t="str">
            <v>EMIR</v>
          </cell>
        </row>
        <row r="214">
          <cell r="A214">
            <v>204246163</v>
          </cell>
          <cell r="B214" t="str">
            <v>jescmapu</v>
          </cell>
          <cell r="C214" t="str">
            <v>Mapuranga,Jescar</v>
          </cell>
          <cell r="D214">
            <v>12173414</v>
          </cell>
          <cell r="E214">
            <v>1299</v>
          </cell>
          <cell r="F214" t="str">
            <v>Mon Oct 14 00:00:00 UTC 2024</v>
          </cell>
          <cell r="G214" t="str">
            <v>3PTY</v>
          </cell>
          <cell r="H214" t="str">
            <v>Active</v>
          </cell>
          <cell r="I214" t="str">
            <v>Katyal,Varun</v>
          </cell>
          <cell r="J214" t="str">
            <v>QUES</v>
          </cell>
        </row>
        <row r="215">
          <cell r="A215">
            <v>203736255</v>
          </cell>
          <cell r="B215" t="str">
            <v>javiramu</v>
          </cell>
          <cell r="C215" t="str">
            <v>MUTEBI,JAVIRA</v>
          </cell>
          <cell r="D215">
            <v>13005505</v>
          </cell>
          <cell r="E215">
            <v>1299</v>
          </cell>
          <cell r="F215" t="str">
            <v>Mon Jul 29 00:00:00 UTC 2024</v>
          </cell>
          <cell r="G215" t="str">
            <v>3PTY</v>
          </cell>
          <cell r="H215" t="str">
            <v>Active</v>
          </cell>
          <cell r="I215" t="str">
            <v>Katyal,Varun</v>
          </cell>
          <cell r="J215" t="str">
            <v>DULS</v>
          </cell>
        </row>
        <row r="216">
          <cell r="A216">
            <v>204865035</v>
          </cell>
          <cell r="B216" t="str">
            <v>harthufr</v>
          </cell>
          <cell r="C216" t="str">
            <v>ARTHUR,FRANCIS</v>
          </cell>
          <cell r="D216">
            <v>14417706</v>
          </cell>
          <cell r="E216">
            <v>1299</v>
          </cell>
          <cell r="F216" t="str">
            <v>Mon Aug 25 00:00:00 UTC 2025</v>
          </cell>
          <cell r="G216" t="str">
            <v>3PTY</v>
          </cell>
          <cell r="H216" t="str">
            <v>Active</v>
          </cell>
          <cell r="I216" t="str">
            <v>Lakkireddy,Sai Raghavendra Reddy</v>
          </cell>
          <cell r="J216" t="str">
            <v>DULS</v>
          </cell>
        </row>
        <row r="217">
          <cell r="A217">
            <v>202926065</v>
          </cell>
          <cell r="B217" t="str">
            <v>euywb</v>
          </cell>
          <cell r="C217" t="str">
            <v>Kumar,Rajesh</v>
          </cell>
          <cell r="D217">
            <v>12040232</v>
          </cell>
          <cell r="E217">
            <v>1299</v>
          </cell>
          <cell r="F217" t="str">
            <v>Tue Jan 02 00:00:00 UTC 2024</v>
          </cell>
          <cell r="G217" t="str">
            <v>3PTY</v>
          </cell>
          <cell r="H217" t="str">
            <v>Active</v>
          </cell>
          <cell r="I217" t="str">
            <v>Shershad,Ramees</v>
          </cell>
          <cell r="J217" t="str">
            <v>UBS</v>
          </cell>
        </row>
        <row r="218">
          <cell r="A218">
            <v>203965520</v>
          </cell>
          <cell r="B218" t="str">
            <v>achungak</v>
          </cell>
          <cell r="C218" t="str">
            <v>Achu Ngako,Chelsea</v>
          </cell>
          <cell r="D218">
            <v>14138423</v>
          </cell>
          <cell r="E218">
            <v>1299</v>
          </cell>
          <cell r="F218" t="str">
            <v>Mon Sep 09 00:00:00 UTC 2024</v>
          </cell>
          <cell r="G218" t="str">
            <v>3PTY</v>
          </cell>
          <cell r="H218" t="str">
            <v>Active</v>
          </cell>
          <cell r="I218" t="str">
            <v>Katyal,Varun</v>
          </cell>
          <cell r="J218" t="str">
            <v>FLO</v>
          </cell>
        </row>
        <row r="219">
          <cell r="A219">
            <v>203965449</v>
          </cell>
          <cell r="B219" t="str">
            <v>wasnades</v>
          </cell>
          <cell r="C219" t="str">
            <v>Wase Ndiena,Nadesh</v>
          </cell>
          <cell r="D219">
            <v>15119134</v>
          </cell>
          <cell r="E219">
            <v>1299</v>
          </cell>
          <cell r="F219" t="str">
            <v>Mon Sep 09 00:00:00 UTC 2024</v>
          </cell>
          <cell r="G219" t="str">
            <v>3PTY</v>
          </cell>
          <cell r="H219" t="str">
            <v>Active</v>
          </cell>
          <cell r="I219" t="str">
            <v>Ansari,Ammar Abdullah</v>
          </cell>
          <cell r="J219" t="str">
            <v>FLO</v>
          </cell>
        </row>
        <row r="220">
          <cell r="A220">
            <v>204890367</v>
          </cell>
          <cell r="B220" t="str">
            <v>mugandrn</v>
          </cell>
          <cell r="C220" t="str">
            <v>MUGISHA,ANDREW</v>
          </cell>
          <cell r="D220">
            <v>12657688</v>
          </cell>
          <cell r="E220">
            <v>1299</v>
          </cell>
          <cell r="F220" t="str">
            <v>Wed Jun 18 00:00:00 UTC 2025</v>
          </cell>
          <cell r="G220" t="str">
            <v>3PTY</v>
          </cell>
          <cell r="H220" t="str">
            <v>Active</v>
          </cell>
          <cell r="I220" t="str">
            <v>Katyal,Varun</v>
          </cell>
          <cell r="J220" t="str">
            <v>DULS</v>
          </cell>
        </row>
        <row r="221">
          <cell r="A221">
            <v>206875258</v>
          </cell>
          <cell r="B221" t="str">
            <v>bakabdal</v>
          </cell>
          <cell r="C221" t="str">
            <v>BAKARI ISSA,ABDALAH</v>
          </cell>
          <cell r="D221">
            <v>12713138</v>
          </cell>
          <cell r="E221">
            <v>1299</v>
          </cell>
          <cell r="F221" t="str">
            <v>Mon Dec 29 00:00:00 UTC 2025</v>
          </cell>
          <cell r="G221" t="str">
            <v>3PTY</v>
          </cell>
          <cell r="H221" t="str">
            <v>Active</v>
          </cell>
          <cell r="I221" t="str">
            <v>Sohail,Anis</v>
          </cell>
          <cell r="J221" t="str">
            <v>DULS</v>
          </cell>
        </row>
        <row r="222">
          <cell r="A222">
            <v>205242019</v>
          </cell>
          <cell r="B222" t="str">
            <v>mdshmdha</v>
          </cell>
          <cell r="C222" t="str">
            <v>Md Shamsul Haq,Md Hasan Mollik</v>
          </cell>
          <cell r="D222">
            <v>14952345</v>
          </cell>
          <cell r="E222">
            <v>1712</v>
          </cell>
          <cell r="F222" t="str">
            <v>Sun May 04 00:00:00 UTC 2025</v>
          </cell>
          <cell r="G222" t="str">
            <v>3PTY</v>
          </cell>
          <cell r="H222" t="str">
            <v>Active</v>
          </cell>
          <cell r="I222" t="str">
            <v>POGALA,HAREESH</v>
          </cell>
          <cell r="J222" t="str">
            <v>KBTS</v>
          </cell>
        </row>
        <row r="223">
          <cell r="A223">
            <v>206851165</v>
          </cell>
          <cell r="B223" t="str">
            <v>kavumauu</v>
          </cell>
          <cell r="C223" t="str">
            <v>KAVUMA,UKACHA</v>
          </cell>
          <cell r="D223">
            <v>14792484</v>
          </cell>
          <cell r="E223">
            <v>1299</v>
          </cell>
          <cell r="F223" t="str">
            <v>Thu Jan 08 00:00:00 UTC 2026</v>
          </cell>
          <cell r="G223" t="str">
            <v>3PTY</v>
          </cell>
          <cell r="H223" t="str">
            <v>Active</v>
          </cell>
          <cell r="I223" t="str">
            <v>Ansari,Ammar Abdullah</v>
          </cell>
          <cell r="J223" t="str">
            <v>DULS</v>
          </cell>
        </row>
        <row r="224">
          <cell r="A224">
            <v>204052514</v>
          </cell>
          <cell r="B224" t="str">
            <v>thoppasi</v>
          </cell>
          <cell r="C224" t="str">
            <v>Sivakumar,Thopparasu</v>
          </cell>
          <cell r="D224">
            <v>15232397</v>
          </cell>
          <cell r="E224">
            <v>1299</v>
          </cell>
          <cell r="F224" t="str">
            <v>Mon Sep 23 00:00:00 UTC 2024</v>
          </cell>
          <cell r="G224" t="str">
            <v>3PTY</v>
          </cell>
          <cell r="H224" t="str">
            <v>Active</v>
          </cell>
          <cell r="I224" t="str">
            <v>Ansari,Ammar Abdullah</v>
          </cell>
          <cell r="J224" t="str">
            <v>ADEC</v>
          </cell>
        </row>
        <row r="225">
          <cell r="A225">
            <v>204319468</v>
          </cell>
          <cell r="B225" t="str">
            <v>onacisbr</v>
          </cell>
          <cell r="C225" t="str">
            <v>Brew,Onacis</v>
          </cell>
          <cell r="D225">
            <v>13908183</v>
          </cell>
          <cell r="E225">
            <v>1299</v>
          </cell>
          <cell r="F225" t="str">
            <v>Thu Oct 24 00:00:00 UTC 2024</v>
          </cell>
          <cell r="G225" t="str">
            <v>3PTY</v>
          </cell>
          <cell r="H225" t="str">
            <v>Active</v>
          </cell>
          <cell r="I225" t="str">
            <v>Meera,Bava Bahrudeen</v>
          </cell>
          <cell r="J225" t="str">
            <v>QUES</v>
          </cell>
        </row>
        <row r="226">
          <cell r="A226">
            <v>204331928</v>
          </cell>
          <cell r="B226" t="str">
            <v>rkyeboah</v>
          </cell>
          <cell r="C226" t="str">
            <v>Yeboah,Richard</v>
          </cell>
          <cell r="D226">
            <v>12167508</v>
          </cell>
          <cell r="E226">
            <v>1299</v>
          </cell>
          <cell r="F226" t="str">
            <v>Thu Oct 24 00:00:00 UTC 2024</v>
          </cell>
          <cell r="G226" t="str">
            <v>3PTY</v>
          </cell>
          <cell r="H226" t="str">
            <v>Active</v>
          </cell>
          <cell r="I226" t="str">
            <v>Ansari,Ammar Abdullah</v>
          </cell>
          <cell r="J226" t="str">
            <v>QUES</v>
          </cell>
        </row>
        <row r="227">
          <cell r="A227">
            <v>204976025</v>
          </cell>
          <cell r="B227" t="str">
            <v>eindrakr</v>
          </cell>
          <cell r="C227" t="str">
            <v>Ray,Indra Kumar</v>
          </cell>
          <cell r="D227">
            <v>11014459</v>
          </cell>
          <cell r="E227">
            <v>1299</v>
          </cell>
          <cell r="F227" t="str">
            <v>Thu Feb 27 00:00:00 UTC 2025</v>
          </cell>
          <cell r="G227" t="str">
            <v>3PTY</v>
          </cell>
          <cell r="H227" t="str">
            <v>Active</v>
          </cell>
          <cell r="I227" t="str">
            <v>Lakkireddy,Sai Raghavendra Reddy</v>
          </cell>
          <cell r="J227" t="str">
            <v>EFSV</v>
          </cell>
        </row>
        <row r="228">
          <cell r="A228">
            <v>205330910</v>
          </cell>
          <cell r="B228" t="str">
            <v>mdamirul</v>
          </cell>
          <cell r="C228" t="str">
            <v>MD Sayed Ali,MD Amirul Islam</v>
          </cell>
          <cell r="D228">
            <v>322242</v>
          </cell>
          <cell r="E228">
            <v>1712</v>
          </cell>
          <cell r="F228" t="str">
            <v>Sat May 24 00:00:00 UTC 2025</v>
          </cell>
          <cell r="G228" t="str">
            <v>3PTY</v>
          </cell>
          <cell r="H228" t="str">
            <v>Active</v>
          </cell>
          <cell r="I228" t="str">
            <v>POGALA,HAREESH</v>
          </cell>
          <cell r="J228" t="str">
            <v>KBTS</v>
          </cell>
        </row>
        <row r="229">
          <cell r="A229">
            <v>203965605</v>
          </cell>
          <cell r="B229" t="str">
            <v>mohkfaro</v>
          </cell>
          <cell r="C229" t="str">
            <v>Farook,Mohamed</v>
          </cell>
          <cell r="D229">
            <v>14908635</v>
          </cell>
          <cell r="E229">
            <v>1299</v>
          </cell>
          <cell r="F229" t="str">
            <v>Mon Sep 09 00:00:00 UTC 2024</v>
          </cell>
          <cell r="G229" t="str">
            <v>3PTY</v>
          </cell>
          <cell r="H229" t="str">
            <v>Active</v>
          </cell>
          <cell r="I229" t="str">
            <v>Ansari,Ammar Abdullah</v>
          </cell>
          <cell r="J229" t="str">
            <v>ADEC</v>
          </cell>
        </row>
        <row r="230">
          <cell r="A230">
            <v>203965406</v>
          </cell>
          <cell r="B230" t="str">
            <v>kwaasipe</v>
          </cell>
          <cell r="C230" t="str">
            <v>Kwaasi Aswireng,Peter</v>
          </cell>
          <cell r="D230">
            <v>11118537</v>
          </cell>
          <cell r="E230">
            <v>1299</v>
          </cell>
          <cell r="F230" t="str">
            <v>Mon Sep 09 00:00:00 UTC 2024</v>
          </cell>
          <cell r="G230" t="str">
            <v>3PTY</v>
          </cell>
          <cell r="H230" t="str">
            <v>Active</v>
          </cell>
          <cell r="I230" t="str">
            <v>Narshad,Muhammad Ashik</v>
          </cell>
          <cell r="J230" t="str">
            <v>FLO</v>
          </cell>
        </row>
        <row r="231">
          <cell r="A231">
            <v>206072878</v>
          </cell>
          <cell r="B231" t="str">
            <v>wiafstep</v>
          </cell>
          <cell r="C231" t="str">
            <v>Wiafe,Stephen</v>
          </cell>
          <cell r="D231">
            <v>11365452</v>
          </cell>
          <cell r="E231">
            <v>1299</v>
          </cell>
          <cell r="F231" t="str">
            <v>Mon Sep 22 00:00:00 UTC 2025</v>
          </cell>
          <cell r="G231" t="str">
            <v>3PTY</v>
          </cell>
          <cell r="H231" t="str">
            <v>Active</v>
          </cell>
          <cell r="I231" t="str">
            <v>Katyal,Varun</v>
          </cell>
          <cell r="J231" t="str">
            <v>FLO</v>
          </cell>
        </row>
        <row r="232">
          <cell r="A232">
            <v>204145465</v>
          </cell>
          <cell r="B232" t="str">
            <v>dwomclif</v>
          </cell>
          <cell r="C232" t="str">
            <v>Dwomoh,Clifford</v>
          </cell>
          <cell r="D232">
            <v>13830570</v>
          </cell>
          <cell r="E232">
            <v>1299</v>
          </cell>
          <cell r="F232" t="str">
            <v>Thu Oct 03 00:00:00 UTC 2024</v>
          </cell>
          <cell r="G232" t="str">
            <v>3PTY</v>
          </cell>
          <cell r="H232" t="str">
            <v>Active</v>
          </cell>
          <cell r="I232" t="str">
            <v>Narshad,Muhammad Ashik</v>
          </cell>
          <cell r="J232" t="str">
            <v>QUES</v>
          </cell>
        </row>
        <row r="233">
          <cell r="A233">
            <v>203555402</v>
          </cell>
          <cell r="B233" t="str">
            <v>brerubay</v>
          </cell>
          <cell r="C233" t="str">
            <v>Rubaya,Brenda</v>
          </cell>
          <cell r="D233">
            <v>51386</v>
          </cell>
          <cell r="E233">
            <v>1299</v>
          </cell>
          <cell r="F233" t="str">
            <v>Thu Jun 27 00:00:00 UTC 2024</v>
          </cell>
          <cell r="G233" t="str">
            <v>3PTY</v>
          </cell>
          <cell r="H233" t="str">
            <v>Active</v>
          </cell>
          <cell r="I233" t="str">
            <v>Sohail,Anis</v>
          </cell>
          <cell r="J233" t="str">
            <v>FLO</v>
          </cell>
        </row>
        <row r="234">
          <cell r="A234">
            <v>206065197</v>
          </cell>
          <cell r="B234" t="str">
            <v>fatawabd</v>
          </cell>
          <cell r="C234" t="str">
            <v>Abdulai,Fataw</v>
          </cell>
          <cell r="D234">
            <v>12488160</v>
          </cell>
          <cell r="E234">
            <v>1299</v>
          </cell>
          <cell r="F234" t="str">
            <v>Mon Sep 22 00:00:00 UTC 2025</v>
          </cell>
          <cell r="G234" t="str">
            <v>3PTY</v>
          </cell>
          <cell r="H234" t="str">
            <v>Active</v>
          </cell>
          <cell r="I234" t="str">
            <v>Katyal,Varun</v>
          </cell>
          <cell r="J234" t="str">
            <v>FLO</v>
          </cell>
        </row>
        <row r="235">
          <cell r="A235">
            <v>203736774</v>
          </cell>
          <cell r="B235" t="str">
            <v>nyanahte</v>
          </cell>
          <cell r="C235" t="str">
            <v>Htet,Nyan Lin</v>
          </cell>
          <cell r="D235">
            <v>15173213</v>
          </cell>
          <cell r="E235">
            <v>1299</v>
          </cell>
          <cell r="F235" t="str">
            <v>Mon Jul 29 00:00:00 UTC 2024</v>
          </cell>
          <cell r="G235" t="str">
            <v>3PTY</v>
          </cell>
          <cell r="H235" t="str">
            <v>Active</v>
          </cell>
          <cell r="I235" t="str">
            <v>Katyal,Varun</v>
          </cell>
          <cell r="J235" t="str">
            <v>ADEC</v>
          </cell>
        </row>
        <row r="236">
          <cell r="A236">
            <v>206953383</v>
          </cell>
          <cell r="B236" t="str">
            <v>faitjepk</v>
          </cell>
          <cell r="C236" t="str">
            <v>Jepkoech,Faith</v>
          </cell>
          <cell r="D236">
            <v>15364487</v>
          </cell>
          <cell r="E236">
            <v>1299</v>
          </cell>
          <cell r="F236" t="str">
            <v>Mon Jan 26 00:00:00 UTC 2026</v>
          </cell>
          <cell r="G236" t="str">
            <v>3PTY</v>
          </cell>
          <cell r="H236" t="str">
            <v>Active</v>
          </cell>
          <cell r="I236" t="str">
            <v>Sohail,Anis</v>
          </cell>
          <cell r="J236" t="str">
            <v>EFSV</v>
          </cell>
        </row>
        <row r="237">
          <cell r="A237">
            <v>203512669</v>
          </cell>
          <cell r="B237" t="str">
            <v>justicyi</v>
          </cell>
          <cell r="C237" t="str">
            <v>Yin,Justice Mmba</v>
          </cell>
          <cell r="D237">
            <v>11467543</v>
          </cell>
          <cell r="E237">
            <v>1299</v>
          </cell>
          <cell r="F237" t="str">
            <v>Thu Jun 20 00:00:00 UTC 2024</v>
          </cell>
          <cell r="G237" t="str">
            <v>3PTY</v>
          </cell>
          <cell r="H237" t="str">
            <v>Active</v>
          </cell>
          <cell r="I237" t="str">
            <v>Narshad,Muhammad Ashik</v>
          </cell>
          <cell r="J237" t="str">
            <v>FLO</v>
          </cell>
        </row>
        <row r="238">
          <cell r="A238">
            <v>206934652</v>
          </cell>
          <cell r="B238" t="str">
            <v>venemoku</v>
          </cell>
          <cell r="C238" t="str">
            <v>MOKUA,VENICK KEMUMA</v>
          </cell>
          <cell r="D238">
            <v>11854441</v>
          </cell>
          <cell r="E238">
            <v>1299</v>
          </cell>
          <cell r="F238" t="str">
            <v>Mon Jan 19 00:00:00 UTC 2026</v>
          </cell>
          <cell r="G238" t="str">
            <v>3PTY</v>
          </cell>
          <cell r="H238" t="str">
            <v>Active</v>
          </cell>
          <cell r="I238" t="str">
            <v>Katyal,Varun</v>
          </cell>
          <cell r="J238" t="str">
            <v>EFSV</v>
          </cell>
        </row>
        <row r="239">
          <cell r="A239">
            <v>206873567</v>
          </cell>
          <cell r="B239" t="str">
            <v>lkofhenr</v>
          </cell>
          <cell r="C239" t="str">
            <v>KOFI,HENRY</v>
          </cell>
          <cell r="D239">
            <v>12796550</v>
          </cell>
          <cell r="E239">
            <v>1299</v>
          </cell>
          <cell r="F239" t="str">
            <v>Mon Dec 29 00:00:00 UTC 2025</v>
          </cell>
          <cell r="G239" t="str">
            <v>3PTY</v>
          </cell>
          <cell r="H239" t="str">
            <v>Active</v>
          </cell>
          <cell r="I239" t="str">
            <v>Katyal,Varun</v>
          </cell>
          <cell r="J239" t="str">
            <v>FLO</v>
          </cell>
        </row>
        <row r="240">
          <cell r="A240">
            <v>205127496</v>
          </cell>
          <cell r="B240" t="str">
            <v>shadraob</v>
          </cell>
          <cell r="C240" t="str">
            <v>Obi,Shadrack</v>
          </cell>
          <cell r="D240">
            <v>11140013</v>
          </cell>
          <cell r="E240">
            <v>1299</v>
          </cell>
          <cell r="F240" t="str">
            <v>Thu Apr 10 00:00:00 UTC 2025</v>
          </cell>
          <cell r="G240" t="str">
            <v>3PTY</v>
          </cell>
          <cell r="H240" t="str">
            <v>Active</v>
          </cell>
          <cell r="I240" t="str">
            <v>elrashid,Hassan</v>
          </cell>
          <cell r="J240" t="str">
            <v>EFSV</v>
          </cell>
        </row>
        <row r="241">
          <cell r="A241">
            <v>203800382</v>
          </cell>
          <cell r="B241" t="str">
            <v>abaaamon</v>
          </cell>
          <cell r="C241" t="str">
            <v>ABAASA,AMON</v>
          </cell>
          <cell r="D241">
            <v>14561601</v>
          </cell>
          <cell r="E241">
            <v>1299</v>
          </cell>
          <cell r="F241" t="str">
            <v>Mon Aug 12 00:00:00 UTC 2024</v>
          </cell>
          <cell r="G241" t="str">
            <v>3PTY</v>
          </cell>
          <cell r="H241" t="str">
            <v>Active</v>
          </cell>
          <cell r="I241" t="str">
            <v>Sohail,Anis</v>
          </cell>
          <cell r="J241" t="str">
            <v>DULS</v>
          </cell>
        </row>
        <row r="242">
          <cell r="A242">
            <v>206503618</v>
          </cell>
          <cell r="B242" t="str">
            <v>dianahje</v>
          </cell>
          <cell r="C242" t="str">
            <v>AGUI,DIANAH JEROTICH</v>
          </cell>
          <cell r="D242">
            <v>14258173</v>
          </cell>
          <cell r="E242">
            <v>1299</v>
          </cell>
          <cell r="F242" t="str">
            <v>Mon Nov 10 00:00:00 UTC 2025</v>
          </cell>
          <cell r="G242" t="str">
            <v>3PTY</v>
          </cell>
          <cell r="H242" t="str">
            <v>Active</v>
          </cell>
          <cell r="I242" t="str">
            <v>Lakkireddy,Sai Raghavendra Reddy</v>
          </cell>
          <cell r="J242" t="str">
            <v>EFSV</v>
          </cell>
        </row>
        <row r="243">
          <cell r="A243">
            <v>207820984</v>
          </cell>
          <cell r="B243" t="str">
            <v>zalauddm</v>
          </cell>
          <cell r="C243" t="str">
            <v>ANSARI,ZALAUDDIN</v>
          </cell>
          <cell r="D243">
            <v>14102232</v>
          </cell>
          <cell r="E243">
            <v>1712</v>
          </cell>
          <cell r="F243" t="str">
            <v>Fri Jun 26 00:00:00 UTC 2026</v>
          </cell>
          <cell r="G243" t="str">
            <v>3PTY</v>
          </cell>
          <cell r="H243" t="str">
            <v>Active</v>
          </cell>
          <cell r="I243" t="str">
            <v>POGALA,HAREESH</v>
          </cell>
          <cell r="J243" t="str">
            <v>TDTS</v>
          </cell>
        </row>
        <row r="244">
          <cell r="A244">
            <v>204890373</v>
          </cell>
          <cell r="B244" t="str">
            <v>oemaxwel</v>
          </cell>
          <cell r="C244" t="str">
            <v>OFORI,MAXWELL</v>
          </cell>
          <cell r="D244">
            <v>14836862</v>
          </cell>
          <cell r="E244">
            <v>1299</v>
          </cell>
          <cell r="F244" t="str">
            <v>Mon Feb 03 00:00:00 UTC 2025</v>
          </cell>
          <cell r="G244" t="str">
            <v>3PTY</v>
          </cell>
          <cell r="H244" t="str">
            <v>Active</v>
          </cell>
          <cell r="I244" t="str">
            <v>Thomas,Binil</v>
          </cell>
          <cell r="J244" t="str">
            <v>DULS</v>
          </cell>
        </row>
        <row r="245">
          <cell r="A245">
            <v>205853886</v>
          </cell>
          <cell r="B245" t="str">
            <v>sharmugw</v>
          </cell>
          <cell r="C245" t="str">
            <v>MUGWANYA,SHARIFU ALI</v>
          </cell>
          <cell r="D245">
            <v>11998421</v>
          </cell>
          <cell r="E245">
            <v>1299</v>
          </cell>
          <cell r="F245" t="str">
            <v>Mon Aug 25 00:00:00 UTC 2025</v>
          </cell>
          <cell r="G245" t="str">
            <v>3PTY</v>
          </cell>
          <cell r="H245" t="str">
            <v>Active</v>
          </cell>
          <cell r="I245" t="str">
            <v>Ansari,Ammar Abdullah</v>
          </cell>
          <cell r="J245" t="str">
            <v>EFSV</v>
          </cell>
        </row>
        <row r="246">
          <cell r="A246">
            <v>203736773</v>
          </cell>
          <cell r="B246" t="str">
            <v>painmyat</v>
          </cell>
          <cell r="C246" t="str">
            <v>Paing,Myat Nay</v>
          </cell>
          <cell r="D246">
            <v>11554061</v>
          </cell>
          <cell r="E246">
            <v>1299</v>
          </cell>
          <cell r="F246" t="str">
            <v>Mon Jul 29 00:00:00 UTC 2024</v>
          </cell>
          <cell r="G246" t="str">
            <v>3PTY</v>
          </cell>
          <cell r="H246" t="str">
            <v>Active</v>
          </cell>
          <cell r="I246" t="str">
            <v>Ansari,Ammar Abdullah</v>
          </cell>
          <cell r="J246" t="str">
            <v>ADEC</v>
          </cell>
        </row>
        <row r="247">
          <cell r="A247">
            <v>206230579</v>
          </cell>
          <cell r="B247" t="str">
            <v>jeptanui</v>
          </cell>
          <cell r="C247" t="str">
            <v>Jeptanui,Violah</v>
          </cell>
          <cell r="D247">
            <v>14248783</v>
          </cell>
          <cell r="E247">
            <v>1299</v>
          </cell>
          <cell r="F247" t="str">
            <v>Tue Aug 04 00:00:00 UTC 2026</v>
          </cell>
          <cell r="G247" t="str">
            <v>3PTY</v>
          </cell>
          <cell r="H247" t="str">
            <v>Active</v>
          </cell>
          <cell r="I247" t="str">
            <v>Narshad,Muhammad Ashik</v>
          </cell>
          <cell r="J247" t="str">
            <v>EFSV</v>
          </cell>
        </row>
        <row r="248">
          <cell r="A248">
            <v>205271074</v>
          </cell>
          <cell r="B248" t="str">
            <v>cosmkibe</v>
          </cell>
          <cell r="C248" t="str">
            <v>Kibet,Cosmas Kirwa</v>
          </cell>
          <cell r="D248">
            <v>13137181</v>
          </cell>
          <cell r="E248">
            <v>1299</v>
          </cell>
          <cell r="F248" t="str">
            <v>Mon Aug 25 00:00:00 UTC 2025</v>
          </cell>
          <cell r="G248" t="str">
            <v>3PTY</v>
          </cell>
          <cell r="H248" t="str">
            <v>Active</v>
          </cell>
          <cell r="I248" t="str">
            <v>Scaria,Varghese</v>
          </cell>
          <cell r="J248" t="str">
            <v>EFSV</v>
          </cell>
        </row>
        <row r="249">
          <cell r="A249">
            <v>204494316</v>
          </cell>
          <cell r="B249" t="str">
            <v>aursanau</v>
          </cell>
          <cell r="C249" t="str">
            <v>Aurang,Sanaullah Shah</v>
          </cell>
          <cell r="D249">
            <v>13961383</v>
          </cell>
          <cell r="E249">
            <v>1299</v>
          </cell>
          <cell r="F249" t="str">
            <v>Mon Nov 11 00:00:00 UTC 2024</v>
          </cell>
          <cell r="G249" t="str">
            <v>3PTY</v>
          </cell>
          <cell r="H249" t="str">
            <v>Active</v>
          </cell>
          <cell r="I249" t="str">
            <v>Parungao,Priscila Montejo</v>
          </cell>
          <cell r="J249" t="str">
            <v>VSTG</v>
          </cell>
        </row>
        <row r="250">
          <cell r="A250">
            <v>206296205</v>
          </cell>
          <cell r="B250" t="str">
            <v>conteeun</v>
          </cell>
          <cell r="C250" t="str">
            <v>CONTEH,UNISA A.</v>
          </cell>
          <cell r="D250">
            <v>13705744</v>
          </cell>
          <cell r="E250">
            <v>1299</v>
          </cell>
          <cell r="F250" t="str">
            <v>Mon Oct 20 00:00:00 UTC 2025</v>
          </cell>
          <cell r="G250" t="str">
            <v>3PTY</v>
          </cell>
          <cell r="H250" t="str">
            <v>Active</v>
          </cell>
          <cell r="I250" t="str">
            <v>Meera,Bava Bahrudeen</v>
          </cell>
          <cell r="J250" t="str">
            <v>EFSV</v>
          </cell>
        </row>
        <row r="251">
          <cell r="A251">
            <v>205744002</v>
          </cell>
          <cell r="B251" t="str">
            <v>chokkvij</v>
          </cell>
          <cell r="C251" t="str">
            <v>CHOKKANARAYANAN,VIJAYASARATHI</v>
          </cell>
          <cell r="D251">
            <v>12857763</v>
          </cell>
          <cell r="E251">
            <v>1712</v>
          </cell>
          <cell r="F251" t="str">
            <v>Thu Jul 31 00:00:00 UTC 2025</v>
          </cell>
          <cell r="G251" t="str">
            <v>3PTY</v>
          </cell>
          <cell r="H251" t="str">
            <v>Active</v>
          </cell>
          <cell r="I251" t="str">
            <v>POGALA,HAREESH</v>
          </cell>
          <cell r="J251" t="str">
            <v>KBTS</v>
          </cell>
        </row>
        <row r="252">
          <cell r="A252">
            <v>206239524</v>
          </cell>
          <cell r="B252" t="str">
            <v>fsarckoh</v>
          </cell>
          <cell r="C252" t="str">
            <v>SARCKOH BONARWOLO,FATU F</v>
          </cell>
          <cell r="D252">
            <v>13823482</v>
          </cell>
          <cell r="E252">
            <v>1299</v>
          </cell>
          <cell r="F252" t="str">
            <v>Tue Aug 04 00:00:00 UTC 2026</v>
          </cell>
          <cell r="G252" t="str">
            <v>3PTY</v>
          </cell>
          <cell r="H252" t="str">
            <v>Active</v>
          </cell>
          <cell r="I252" t="str">
            <v>Scaria,Varghese</v>
          </cell>
          <cell r="J252" t="str">
            <v>FLO</v>
          </cell>
        </row>
        <row r="253">
          <cell r="A253">
            <v>205996135</v>
          </cell>
          <cell r="B253" t="str">
            <v>nsosteph</v>
          </cell>
          <cell r="C253" t="str">
            <v>STEPHANIE NABO,NSOM</v>
          </cell>
          <cell r="D253">
            <v>11244338</v>
          </cell>
          <cell r="E253">
            <v>1299</v>
          </cell>
          <cell r="F253" t="str">
            <v>Mon Sep 15 00:00:00 UTC 2025</v>
          </cell>
          <cell r="G253" t="str">
            <v>3PTY</v>
          </cell>
          <cell r="H253" t="str">
            <v>Active</v>
          </cell>
          <cell r="I253" t="str">
            <v>Scaria,Varghese</v>
          </cell>
          <cell r="J253" t="str">
            <v>FLO</v>
          </cell>
        </row>
        <row r="254">
          <cell r="A254">
            <v>206074988</v>
          </cell>
          <cell r="B254" t="str">
            <v>kodjolaw</v>
          </cell>
          <cell r="C254" t="str">
            <v>Kodjo Osabutey,Lawson</v>
          </cell>
          <cell r="D254">
            <v>11995631</v>
          </cell>
          <cell r="E254">
            <v>1299</v>
          </cell>
          <cell r="F254" t="str">
            <v>Mon Sep 22 00:00:00 UTC 2025</v>
          </cell>
          <cell r="G254" t="str">
            <v>3PTY</v>
          </cell>
          <cell r="H254" t="str">
            <v>Active</v>
          </cell>
          <cell r="I254" t="str">
            <v>Scaria,Varghese</v>
          </cell>
          <cell r="J254" t="str">
            <v>FLO</v>
          </cell>
        </row>
        <row r="255">
          <cell r="A255">
            <v>206250613</v>
          </cell>
          <cell r="B255" t="str">
            <v>samoluwa</v>
          </cell>
          <cell r="C255" t="str">
            <v>OLUWALE LANGLEY,SAMUEL</v>
          </cell>
          <cell r="D255">
            <v>13151378</v>
          </cell>
          <cell r="E255">
            <v>1299</v>
          </cell>
          <cell r="F255" t="str">
            <v>Mon Oct 13 00:00:00 UTC 2025</v>
          </cell>
          <cell r="G255" t="str">
            <v>3PTY</v>
          </cell>
          <cell r="H255" t="str">
            <v>Active</v>
          </cell>
          <cell r="I255" t="str">
            <v>elrashid,Hassan</v>
          </cell>
          <cell r="J255" t="str">
            <v>FLO</v>
          </cell>
        </row>
        <row r="256">
          <cell r="A256">
            <v>203736780</v>
          </cell>
          <cell r="B256" t="str">
            <v>msanmyin</v>
          </cell>
          <cell r="C256" t="str">
            <v>Myint,San</v>
          </cell>
          <cell r="D256">
            <v>11064244</v>
          </cell>
          <cell r="E256">
            <v>1299</v>
          </cell>
          <cell r="F256" t="str">
            <v>Mon Jul 29 00:00:00 UTC 2024</v>
          </cell>
          <cell r="G256" t="str">
            <v>3PTY</v>
          </cell>
          <cell r="H256" t="str">
            <v>Active</v>
          </cell>
          <cell r="I256" t="str">
            <v>Katyal,Varun</v>
          </cell>
          <cell r="J256" t="str">
            <v>ADEC</v>
          </cell>
        </row>
        <row r="257">
          <cell r="A257">
            <v>204013691</v>
          </cell>
          <cell r="B257" t="str">
            <v>benesaah</v>
          </cell>
          <cell r="C257" t="str">
            <v>Saah Camille,Benedict</v>
          </cell>
          <cell r="D257">
            <v>13139454</v>
          </cell>
          <cell r="E257">
            <v>1299</v>
          </cell>
          <cell r="F257" t="str">
            <v>Mon Sep 16 00:00:00 UTC 2024</v>
          </cell>
          <cell r="G257" t="str">
            <v>3PTY</v>
          </cell>
          <cell r="H257" t="str">
            <v>Active</v>
          </cell>
          <cell r="I257" t="str">
            <v>Scaria,Varghese</v>
          </cell>
          <cell r="J257" t="str">
            <v>FLO</v>
          </cell>
        </row>
        <row r="258">
          <cell r="A258">
            <v>203512665</v>
          </cell>
          <cell r="B258" t="str">
            <v>atuahech</v>
          </cell>
          <cell r="C258" t="str">
            <v>Atuahene,Christiana</v>
          </cell>
          <cell r="D258">
            <v>58624</v>
          </cell>
          <cell r="E258">
            <v>1299</v>
          </cell>
          <cell r="F258" t="str">
            <v>Thu Jun 20 00:00:00 UTC 2024</v>
          </cell>
          <cell r="G258" t="str">
            <v>3PTY</v>
          </cell>
          <cell r="H258" t="str">
            <v>Active</v>
          </cell>
          <cell r="I258" t="str">
            <v>Lakkireddy,Sai Raghavendra Reddy</v>
          </cell>
          <cell r="J258" t="str">
            <v>FLO</v>
          </cell>
        </row>
        <row r="259">
          <cell r="A259">
            <v>203800383</v>
          </cell>
          <cell r="B259" t="str">
            <v>geokiwan</v>
          </cell>
          <cell r="C259" t="str">
            <v>KIWANUKA,GEORGE WILLIAM</v>
          </cell>
          <cell r="D259">
            <v>15395292</v>
          </cell>
          <cell r="E259">
            <v>1299</v>
          </cell>
          <cell r="F259" t="str">
            <v>Mon Aug 12 00:00:00 UTC 2024</v>
          </cell>
          <cell r="G259" t="str">
            <v>3PTY</v>
          </cell>
          <cell r="H259" t="str">
            <v>Active</v>
          </cell>
          <cell r="I259" t="str">
            <v>Katyal,Varun</v>
          </cell>
          <cell r="J259" t="str">
            <v>DULS</v>
          </cell>
        </row>
        <row r="260">
          <cell r="A260">
            <v>203965006</v>
          </cell>
          <cell r="B260" t="str">
            <v>joakhili</v>
          </cell>
          <cell r="C260" t="str">
            <v>Joy,Akhil</v>
          </cell>
          <cell r="D260">
            <v>11912479</v>
          </cell>
          <cell r="E260">
            <v>1299</v>
          </cell>
          <cell r="F260" t="str">
            <v>Mon Sep 09 00:00:00 UTC 2024</v>
          </cell>
          <cell r="G260" t="str">
            <v>3PTY</v>
          </cell>
          <cell r="H260" t="str">
            <v>Active</v>
          </cell>
          <cell r="I260" t="str">
            <v>Thomas,Binil</v>
          </cell>
          <cell r="J260" t="str">
            <v>ADEC</v>
          </cell>
        </row>
        <row r="261">
          <cell r="A261">
            <v>207871328</v>
          </cell>
          <cell r="B261" t="str">
            <v>hcbishwo</v>
          </cell>
          <cell r="C261" t="str">
            <v>BISHWOKARMA,HUM BAHADUR</v>
          </cell>
          <cell r="D261">
            <v>13935760</v>
          </cell>
          <cell r="E261">
            <v>1316</v>
          </cell>
          <cell r="F261" t="str">
            <v>Sat Jul 04 00:00:00 UTC 2026</v>
          </cell>
          <cell r="G261" t="str">
            <v>3PTY</v>
          </cell>
          <cell r="H261" t="str">
            <v>Active</v>
          </cell>
          <cell r="I261" t="str">
            <v>Akhtar,Muhammad Zohaib</v>
          </cell>
          <cell r="J261" t="str">
            <v>WOFZ</v>
          </cell>
        </row>
        <row r="262">
          <cell r="A262">
            <v>203810819</v>
          </cell>
          <cell r="B262" t="str">
            <v>qsajicha</v>
          </cell>
          <cell r="C262" t="str">
            <v>CHAMRA,SAJITH</v>
          </cell>
          <cell r="D262">
            <v>12622930</v>
          </cell>
          <cell r="E262">
            <v>1299</v>
          </cell>
          <cell r="F262" t="str">
            <v>Sat Aug 10 00:00:00 UTC 2024</v>
          </cell>
          <cell r="G262" t="str">
            <v>3PTY</v>
          </cell>
          <cell r="H262" t="str">
            <v>Active</v>
          </cell>
          <cell r="I262" t="str">
            <v>Adhikari,Nayab</v>
          </cell>
          <cell r="J262" t="str">
            <v>KBTS</v>
          </cell>
        </row>
        <row r="263">
          <cell r="A263">
            <v>203736254</v>
          </cell>
          <cell r="B263" t="str">
            <v>mukujung</v>
          </cell>
          <cell r="C263" t="str">
            <v>MUKUJUNGU,ISAAH</v>
          </cell>
          <cell r="D263">
            <v>12542982</v>
          </cell>
          <cell r="E263">
            <v>1299</v>
          </cell>
          <cell r="F263" t="str">
            <v>Mon Jul 29 00:00:00 UTC 2024</v>
          </cell>
          <cell r="G263" t="str">
            <v>3PTY</v>
          </cell>
          <cell r="H263" t="str">
            <v>Active</v>
          </cell>
          <cell r="I263" t="str">
            <v>Katyal,Varun</v>
          </cell>
          <cell r="J263" t="str">
            <v>DULS</v>
          </cell>
        </row>
        <row r="264">
          <cell r="A264">
            <v>205647827</v>
          </cell>
          <cell r="B264" t="str">
            <v>chepkodf</v>
          </cell>
          <cell r="C264" t="str">
            <v>Chepkosgei,Faith</v>
          </cell>
          <cell r="D264">
            <v>11431478</v>
          </cell>
          <cell r="E264">
            <v>1299</v>
          </cell>
          <cell r="F264" t="str">
            <v>Mon Jul 14 00:00:00 UTC 2025</v>
          </cell>
          <cell r="G264" t="str">
            <v>3PTY</v>
          </cell>
          <cell r="H264" t="str">
            <v>Active</v>
          </cell>
          <cell r="I264" t="str">
            <v>Sohail,Anis</v>
          </cell>
          <cell r="J264" t="str">
            <v>EFSV</v>
          </cell>
        </row>
        <row r="265">
          <cell r="A265">
            <v>203850778</v>
          </cell>
          <cell r="B265" t="str">
            <v>lsseandr</v>
          </cell>
          <cell r="C265" t="str">
            <v>Ssebuggwawo,Andrew</v>
          </cell>
          <cell r="D265">
            <v>12629390</v>
          </cell>
          <cell r="E265">
            <v>1299</v>
          </cell>
          <cell r="F265" t="str">
            <v>Tue Aug 20 00:00:00 UTC 2024</v>
          </cell>
          <cell r="G265" t="str">
            <v>3PTY</v>
          </cell>
          <cell r="H265" t="str">
            <v>Active</v>
          </cell>
          <cell r="I265" t="str">
            <v>Lakkireddy,Sai Raghavendra Reddy</v>
          </cell>
          <cell r="J265" t="str">
            <v>DULS</v>
          </cell>
        </row>
        <row r="266">
          <cell r="A266">
            <v>206493302</v>
          </cell>
          <cell r="B266" t="str">
            <v>lmdmilab</v>
          </cell>
          <cell r="C266" t="str">
            <v>Labid Ruhul Amin,Md Mizanur Rahman</v>
          </cell>
          <cell r="D266">
            <v>11645299</v>
          </cell>
          <cell r="E266">
            <v>1299</v>
          </cell>
          <cell r="F266" t="str">
            <v>Wed Nov 05 00:00:00 UTC 2025</v>
          </cell>
          <cell r="G266" t="str">
            <v>3PTY</v>
          </cell>
          <cell r="H266" t="str">
            <v>Active</v>
          </cell>
          <cell r="I266" t="str">
            <v>Parungao,Priscila Montejo</v>
          </cell>
          <cell r="J266" t="str">
            <v>STWC</v>
          </cell>
        </row>
        <row r="267">
          <cell r="A267">
            <v>204967149</v>
          </cell>
          <cell r="B267" t="str">
            <v>kisssylv</v>
          </cell>
          <cell r="C267" t="str">
            <v>KISSEIH,SYLVESTER</v>
          </cell>
          <cell r="D267">
            <v>14615560</v>
          </cell>
          <cell r="E267">
            <v>1299</v>
          </cell>
          <cell r="F267" t="str">
            <v>Wed Jun 18 00:00:00 UTC 2025</v>
          </cell>
          <cell r="G267" t="str">
            <v>3PTY</v>
          </cell>
          <cell r="H267" t="str">
            <v>Active</v>
          </cell>
          <cell r="I267" t="str">
            <v>Katyal,Varun</v>
          </cell>
          <cell r="J267" t="str">
            <v>DULS</v>
          </cell>
        </row>
        <row r="268">
          <cell r="A268">
            <v>206079517</v>
          </cell>
          <cell r="B268" t="str">
            <v>hasanahj</v>
          </cell>
          <cell r="C268" t="str">
            <v>Joy Siraj Miah,Hasan Ahmed</v>
          </cell>
          <cell r="D268">
            <v>11868658</v>
          </cell>
          <cell r="E268">
            <v>1712</v>
          </cell>
          <cell r="F268" t="str">
            <v>Thu Sep 18 00:00:00 UTC 2025</v>
          </cell>
          <cell r="G268" t="str">
            <v>3PTY</v>
          </cell>
          <cell r="H268" t="str">
            <v>Active</v>
          </cell>
          <cell r="I268" t="str">
            <v>Rizvan,Mohamed</v>
          </cell>
          <cell r="J268" t="str">
            <v>KBTS</v>
          </cell>
        </row>
        <row r="269">
          <cell r="A269">
            <v>205986151</v>
          </cell>
          <cell r="B269" t="str">
            <v>kufkamid</v>
          </cell>
          <cell r="C269" t="str">
            <v>AMIDU,KUFAM</v>
          </cell>
          <cell r="D269">
            <v>13429934</v>
          </cell>
          <cell r="E269">
            <v>1299</v>
          </cell>
          <cell r="F269" t="str">
            <v>Mon Sep 15 00:00:00 UTC 2025</v>
          </cell>
          <cell r="G269" t="str">
            <v>3PTY</v>
          </cell>
          <cell r="H269" t="str">
            <v>Active</v>
          </cell>
          <cell r="I269" t="str">
            <v>Katyal,Varun</v>
          </cell>
          <cell r="J269" t="str">
            <v>DULS</v>
          </cell>
        </row>
        <row r="270">
          <cell r="A270">
            <v>204246170</v>
          </cell>
          <cell r="B270" t="str">
            <v>inkooder</v>
          </cell>
          <cell r="C270" t="str">
            <v>Inkoom,Derrick</v>
          </cell>
          <cell r="D270">
            <v>13306341</v>
          </cell>
          <cell r="E270">
            <v>1299</v>
          </cell>
          <cell r="F270" t="str">
            <v>Mon Oct 14 00:00:00 UTC 2024</v>
          </cell>
          <cell r="G270" t="str">
            <v>3PTY</v>
          </cell>
          <cell r="H270" t="str">
            <v>Active</v>
          </cell>
          <cell r="I270" t="str">
            <v>Katyal,Varun</v>
          </cell>
          <cell r="J270" t="str">
            <v>QUES</v>
          </cell>
        </row>
        <row r="271">
          <cell r="A271">
            <v>203940975</v>
          </cell>
          <cell r="B271" t="str">
            <v>hkhwabdu</v>
          </cell>
          <cell r="C271" t="str">
            <v>Khwaja,Abdul Hanan</v>
          </cell>
          <cell r="D271">
            <v>15335526</v>
          </cell>
          <cell r="E271">
            <v>1299</v>
          </cell>
          <cell r="F271" t="str">
            <v>Thu Sep 05 00:00:00 UTC 2024</v>
          </cell>
          <cell r="G271" t="str">
            <v>3PTY</v>
          </cell>
          <cell r="H271" t="str">
            <v>Active</v>
          </cell>
          <cell r="I271" t="str">
            <v>Sachdeva,Neeraj</v>
          </cell>
          <cell r="J271" t="str">
            <v>ADEC</v>
          </cell>
        </row>
        <row r="272">
          <cell r="A272">
            <v>203908914</v>
          </cell>
          <cell r="B272" t="str">
            <v>kanyesst</v>
          </cell>
          <cell r="C272" t="str">
            <v>KANYESIGYE,STEVEN</v>
          </cell>
          <cell r="D272">
            <v>14597714</v>
          </cell>
          <cell r="E272">
            <v>1299</v>
          </cell>
          <cell r="F272" t="str">
            <v>Mon Sep 02 00:00:00 UTC 2024</v>
          </cell>
          <cell r="G272" t="str">
            <v>3PTY</v>
          </cell>
          <cell r="H272" t="str">
            <v>Active</v>
          </cell>
          <cell r="I272" t="str">
            <v>Ansari,Ammar Abdullah</v>
          </cell>
          <cell r="J272" t="str">
            <v>DULS</v>
          </cell>
        </row>
        <row r="273">
          <cell r="A273">
            <v>203468310</v>
          </cell>
          <cell r="B273" t="str">
            <v>blesndu</v>
          </cell>
          <cell r="C273" t="str">
            <v>Ndu,Blessing Anya</v>
          </cell>
          <cell r="D273">
            <v>14217459</v>
          </cell>
          <cell r="E273">
            <v>1299</v>
          </cell>
          <cell r="F273" t="str">
            <v>Thu Jun 13 00:00:00 UTC 2024</v>
          </cell>
          <cell r="G273" t="str">
            <v>3PTY</v>
          </cell>
          <cell r="H273" t="str">
            <v>Active</v>
          </cell>
          <cell r="I273" t="str">
            <v>Katyal,Varun</v>
          </cell>
          <cell r="J273" t="str">
            <v>FLO</v>
          </cell>
        </row>
        <row r="274">
          <cell r="A274">
            <v>206250638</v>
          </cell>
          <cell r="B274" t="str">
            <v>gakyeaop</v>
          </cell>
          <cell r="C274" t="str">
            <v>AKYEA OPARE,OWUSU</v>
          </cell>
          <cell r="D274">
            <v>15028753</v>
          </cell>
          <cell r="E274">
            <v>1299</v>
          </cell>
          <cell r="F274" t="str">
            <v>Mon Oct 13 00:00:00 UTC 2025</v>
          </cell>
          <cell r="G274" t="str">
            <v>3PTY</v>
          </cell>
          <cell r="H274" t="str">
            <v>Active</v>
          </cell>
          <cell r="I274" t="str">
            <v>Narshad,Muhammad Ashik</v>
          </cell>
          <cell r="J274" t="str">
            <v>FLO</v>
          </cell>
        </row>
        <row r="275">
          <cell r="A275">
            <v>203993431</v>
          </cell>
          <cell r="B275" t="str">
            <v>okulyjos</v>
          </cell>
          <cell r="C275" t="str">
            <v>OKULA,JOSHUA</v>
          </cell>
          <cell r="D275">
            <v>60712</v>
          </cell>
          <cell r="E275">
            <v>1299</v>
          </cell>
          <cell r="F275" t="str">
            <v>Thu Sep 12 00:00:00 UTC 2024</v>
          </cell>
          <cell r="G275" t="str">
            <v>3PTY</v>
          </cell>
          <cell r="H275" t="str">
            <v>Active</v>
          </cell>
          <cell r="I275" t="str">
            <v>Ansari,Ammar Abdullah</v>
          </cell>
          <cell r="J275" t="str">
            <v>DULS</v>
          </cell>
        </row>
        <row r="276">
          <cell r="A276">
            <v>204117685</v>
          </cell>
          <cell r="B276" t="str">
            <v>sonsiamj</v>
          </cell>
          <cell r="C276" t="str">
            <v>Sonsiama,Sia</v>
          </cell>
          <cell r="D276">
            <v>12825863</v>
          </cell>
          <cell r="E276">
            <v>1299</v>
          </cell>
          <cell r="F276" t="str">
            <v>Thu Sep 26 00:00:00 UTC 2024</v>
          </cell>
          <cell r="G276" t="str">
            <v>3PTY</v>
          </cell>
          <cell r="H276" t="str">
            <v>Active</v>
          </cell>
          <cell r="I276" t="str">
            <v>Thomas,Binil</v>
          </cell>
          <cell r="J276" t="str">
            <v>QUES</v>
          </cell>
        </row>
        <row r="277">
          <cell r="A277">
            <v>207865014</v>
          </cell>
          <cell r="B277" t="str">
            <v>mahdanau</v>
          </cell>
          <cell r="C277" t="str">
            <v>Mahdanau,Maxims</v>
          </cell>
          <cell r="D277">
            <v>12998700</v>
          </cell>
          <cell r="E277">
            <v>1200</v>
          </cell>
          <cell r="F277" t="str">
            <v>Sun Jul 05 00:00:00 UTC 2026</v>
          </cell>
          <cell r="G277" t="str">
            <v>3PTY</v>
          </cell>
          <cell r="H277" t="str">
            <v>Active</v>
          </cell>
          <cell r="I277" t="str">
            <v>Alhashmi,Abdulla</v>
          </cell>
          <cell r="J277" t="str">
            <v>SSIS</v>
          </cell>
        </row>
        <row r="278">
          <cell r="A278">
            <v>113366831</v>
          </cell>
          <cell r="B278" t="str">
            <v>osalwant</v>
          </cell>
          <cell r="C278" t="str">
            <v>Masih,Sanjana Salwant</v>
          </cell>
          <cell r="D278">
            <v>14442920</v>
          </cell>
          <cell r="E278">
            <v>1299</v>
          </cell>
          <cell r="F278" t="str">
            <v>Mon Sep 02 00:00:00 UTC 2024</v>
          </cell>
          <cell r="G278" t="str">
            <v>3PTY</v>
          </cell>
          <cell r="H278" t="str">
            <v>Active</v>
          </cell>
          <cell r="I278" t="str">
            <v>Thomas,Binil</v>
          </cell>
          <cell r="J278" t="str">
            <v>ADEC</v>
          </cell>
        </row>
        <row r="279">
          <cell r="A279">
            <v>203512948</v>
          </cell>
          <cell r="B279" t="str">
            <v>yendbism</v>
          </cell>
          <cell r="C279" t="str">
            <v>Yendaw,Bismark</v>
          </cell>
          <cell r="D279">
            <v>11164562</v>
          </cell>
          <cell r="E279">
            <v>1299</v>
          </cell>
          <cell r="F279" t="str">
            <v>Thu Jun 20 00:00:00 UTC 2024</v>
          </cell>
          <cell r="G279" t="str">
            <v>3PTY</v>
          </cell>
          <cell r="H279" t="str">
            <v>Active</v>
          </cell>
          <cell r="I279" t="str">
            <v>Scaria,Varghese</v>
          </cell>
          <cell r="J279" t="str">
            <v>FLO</v>
          </cell>
        </row>
        <row r="280">
          <cell r="A280">
            <v>203850806</v>
          </cell>
          <cell r="B280" t="str">
            <v>amanyjog</v>
          </cell>
          <cell r="C280" t="str">
            <v>Amanya,Joab</v>
          </cell>
          <cell r="D280">
            <v>11349407</v>
          </cell>
          <cell r="E280">
            <v>1299</v>
          </cell>
          <cell r="F280" t="str">
            <v>Tue Aug 20 00:00:00 UTC 2024</v>
          </cell>
          <cell r="G280" t="str">
            <v>3PTY</v>
          </cell>
          <cell r="H280" t="str">
            <v>Active</v>
          </cell>
          <cell r="I280" t="str">
            <v>Lakkireddy,Sai Raghavendra Reddy</v>
          </cell>
          <cell r="J280" t="str">
            <v>DULS</v>
          </cell>
        </row>
        <row r="281">
          <cell r="A281">
            <v>206868000</v>
          </cell>
          <cell r="B281" t="str">
            <v>bbenjowu</v>
          </cell>
          <cell r="C281" t="str">
            <v>OWUSU,BENJAMIN</v>
          </cell>
          <cell r="D281">
            <v>14777847</v>
          </cell>
          <cell r="E281">
            <v>1299</v>
          </cell>
          <cell r="F281" t="str">
            <v>Tue Aug 04 00:00:00 UTC 2026</v>
          </cell>
          <cell r="G281" t="str">
            <v>3PTY</v>
          </cell>
          <cell r="H281" t="str">
            <v>Active</v>
          </cell>
          <cell r="I281" t="str">
            <v>Scaria,Varghese</v>
          </cell>
          <cell r="J281" t="str">
            <v>FLO</v>
          </cell>
        </row>
        <row r="282">
          <cell r="A282">
            <v>205853893</v>
          </cell>
          <cell r="B282" t="str">
            <v>phoeboli</v>
          </cell>
          <cell r="C282" t="str">
            <v>OLINDO,PHOEBE</v>
          </cell>
          <cell r="D282">
            <v>13272169</v>
          </cell>
          <cell r="E282">
            <v>1299</v>
          </cell>
          <cell r="F282" t="str">
            <v>Mon Aug 25 00:00:00 UTC 2025</v>
          </cell>
          <cell r="G282" t="str">
            <v>3PTY</v>
          </cell>
          <cell r="H282" t="str">
            <v>Active</v>
          </cell>
          <cell r="I282" t="str">
            <v>Thomas,Binil</v>
          </cell>
          <cell r="J282" t="str">
            <v>EFSV</v>
          </cell>
        </row>
        <row r="283">
          <cell r="A283">
            <v>206491329</v>
          </cell>
          <cell r="B283" t="str">
            <v>yrotichc</v>
          </cell>
          <cell r="C283" t="str">
            <v>ROTICH,CYNTHIA JEPKOSGEI</v>
          </cell>
          <cell r="D283">
            <v>14338837</v>
          </cell>
          <cell r="E283">
            <v>1299</v>
          </cell>
          <cell r="F283" t="str">
            <v>Mon Nov 10 00:00:00 UTC 2025</v>
          </cell>
          <cell r="G283" t="str">
            <v>3PTY</v>
          </cell>
          <cell r="H283" t="str">
            <v>Active</v>
          </cell>
          <cell r="I283" t="str">
            <v>Scaria,Varghese</v>
          </cell>
          <cell r="J283" t="str">
            <v>EFSV</v>
          </cell>
        </row>
        <row r="284">
          <cell r="A284">
            <v>205846573</v>
          </cell>
          <cell r="B284" t="str">
            <v>anndila</v>
          </cell>
          <cell r="C284" t="str">
            <v>NDILA KIKUNG'A,ANN</v>
          </cell>
          <cell r="D284">
            <v>13615463</v>
          </cell>
          <cell r="E284">
            <v>1299</v>
          </cell>
          <cell r="F284" t="str">
            <v>Mon Aug 25 00:00:00 UTC 2025</v>
          </cell>
          <cell r="G284" t="str">
            <v>3PTY</v>
          </cell>
          <cell r="H284" t="str">
            <v>Active</v>
          </cell>
          <cell r="I284" t="str">
            <v>Scaria,Varghese</v>
          </cell>
          <cell r="J284" t="str">
            <v>EFSV</v>
          </cell>
        </row>
        <row r="285">
          <cell r="A285">
            <v>206953989</v>
          </cell>
          <cell r="B285" t="str">
            <v>lomaneno</v>
          </cell>
          <cell r="C285" t="str">
            <v>LONGWE,MANENO</v>
          </cell>
          <cell r="D285">
            <v>12368378</v>
          </cell>
          <cell r="E285">
            <v>1299</v>
          </cell>
          <cell r="F285" t="str">
            <v>Mon Jan 26 00:00:00 UTC 2026</v>
          </cell>
          <cell r="G285" t="str">
            <v>3PTY</v>
          </cell>
          <cell r="H285" t="str">
            <v>Active</v>
          </cell>
          <cell r="I285" t="str">
            <v>Meera,Bava Bahrudeen</v>
          </cell>
          <cell r="J285" t="str">
            <v>DULS</v>
          </cell>
        </row>
        <row r="286">
          <cell r="A286">
            <v>204373724</v>
          </cell>
          <cell r="B286" t="str">
            <v>sarshcha</v>
          </cell>
          <cell r="C286" t="str">
            <v>CHARLES,SARSHAN</v>
          </cell>
          <cell r="D286">
            <v>14373531</v>
          </cell>
          <cell r="E286">
            <v>1299</v>
          </cell>
          <cell r="F286" t="str">
            <v>Mon Oct 28 00:00:00 UTC 2024</v>
          </cell>
          <cell r="G286" t="str">
            <v>3PTY</v>
          </cell>
          <cell r="H286" t="str">
            <v>Active</v>
          </cell>
          <cell r="I286" t="str">
            <v>Ansari,Ammar Abdullah</v>
          </cell>
          <cell r="J286" t="str">
            <v>ADEC</v>
          </cell>
        </row>
        <row r="287">
          <cell r="A287">
            <v>206874057</v>
          </cell>
          <cell r="B287" t="str">
            <v>kayimose</v>
          </cell>
          <cell r="C287" t="str">
            <v>MOSES,KAYIRA</v>
          </cell>
          <cell r="D287">
            <v>15244837</v>
          </cell>
          <cell r="E287">
            <v>1299</v>
          </cell>
          <cell r="F287" t="str">
            <v>Mon Dec 29 00:00:00 UTC 2025</v>
          </cell>
          <cell r="G287" t="str">
            <v>3PTY</v>
          </cell>
          <cell r="H287" t="str">
            <v>Active</v>
          </cell>
          <cell r="I287" t="str">
            <v>Katyal,Varun</v>
          </cell>
          <cell r="J287" t="str">
            <v>DULS</v>
          </cell>
        </row>
        <row r="288">
          <cell r="A288">
            <v>203799804</v>
          </cell>
          <cell r="B288" t="str">
            <v>mumahfuj</v>
          </cell>
          <cell r="C288" t="str">
            <v>MAHFUJ,MUHAMMAD</v>
          </cell>
          <cell r="D288">
            <v>12250946</v>
          </cell>
          <cell r="E288">
            <v>1299</v>
          </cell>
          <cell r="F288" t="str">
            <v>Fri Aug 09 00:00:00 UTC 2024</v>
          </cell>
          <cell r="G288" t="str">
            <v>3PTY</v>
          </cell>
          <cell r="H288" t="str">
            <v>Active</v>
          </cell>
          <cell r="I288" t="str">
            <v>Ahmad,Fahim</v>
          </cell>
          <cell r="J288" t="str">
            <v>KBTS</v>
          </cell>
        </row>
        <row r="289">
          <cell r="A289">
            <v>204138127</v>
          </cell>
          <cell r="B289" t="str">
            <v>osumrama</v>
          </cell>
          <cell r="C289" t="str">
            <v>Osumanu,Ramatu</v>
          </cell>
          <cell r="D289">
            <v>336969</v>
          </cell>
          <cell r="E289">
            <v>1299</v>
          </cell>
          <cell r="F289" t="str">
            <v>Mon Sep 30 00:00:00 UTC 2024</v>
          </cell>
          <cell r="G289" t="str">
            <v>3PTY</v>
          </cell>
          <cell r="H289" t="str">
            <v>Active</v>
          </cell>
          <cell r="I289" t="str">
            <v>Ansari,Ammar Abdullah</v>
          </cell>
          <cell r="J289" t="str">
            <v>QUES</v>
          </cell>
        </row>
        <row r="290">
          <cell r="A290">
            <v>203800482</v>
          </cell>
          <cell r="B290" t="str">
            <v>kabalisu</v>
          </cell>
          <cell r="C290" t="str">
            <v>KABALI,SULAIT</v>
          </cell>
          <cell r="D290">
            <v>13674010</v>
          </cell>
          <cell r="E290">
            <v>1299</v>
          </cell>
          <cell r="F290" t="str">
            <v>Mon Aug 12 00:00:00 UTC 2024</v>
          </cell>
          <cell r="G290" t="str">
            <v>3PTY</v>
          </cell>
          <cell r="H290" t="str">
            <v>Active</v>
          </cell>
          <cell r="I290" t="str">
            <v>Katyal,Varun</v>
          </cell>
          <cell r="J290" t="str">
            <v>DULS</v>
          </cell>
        </row>
        <row r="291">
          <cell r="A291">
            <v>206873658</v>
          </cell>
          <cell r="B291" t="str">
            <v>samukasz</v>
          </cell>
          <cell r="C291" t="str">
            <v>KASSAH,SAMUEL</v>
          </cell>
          <cell r="D291">
            <v>13621172</v>
          </cell>
          <cell r="E291">
            <v>1299</v>
          </cell>
          <cell r="F291" t="str">
            <v>Mon Dec 29 00:00:00 UTC 2025</v>
          </cell>
          <cell r="G291" t="str">
            <v>3PTY</v>
          </cell>
          <cell r="H291" t="str">
            <v>Active</v>
          </cell>
          <cell r="I291" t="str">
            <v>Katyal,Varun</v>
          </cell>
          <cell r="J291" t="str">
            <v>FLO</v>
          </cell>
        </row>
        <row r="292">
          <cell r="A292">
            <v>204869092</v>
          </cell>
          <cell r="B292" t="str">
            <v>tanakasm</v>
          </cell>
          <cell r="C292" t="str">
            <v>Mbawa,Tanaka Shantel</v>
          </cell>
          <cell r="D292">
            <v>11255875</v>
          </cell>
          <cell r="E292">
            <v>1299</v>
          </cell>
          <cell r="F292" t="str">
            <v>Mon Feb 03 00:00:00 UTC 2025</v>
          </cell>
          <cell r="G292" t="str">
            <v>3PTY</v>
          </cell>
          <cell r="H292" t="str">
            <v>Active</v>
          </cell>
          <cell r="I292" t="str">
            <v>Katyal,Varun</v>
          </cell>
          <cell r="J292" t="str">
            <v>QUES</v>
          </cell>
        </row>
        <row r="293">
          <cell r="A293">
            <v>203679319</v>
          </cell>
          <cell r="B293" t="str">
            <v>osjosepf</v>
          </cell>
          <cell r="C293" t="str">
            <v>Osei,Joseph</v>
          </cell>
          <cell r="D293">
            <v>11324889</v>
          </cell>
          <cell r="E293">
            <v>1299</v>
          </cell>
          <cell r="F293" t="str">
            <v>Mon Jul 15 00:00:00 UTC 2024</v>
          </cell>
          <cell r="G293" t="str">
            <v>3PTY</v>
          </cell>
          <cell r="H293" t="str">
            <v>Active</v>
          </cell>
          <cell r="I293" t="str">
            <v>Meera,Bava Bahrudeen</v>
          </cell>
          <cell r="J293" t="str">
            <v>FLO</v>
          </cell>
        </row>
        <row r="294">
          <cell r="A294">
            <v>205853575</v>
          </cell>
          <cell r="B294" t="str">
            <v>mjosepad</v>
          </cell>
          <cell r="C294" t="str">
            <v>ADDO,JOSEPH</v>
          </cell>
          <cell r="D294">
            <v>14942346</v>
          </cell>
          <cell r="E294">
            <v>1299</v>
          </cell>
          <cell r="F294" t="str">
            <v>Mon Aug 25 00:00:00 UTC 2025</v>
          </cell>
          <cell r="G294" t="str">
            <v>3PTY</v>
          </cell>
          <cell r="H294" t="str">
            <v>Active</v>
          </cell>
          <cell r="I294" t="str">
            <v>Scaria,Varghese</v>
          </cell>
          <cell r="J294" t="str">
            <v>EFSV</v>
          </cell>
        </row>
        <row r="295">
          <cell r="A295">
            <v>207820214</v>
          </cell>
          <cell r="B295" t="str">
            <v>obergkre</v>
          </cell>
          <cell r="C295" t="str">
            <v>Oberger,Rene</v>
          </cell>
          <cell r="D295">
            <v>12335424</v>
          </cell>
          <cell r="E295">
            <v>1200</v>
          </cell>
          <cell r="F295" t="str">
            <v>Wed Jul 01 00:00:00 UTC 2026</v>
          </cell>
          <cell r="G295" t="str">
            <v>3PTY</v>
          </cell>
          <cell r="H295" t="str">
            <v>Active</v>
          </cell>
          <cell r="I295" t="str">
            <v>Alhashmi,Abdulla</v>
          </cell>
          <cell r="J295" t="str">
            <v>SSIS</v>
          </cell>
        </row>
        <row r="296">
          <cell r="A296">
            <v>203800411</v>
          </cell>
          <cell r="B296" t="str">
            <v>nirmtama</v>
          </cell>
          <cell r="C296" t="str">
            <v>TAMANG,NIRMAYA</v>
          </cell>
          <cell r="D296">
            <v>14077906</v>
          </cell>
          <cell r="E296">
            <v>1299</v>
          </cell>
          <cell r="F296" t="str">
            <v>Fri Aug 09 00:00:00 UTC 2024</v>
          </cell>
          <cell r="G296" t="str">
            <v>3PTY</v>
          </cell>
          <cell r="H296" t="str">
            <v>Active</v>
          </cell>
          <cell r="I296" t="str">
            <v>POGALA,HAREESH</v>
          </cell>
          <cell r="J296" t="str">
            <v>KBTS</v>
          </cell>
        </row>
        <row r="297">
          <cell r="A297">
            <v>206137331</v>
          </cell>
          <cell r="B297" t="str">
            <v>amoahabe</v>
          </cell>
          <cell r="C297" t="str">
            <v>Amoah,Abednego</v>
          </cell>
          <cell r="D297">
            <v>13246449</v>
          </cell>
          <cell r="E297">
            <v>1299</v>
          </cell>
          <cell r="F297" t="str">
            <v>Mon Sep 29 00:00:00 UTC 2025</v>
          </cell>
          <cell r="G297" t="str">
            <v>3PTY</v>
          </cell>
          <cell r="H297" t="str">
            <v>Active</v>
          </cell>
          <cell r="I297" t="str">
            <v>Scaria,Varghese</v>
          </cell>
          <cell r="J297" t="str">
            <v>FLO</v>
          </cell>
        </row>
        <row r="298">
          <cell r="A298">
            <v>112851838</v>
          </cell>
          <cell r="B298" t="str">
            <v>michbawa</v>
          </cell>
          <cell r="C298" t="str">
            <v>Michael,Bawa Assibid</v>
          </cell>
          <cell r="D298">
            <v>11946254</v>
          </cell>
          <cell r="E298">
            <v>1299</v>
          </cell>
          <cell r="F298" t="str">
            <v>Mon Oct 21 00:00:00 UTC 2024</v>
          </cell>
          <cell r="G298" t="str">
            <v>3PTY</v>
          </cell>
          <cell r="H298" t="str">
            <v>Active</v>
          </cell>
          <cell r="I298" t="str">
            <v>Thomas,Binil</v>
          </cell>
          <cell r="J298" t="str">
            <v>QUES</v>
          </cell>
        </row>
        <row r="299">
          <cell r="A299">
            <v>203512947</v>
          </cell>
          <cell r="B299" t="str">
            <v>etamarac</v>
          </cell>
          <cell r="C299" t="str">
            <v>Etama,Rachael Motto</v>
          </cell>
          <cell r="D299">
            <v>12431891</v>
          </cell>
          <cell r="E299">
            <v>1299</v>
          </cell>
          <cell r="F299" t="str">
            <v>Thu Jun 20 00:00:00 UTC 2024</v>
          </cell>
          <cell r="G299" t="str">
            <v>3PTY</v>
          </cell>
          <cell r="H299" t="str">
            <v>Active</v>
          </cell>
          <cell r="I299" t="str">
            <v>Narshad,Muhammad Ashik</v>
          </cell>
          <cell r="J299" t="str">
            <v>FLO</v>
          </cell>
        </row>
        <row r="300">
          <cell r="A300">
            <v>206953797</v>
          </cell>
          <cell r="B300" t="str">
            <v>dianajek</v>
          </cell>
          <cell r="C300" t="str">
            <v>Kimutai,Diana Jerono</v>
          </cell>
          <cell r="D300">
            <v>12613253</v>
          </cell>
          <cell r="E300">
            <v>1299</v>
          </cell>
          <cell r="F300" t="str">
            <v>Mon Jan 26 00:00:00 UTC 2026</v>
          </cell>
          <cell r="G300" t="str">
            <v>3PTY</v>
          </cell>
          <cell r="H300" t="str">
            <v>Active</v>
          </cell>
          <cell r="I300" t="str">
            <v>Dinberu,Eden</v>
          </cell>
          <cell r="J300" t="str">
            <v>EFSV</v>
          </cell>
        </row>
        <row r="301">
          <cell r="A301">
            <v>206886736</v>
          </cell>
          <cell r="B301" t="str">
            <v>fuissaka</v>
          </cell>
          <cell r="C301" t="str">
            <v>Issaka,Fullera</v>
          </cell>
          <cell r="D301">
            <v>11981870</v>
          </cell>
          <cell r="E301">
            <v>1299</v>
          </cell>
          <cell r="F301" t="str">
            <v>Mon Jan 05 00:00:00 UTC 2026</v>
          </cell>
          <cell r="G301" t="str">
            <v>3PTY</v>
          </cell>
          <cell r="H301" t="str">
            <v>Active</v>
          </cell>
          <cell r="I301" t="str">
            <v>Thomas,Binil</v>
          </cell>
          <cell r="J301" t="str">
            <v>EFSV</v>
          </cell>
        </row>
        <row r="302">
          <cell r="A302">
            <v>204116441</v>
          </cell>
          <cell r="B302" t="str">
            <v>ncubemic</v>
          </cell>
          <cell r="C302" t="str">
            <v>Ncube,Michael Chrispen</v>
          </cell>
          <cell r="D302">
            <v>12662833</v>
          </cell>
          <cell r="E302">
            <v>1299</v>
          </cell>
          <cell r="F302" t="str">
            <v>Thu Sep 26 00:00:00 UTC 2024</v>
          </cell>
          <cell r="G302" t="str">
            <v>3PTY</v>
          </cell>
          <cell r="H302" t="str">
            <v>Active</v>
          </cell>
          <cell r="I302" t="str">
            <v>Narshad,Muhammad Ashik</v>
          </cell>
          <cell r="J302" t="str">
            <v>QUES</v>
          </cell>
        </row>
        <row r="303">
          <cell r="A303">
            <v>203512668</v>
          </cell>
          <cell r="B303" t="str">
            <v>henredws</v>
          </cell>
          <cell r="C303" t="str">
            <v>Edwards,Henry Nii Yemoh</v>
          </cell>
          <cell r="D303">
            <v>100239</v>
          </cell>
          <cell r="E303">
            <v>1299</v>
          </cell>
          <cell r="F303" t="str">
            <v>Thu Jun 20 00:00:00 UTC 2024</v>
          </cell>
          <cell r="G303" t="str">
            <v>3PTY</v>
          </cell>
          <cell r="H303" t="str">
            <v>Active</v>
          </cell>
          <cell r="I303" t="str">
            <v>Narshad,Muhammad Ashik</v>
          </cell>
          <cell r="J303" t="str">
            <v>FLO</v>
          </cell>
        </row>
        <row r="304">
          <cell r="A304">
            <v>206902847</v>
          </cell>
          <cell r="B304" t="str">
            <v>blewyson</v>
          </cell>
          <cell r="C304" t="str">
            <v>BLESSINGS MULINGA,WYSON</v>
          </cell>
          <cell r="D304">
            <v>12849070</v>
          </cell>
          <cell r="E304">
            <v>1299</v>
          </cell>
          <cell r="F304" t="str">
            <v>Thu Jan 08 00:00:00 UTC 2026</v>
          </cell>
          <cell r="G304" t="str">
            <v>3PTY</v>
          </cell>
          <cell r="H304" t="str">
            <v>Active</v>
          </cell>
          <cell r="I304" t="str">
            <v>Ansari,Ammar Abdullah</v>
          </cell>
          <cell r="J304" t="str">
            <v>DULS</v>
          </cell>
        </row>
        <row r="305">
          <cell r="A305">
            <v>203725676</v>
          </cell>
          <cell r="B305" t="str">
            <v>hgemmann</v>
          </cell>
          <cell r="C305" t="str">
            <v>EMMANNUEL,GOOBI</v>
          </cell>
          <cell r="D305">
            <v>11756423</v>
          </cell>
          <cell r="E305">
            <v>1299</v>
          </cell>
          <cell r="F305" t="str">
            <v>Mon Jul 22 00:00:00 UTC 2024</v>
          </cell>
          <cell r="G305" t="str">
            <v>3PTY</v>
          </cell>
          <cell r="H305" t="str">
            <v>Active</v>
          </cell>
          <cell r="I305" t="str">
            <v>Akhtar,Muhammad Zohaib</v>
          </cell>
          <cell r="J305" t="str">
            <v>WOFZ</v>
          </cell>
        </row>
        <row r="306">
          <cell r="A306">
            <v>206890228</v>
          </cell>
          <cell r="B306" t="str">
            <v>jerodfai</v>
          </cell>
          <cell r="C306" t="str">
            <v>JEROTICH,FAITH</v>
          </cell>
          <cell r="D306">
            <v>14718088</v>
          </cell>
          <cell r="E306">
            <v>1299</v>
          </cell>
          <cell r="F306" t="str">
            <v>Mon Jan 05 00:00:00 UTC 2026</v>
          </cell>
          <cell r="G306" t="str">
            <v>3PTY</v>
          </cell>
          <cell r="H306" t="str">
            <v>Active</v>
          </cell>
          <cell r="I306" t="str">
            <v>Katyal,Varun</v>
          </cell>
          <cell r="J306" t="str">
            <v>EFSV</v>
          </cell>
        </row>
        <row r="307">
          <cell r="A307">
            <v>206953568</v>
          </cell>
          <cell r="B307" t="str">
            <v>chepkvio</v>
          </cell>
          <cell r="C307" t="str">
            <v>Chepkirui,Violah</v>
          </cell>
          <cell r="D307">
            <v>14649310</v>
          </cell>
          <cell r="E307">
            <v>1299</v>
          </cell>
          <cell r="F307" t="str">
            <v>Mon Jan 26 00:00:00 UTC 2026</v>
          </cell>
          <cell r="G307" t="str">
            <v>3PTY</v>
          </cell>
          <cell r="H307" t="str">
            <v>Active</v>
          </cell>
          <cell r="I307" t="str">
            <v>Dinberu,Eden</v>
          </cell>
          <cell r="J307" t="str">
            <v>EFSV</v>
          </cell>
        </row>
        <row r="308">
          <cell r="A308">
            <v>206607038</v>
          </cell>
          <cell r="B308" t="str">
            <v>boickelv</v>
          </cell>
          <cell r="C308" t="str">
            <v>BOIT,KELVIN KIMUTAI</v>
          </cell>
          <cell r="D308">
            <v>14002946</v>
          </cell>
          <cell r="E308">
            <v>1299</v>
          </cell>
          <cell r="F308" t="str">
            <v>Mon Nov 17 00:00:00 UTC 2025</v>
          </cell>
          <cell r="G308" t="str">
            <v>3PTY</v>
          </cell>
          <cell r="H308" t="str">
            <v>Active</v>
          </cell>
          <cell r="I308" t="str">
            <v>Thomas,Binil</v>
          </cell>
          <cell r="J308" t="str">
            <v>EFSV</v>
          </cell>
        </row>
        <row r="309">
          <cell r="A309">
            <v>206409013</v>
          </cell>
          <cell r="B309" t="str">
            <v>iduricha</v>
          </cell>
          <cell r="C309" t="str">
            <v>Iduka,Richard</v>
          </cell>
          <cell r="D309">
            <v>11963948</v>
          </cell>
          <cell r="E309">
            <v>1712</v>
          </cell>
          <cell r="F309" t="str">
            <v>Tue Oct 28 00:00:00 UTC 2025</v>
          </cell>
          <cell r="G309" t="str">
            <v>3PTY</v>
          </cell>
          <cell r="H309" t="str">
            <v>Active</v>
          </cell>
          <cell r="I309" t="str">
            <v>Rizvan,Mohamed</v>
          </cell>
          <cell r="J309" t="str">
            <v>KBTS</v>
          </cell>
        </row>
        <row r="310">
          <cell r="A310">
            <v>203965457</v>
          </cell>
          <cell r="B310" t="str">
            <v>ricowusp</v>
          </cell>
          <cell r="C310" t="str">
            <v>Owusu,Richard</v>
          </cell>
          <cell r="D310">
            <v>12883623</v>
          </cell>
          <cell r="E310">
            <v>1299</v>
          </cell>
          <cell r="F310" t="str">
            <v>Mon Sep 09 00:00:00 UTC 2024</v>
          </cell>
          <cell r="G310" t="str">
            <v>3PTY</v>
          </cell>
          <cell r="H310" t="str">
            <v>Active</v>
          </cell>
          <cell r="I310" t="str">
            <v>Scaria,Varghese</v>
          </cell>
          <cell r="J310" t="str">
            <v>FLO</v>
          </cell>
        </row>
        <row r="311">
          <cell r="A311">
            <v>206949071</v>
          </cell>
          <cell r="B311" t="str">
            <v>alemuyom</v>
          </cell>
          <cell r="C311" t="str">
            <v>MUYOMBA,ALEX</v>
          </cell>
          <cell r="D311">
            <v>13000290</v>
          </cell>
          <cell r="E311">
            <v>1299</v>
          </cell>
          <cell r="F311" t="str">
            <v>Mon Jan 26 00:00:00 UTC 2026</v>
          </cell>
          <cell r="G311" t="str">
            <v>3PTY</v>
          </cell>
          <cell r="H311" t="str">
            <v>Active</v>
          </cell>
          <cell r="I311" t="str">
            <v>Sohail,Anis</v>
          </cell>
          <cell r="J311" t="str">
            <v>DULS</v>
          </cell>
        </row>
        <row r="312">
          <cell r="A312">
            <v>204029039</v>
          </cell>
          <cell r="B312" t="str">
            <v>abrsalam</v>
          </cell>
          <cell r="C312" t="str">
            <v>Salama,Abdelrahman</v>
          </cell>
          <cell r="D312">
            <v>14575152</v>
          </cell>
          <cell r="E312">
            <v>1299</v>
          </cell>
          <cell r="F312" t="str">
            <v>Sun Sep 15 00:00:00 UTC 2024</v>
          </cell>
          <cell r="G312" t="str">
            <v>3PTY</v>
          </cell>
          <cell r="H312" t="str">
            <v>Active</v>
          </cell>
          <cell r="I312" t="str">
            <v>Akhtar,Muhammad Zohaib</v>
          </cell>
          <cell r="J312" t="str">
            <v>WOFZ</v>
          </cell>
        </row>
        <row r="313">
          <cell r="A313">
            <v>205997628</v>
          </cell>
          <cell r="B313" t="str">
            <v>gbnyiren</v>
          </cell>
          <cell r="C313" t="str">
            <v>NYIRENDA SINGINI,BRENDA</v>
          </cell>
          <cell r="D313">
            <v>221271</v>
          </cell>
          <cell r="E313">
            <v>1299</v>
          </cell>
          <cell r="F313" t="str">
            <v>Mon Sep 15 00:00:00 UTC 2025</v>
          </cell>
          <cell r="G313" t="str">
            <v>3PTY</v>
          </cell>
          <cell r="H313" t="str">
            <v>Active</v>
          </cell>
          <cell r="I313" t="str">
            <v>Sohail,Anis</v>
          </cell>
          <cell r="J313" t="str">
            <v>FLO</v>
          </cell>
        </row>
        <row r="314">
          <cell r="A314">
            <v>207867361</v>
          </cell>
          <cell r="B314" t="str">
            <v>mdeakmde</v>
          </cell>
          <cell r="C314" t="str">
            <v>MD Eakrm Ali,MD Eakrm Ali</v>
          </cell>
          <cell r="D314">
            <v>12594298</v>
          </cell>
          <cell r="E314">
            <v>1200</v>
          </cell>
          <cell r="F314" t="str">
            <v>Fri Jul 03 00:00:00 UTC 2026</v>
          </cell>
          <cell r="G314" t="str">
            <v>3PTY</v>
          </cell>
          <cell r="H314" t="str">
            <v>Active</v>
          </cell>
          <cell r="I314" t="str">
            <v>Alhashmi,Abdulla</v>
          </cell>
          <cell r="J314" t="str">
            <v>SSIS</v>
          </cell>
        </row>
        <row r="315">
          <cell r="A315">
            <v>204882795</v>
          </cell>
          <cell r="B315" t="str">
            <v>aliikama</v>
          </cell>
          <cell r="C315" t="str">
            <v>KAMARA,ALIE</v>
          </cell>
          <cell r="D315">
            <v>13039344</v>
          </cell>
          <cell r="E315">
            <v>1299</v>
          </cell>
          <cell r="F315" t="str">
            <v>Wed Jun 18 00:00:00 UTC 2025</v>
          </cell>
          <cell r="G315" t="str">
            <v>3PTY</v>
          </cell>
          <cell r="H315" t="str">
            <v>Active</v>
          </cell>
          <cell r="I315" t="str">
            <v>Katyal,Varun</v>
          </cell>
          <cell r="J315" t="str">
            <v>DULS</v>
          </cell>
        </row>
        <row r="316">
          <cell r="A316">
            <v>203800481</v>
          </cell>
          <cell r="B316" t="str">
            <v>aivamule</v>
          </cell>
          <cell r="C316" t="str">
            <v>MULEMA,IVAN</v>
          </cell>
          <cell r="D316">
            <v>13273009</v>
          </cell>
          <cell r="E316">
            <v>1299</v>
          </cell>
          <cell r="F316" t="str">
            <v>Mon Aug 12 00:00:00 UTC 2024</v>
          </cell>
          <cell r="G316" t="str">
            <v>3PTY</v>
          </cell>
          <cell r="H316" t="str">
            <v>Active</v>
          </cell>
          <cell r="I316" t="str">
            <v>Katyal,Varun</v>
          </cell>
          <cell r="J316" t="str">
            <v>DULS</v>
          </cell>
        </row>
        <row r="317">
          <cell r="A317">
            <v>204013730</v>
          </cell>
          <cell r="B317" t="str">
            <v>mkamarau</v>
          </cell>
          <cell r="C317" t="str">
            <v>Kamara,Mybo</v>
          </cell>
          <cell r="D317">
            <v>15008393</v>
          </cell>
          <cell r="E317">
            <v>1299</v>
          </cell>
          <cell r="F317" t="str">
            <v>Mon Sep 16 00:00:00 UTC 2024</v>
          </cell>
          <cell r="G317" t="str">
            <v>3PTY</v>
          </cell>
          <cell r="H317" t="str">
            <v>Active</v>
          </cell>
          <cell r="I317" t="str">
            <v>Narshad,Muhammad Ashik</v>
          </cell>
          <cell r="J317" t="str">
            <v>FLO</v>
          </cell>
        </row>
        <row r="318">
          <cell r="A318">
            <v>206930333</v>
          </cell>
          <cell r="B318" t="str">
            <v>wadianan</v>
          </cell>
          <cell r="C318" t="str">
            <v>WAMBUA,DIANA NDULU</v>
          </cell>
          <cell r="D318">
            <v>12357992</v>
          </cell>
          <cell r="E318">
            <v>1299</v>
          </cell>
          <cell r="F318" t="str">
            <v>Thu Jan 15 00:00:00 UTC 2026</v>
          </cell>
          <cell r="G318" t="str">
            <v>3PTY</v>
          </cell>
          <cell r="H318" t="str">
            <v>Active</v>
          </cell>
          <cell r="I318" t="str">
            <v>Thomas,Binil</v>
          </cell>
          <cell r="J318" t="str">
            <v>EFSV</v>
          </cell>
        </row>
        <row r="319">
          <cell r="A319">
            <v>203477173</v>
          </cell>
          <cell r="B319" t="str">
            <v>noreeaku</v>
          </cell>
          <cell r="C319" t="str">
            <v>Noreen,Akullu</v>
          </cell>
          <cell r="D319">
            <v>13273358</v>
          </cell>
          <cell r="E319">
            <v>1299</v>
          </cell>
          <cell r="F319" t="str">
            <v>Thu Jun 13 00:00:00 UTC 2024</v>
          </cell>
          <cell r="G319" t="str">
            <v>3PTY</v>
          </cell>
          <cell r="H319" t="str">
            <v>Active</v>
          </cell>
          <cell r="I319" t="str">
            <v>Thomas,Binil</v>
          </cell>
          <cell r="J319" t="str">
            <v>ADEC</v>
          </cell>
        </row>
        <row r="320">
          <cell r="A320">
            <v>203908894</v>
          </cell>
          <cell r="B320" t="str">
            <v>emwanamb</v>
          </cell>
          <cell r="C320" t="str">
            <v>WANAMBWA,EMMA</v>
          </cell>
          <cell r="D320">
            <v>13053731</v>
          </cell>
          <cell r="E320">
            <v>1299</v>
          </cell>
          <cell r="F320" t="str">
            <v>Mon Sep 02 00:00:00 UTC 2024</v>
          </cell>
          <cell r="G320" t="str">
            <v>3PTY</v>
          </cell>
          <cell r="H320" t="str">
            <v>Active</v>
          </cell>
          <cell r="I320" t="str">
            <v>Ansari,Ammar Abdullah</v>
          </cell>
          <cell r="J320" t="str">
            <v>DULS</v>
          </cell>
        </row>
        <row r="321">
          <cell r="A321">
            <v>206735251</v>
          </cell>
          <cell r="B321" t="str">
            <v>nagudxro</v>
          </cell>
          <cell r="C321" t="str">
            <v>Nagudi,Roy</v>
          </cell>
          <cell r="D321">
            <v>13632508</v>
          </cell>
          <cell r="E321">
            <v>1299</v>
          </cell>
          <cell r="F321" t="str">
            <v>Tue Nov 25 00:00:00 UTC 2025</v>
          </cell>
          <cell r="G321" t="str">
            <v>3PTY</v>
          </cell>
          <cell r="H321" t="str">
            <v>Active</v>
          </cell>
          <cell r="I321" t="str">
            <v>Akhtar,Muhammad Zohaib</v>
          </cell>
          <cell r="J321" t="str">
            <v>WOFZ</v>
          </cell>
        </row>
        <row r="322">
          <cell r="A322">
            <v>205506017</v>
          </cell>
          <cell r="B322" t="str">
            <v>mainaoso</v>
          </cell>
          <cell r="C322" t="str">
            <v>Maina Osora,Charles</v>
          </cell>
          <cell r="D322">
            <v>14523882</v>
          </cell>
          <cell r="E322">
            <v>1299</v>
          </cell>
          <cell r="F322" t="str">
            <v>Mon Jun 23 00:00:00 UTC 2025</v>
          </cell>
          <cell r="G322" t="str">
            <v>3PTY</v>
          </cell>
          <cell r="H322" t="str">
            <v>Active</v>
          </cell>
          <cell r="I322" t="str">
            <v>Katyal,Varun</v>
          </cell>
          <cell r="J322" t="str">
            <v>EFSV</v>
          </cell>
        </row>
        <row r="323">
          <cell r="A323">
            <v>205997632</v>
          </cell>
          <cell r="B323" t="str">
            <v>naoyuohg</v>
          </cell>
          <cell r="C323" t="str">
            <v>YUOH GHEA,NAOMI</v>
          </cell>
          <cell r="D323">
            <v>13717069</v>
          </cell>
          <cell r="E323">
            <v>1299</v>
          </cell>
          <cell r="F323" t="str">
            <v>Mon Sep 15 00:00:00 UTC 2025</v>
          </cell>
          <cell r="G323" t="str">
            <v>3PTY</v>
          </cell>
          <cell r="H323" t="str">
            <v>Active</v>
          </cell>
          <cell r="I323" t="str">
            <v>Ansari,Ammar Abdullah</v>
          </cell>
          <cell r="J323" t="str">
            <v>FLO</v>
          </cell>
        </row>
        <row r="324">
          <cell r="A324">
            <v>206491327</v>
          </cell>
          <cell r="B324" t="str">
            <v>brkiprut</v>
          </cell>
          <cell r="C324" t="str">
            <v>KIPRUTO,BRENDA KIPRUTO</v>
          </cell>
          <cell r="D324">
            <v>14396691</v>
          </cell>
          <cell r="E324">
            <v>1299</v>
          </cell>
          <cell r="F324" t="str">
            <v>Mon Nov 10 00:00:00 UTC 2025</v>
          </cell>
          <cell r="G324" t="str">
            <v>3PTY</v>
          </cell>
          <cell r="H324" t="str">
            <v>Active</v>
          </cell>
          <cell r="I324" t="str">
            <v>Lakkireddy,Sai Raghavendra Reddy</v>
          </cell>
          <cell r="J324" t="str">
            <v>EFSV</v>
          </cell>
        </row>
        <row r="325">
          <cell r="A325">
            <v>206462458</v>
          </cell>
          <cell r="B325" t="str">
            <v>banishk</v>
          </cell>
          <cell r="C325" t="str">
            <v>Kumar,Anish</v>
          </cell>
          <cell r="D325">
            <v>14144888</v>
          </cell>
          <cell r="E325">
            <v>1712</v>
          </cell>
          <cell r="F325" t="str">
            <v>Sat Nov 01 00:00:00 UTC 2025</v>
          </cell>
          <cell r="G325" t="str">
            <v>3PTY</v>
          </cell>
          <cell r="H325" t="str">
            <v>Active</v>
          </cell>
          <cell r="I325" t="str">
            <v>Rizvan,Mohamed</v>
          </cell>
          <cell r="J325" t="str">
            <v>KBTS</v>
          </cell>
        </row>
        <row r="326">
          <cell r="A326">
            <v>203555406</v>
          </cell>
          <cell r="B326" t="str">
            <v>bihveraf</v>
          </cell>
          <cell r="C326" t="str">
            <v>Bih,Vera Anyangwe</v>
          </cell>
          <cell r="D326">
            <v>12123114</v>
          </cell>
          <cell r="E326">
            <v>1299</v>
          </cell>
          <cell r="F326" t="str">
            <v>Thu Jun 27 00:00:00 UTC 2024</v>
          </cell>
          <cell r="G326" t="str">
            <v>3PTY</v>
          </cell>
          <cell r="H326" t="str">
            <v>Active</v>
          </cell>
          <cell r="I326" t="str">
            <v>Meera,Bava Bahrudeen</v>
          </cell>
          <cell r="J326" t="str">
            <v>FLO</v>
          </cell>
        </row>
        <row r="327">
          <cell r="A327">
            <v>207470998</v>
          </cell>
          <cell r="B327" t="str">
            <v>tonyjaki</v>
          </cell>
          <cell r="C327" t="str">
            <v>Kizhakkumthala Poulose,Tony James</v>
          </cell>
          <cell r="D327">
            <v>15394599</v>
          </cell>
          <cell r="E327">
            <v>1712</v>
          </cell>
          <cell r="F327" t="str">
            <v>Sun May 10 00:00:00 UTC 2026</v>
          </cell>
          <cell r="G327" t="str">
            <v>3PTY</v>
          </cell>
          <cell r="H327" t="str">
            <v>Active</v>
          </cell>
          <cell r="I327" t="str">
            <v>ramadoss,vadivel</v>
          </cell>
          <cell r="J327" t="str">
            <v>KBTS</v>
          </cell>
        </row>
        <row r="328">
          <cell r="A328">
            <v>206074973</v>
          </cell>
          <cell r="B328" t="str">
            <v>larbiygl</v>
          </cell>
          <cell r="C328" t="str">
            <v>Larbi Yeboah,Gloria</v>
          </cell>
          <cell r="D328">
            <v>14285750</v>
          </cell>
          <cell r="E328">
            <v>1299</v>
          </cell>
          <cell r="F328" t="str">
            <v>Mon Sep 22 00:00:00 UTC 2025</v>
          </cell>
          <cell r="G328" t="str">
            <v>3PTY</v>
          </cell>
          <cell r="H328" t="str">
            <v>Active</v>
          </cell>
          <cell r="I328" t="str">
            <v>Lakkireddy,Sai Raghavendra Reddy</v>
          </cell>
          <cell r="J328" t="str">
            <v>FLO</v>
          </cell>
        </row>
        <row r="329">
          <cell r="A329">
            <v>206239529</v>
          </cell>
          <cell r="B329" t="str">
            <v>glortadu</v>
          </cell>
          <cell r="C329" t="str">
            <v>ADU,GLORIA</v>
          </cell>
          <cell r="D329">
            <v>11796310</v>
          </cell>
          <cell r="E329">
            <v>1299</v>
          </cell>
          <cell r="F329" t="str">
            <v>Mon Oct 13 00:00:00 UTC 2025</v>
          </cell>
          <cell r="G329" t="str">
            <v>3PTY</v>
          </cell>
          <cell r="H329" t="str">
            <v>Active</v>
          </cell>
          <cell r="I329" t="str">
            <v>Narshad,Muhammad Ashik</v>
          </cell>
          <cell r="J329" t="str">
            <v>FLO</v>
          </cell>
        </row>
        <row r="330">
          <cell r="A330">
            <v>204869098</v>
          </cell>
          <cell r="B330" t="str">
            <v>rosadamu</v>
          </cell>
          <cell r="C330" t="str">
            <v>Adams,Rose</v>
          </cell>
          <cell r="D330">
            <v>14391811</v>
          </cell>
          <cell r="E330">
            <v>1299</v>
          </cell>
          <cell r="F330" t="str">
            <v>Mon Feb 03 00:00:00 UTC 2025</v>
          </cell>
          <cell r="G330" t="str">
            <v>3PTY</v>
          </cell>
          <cell r="H330" t="str">
            <v>Active</v>
          </cell>
          <cell r="I330" t="str">
            <v>Sohail,Anis</v>
          </cell>
          <cell r="J330" t="str">
            <v>QUES</v>
          </cell>
        </row>
        <row r="331">
          <cell r="A331">
            <v>203850807</v>
          </cell>
          <cell r="B331" t="str">
            <v>nabonisa</v>
          </cell>
          <cell r="C331" t="str">
            <v>Nabongo,Isaac</v>
          </cell>
          <cell r="D331">
            <v>12502180</v>
          </cell>
          <cell r="E331">
            <v>1299</v>
          </cell>
          <cell r="F331" t="str">
            <v>Tue Aug 20 00:00:00 UTC 2024</v>
          </cell>
          <cell r="G331" t="str">
            <v>3PTY</v>
          </cell>
          <cell r="H331" t="str">
            <v>Active</v>
          </cell>
          <cell r="I331" t="str">
            <v>Lakkireddy,Sai Raghavendra Reddy</v>
          </cell>
          <cell r="J331" t="str">
            <v>DULS</v>
          </cell>
        </row>
        <row r="332">
          <cell r="A332">
            <v>207868612</v>
          </cell>
          <cell r="B332" t="str">
            <v>ndtny</v>
          </cell>
          <cell r="C332" t="str">
            <v>Mohammed,Shaik</v>
          </cell>
          <cell r="D332">
            <v>13893057</v>
          </cell>
          <cell r="E332">
            <v>1200</v>
          </cell>
          <cell r="F332" t="str">
            <v>Mon Jul 06 00:00:00 UTC 2026</v>
          </cell>
          <cell r="G332" t="str">
            <v>3PTY</v>
          </cell>
          <cell r="H332" t="str">
            <v>Active</v>
          </cell>
          <cell r="I332" t="str">
            <v>Alhashmi,Abdulla</v>
          </cell>
          <cell r="J332" t="str">
            <v>MEUE</v>
          </cell>
        </row>
        <row r="333">
          <cell r="A333">
            <v>203965183</v>
          </cell>
          <cell r="B333" t="str">
            <v>jephttwe</v>
          </cell>
          <cell r="C333" t="str">
            <v>TWENE,JEPHTER</v>
          </cell>
          <cell r="D333">
            <v>13124607</v>
          </cell>
          <cell r="E333">
            <v>1299</v>
          </cell>
          <cell r="F333" t="str">
            <v>Mon Sep 09 00:00:00 UTC 2024</v>
          </cell>
          <cell r="G333" t="str">
            <v>3PTY</v>
          </cell>
          <cell r="H333" t="str">
            <v>Active</v>
          </cell>
          <cell r="I333" t="str">
            <v>Thomas,Binil</v>
          </cell>
          <cell r="J333" t="str">
            <v>FLO</v>
          </cell>
        </row>
        <row r="334">
          <cell r="A334">
            <v>205147651</v>
          </cell>
          <cell r="B334" t="str">
            <v>viannecl</v>
          </cell>
          <cell r="C334" t="str">
            <v>Arvee Cabrigas Gaoiran,Vianne Clarice</v>
          </cell>
          <cell r="D334">
            <v>12125419</v>
          </cell>
          <cell r="E334">
            <v>1712</v>
          </cell>
          <cell r="F334" t="str">
            <v>Fri Apr 11 00:00:00 UTC 2025</v>
          </cell>
          <cell r="G334" t="str">
            <v>3PTY</v>
          </cell>
          <cell r="H334" t="str">
            <v>Active</v>
          </cell>
          <cell r="I334" t="str">
            <v>POGALA,HAREESH</v>
          </cell>
          <cell r="J334" t="str">
            <v>KBTS</v>
          </cell>
        </row>
        <row r="335">
          <cell r="A335">
            <v>206886638</v>
          </cell>
          <cell r="B335" t="str">
            <v>faitdngi</v>
          </cell>
          <cell r="C335" t="str">
            <v>NGIROIN,FAITH JEPNGETICH</v>
          </cell>
          <cell r="D335">
            <v>13116747</v>
          </cell>
          <cell r="E335">
            <v>1299</v>
          </cell>
          <cell r="F335" t="str">
            <v>Mon Jan 05 00:00:00 UTC 2026</v>
          </cell>
          <cell r="G335" t="str">
            <v>3PTY</v>
          </cell>
          <cell r="H335" t="str">
            <v>Active</v>
          </cell>
          <cell r="I335" t="str">
            <v>Katyal,Varun</v>
          </cell>
          <cell r="J335" t="str">
            <v>EFSV</v>
          </cell>
        </row>
        <row r="336">
          <cell r="A336">
            <v>206431683</v>
          </cell>
          <cell r="B336" t="str">
            <v>abadigfa</v>
          </cell>
          <cell r="C336" t="str">
            <v>Abadiga,Fadil Yezid</v>
          </cell>
          <cell r="D336">
            <v>12471599</v>
          </cell>
          <cell r="E336">
            <v>1712</v>
          </cell>
          <cell r="F336" t="str">
            <v>Thu Oct 30 00:00:00 UTC 2025</v>
          </cell>
          <cell r="G336" t="str">
            <v>3PTY</v>
          </cell>
          <cell r="H336" t="str">
            <v>Active</v>
          </cell>
          <cell r="I336" t="str">
            <v>POGALA,HAREESH</v>
          </cell>
          <cell r="J336" t="str">
            <v>KBTS</v>
          </cell>
        </row>
        <row r="337">
          <cell r="A337">
            <v>203512951</v>
          </cell>
          <cell r="B337" t="str">
            <v>samargrl</v>
          </cell>
          <cell r="C337" t="str">
            <v>Saytue,Margretta Teta</v>
          </cell>
          <cell r="D337">
            <v>12481976</v>
          </cell>
          <cell r="E337">
            <v>1299</v>
          </cell>
          <cell r="F337" t="str">
            <v>Thu Jun 20 00:00:00 UTC 2024</v>
          </cell>
          <cell r="G337" t="str">
            <v>3PTY</v>
          </cell>
          <cell r="H337" t="str">
            <v>Active</v>
          </cell>
          <cell r="I337" t="str">
            <v>Ansari,Ammar Abdullah</v>
          </cell>
          <cell r="J337" t="str">
            <v>FLO</v>
          </cell>
        </row>
        <row r="338">
          <cell r="A338">
            <v>205496017</v>
          </cell>
          <cell r="B338" t="str">
            <v>roambili</v>
          </cell>
          <cell r="C338" t="str">
            <v>ROP,AMBILIA JEROTICH</v>
          </cell>
          <cell r="D338">
            <v>15020714</v>
          </cell>
          <cell r="E338">
            <v>1299</v>
          </cell>
          <cell r="F338" t="str">
            <v>Mon Jun 23 00:00:00 UTC 2025</v>
          </cell>
          <cell r="G338" t="str">
            <v>3PTY</v>
          </cell>
          <cell r="H338" t="str">
            <v>Active</v>
          </cell>
          <cell r="I338" t="str">
            <v>Sohail,Anis</v>
          </cell>
          <cell r="J338" t="str">
            <v>EFSV</v>
          </cell>
        </row>
        <row r="339">
          <cell r="A339">
            <v>208097318</v>
          </cell>
          <cell r="B339" t="str">
            <v>yativgup</v>
          </cell>
          <cell r="C339" t="str">
            <v>Gupta,Yatin</v>
          </cell>
          <cell r="D339">
            <v>12186193</v>
          </cell>
          <cell r="E339">
            <v>1299</v>
          </cell>
          <cell r="F339" t="str">
            <v>Wed Jul 29 00:00:00 UTC 2026</v>
          </cell>
          <cell r="G339" t="str">
            <v>3PTY</v>
          </cell>
          <cell r="H339" t="str">
            <v>Active</v>
          </cell>
          <cell r="I339" t="str">
            <v>Jamal,Firdous</v>
          </cell>
          <cell r="J339" t="str">
            <v>EFS</v>
          </cell>
        </row>
        <row r="340">
          <cell r="A340">
            <v>203468753</v>
          </cell>
          <cell r="B340" t="str">
            <v>lintawia</v>
          </cell>
          <cell r="C340" t="str">
            <v>Tawiah,Linda</v>
          </cell>
          <cell r="D340">
            <v>13142012</v>
          </cell>
          <cell r="E340">
            <v>1299</v>
          </cell>
          <cell r="F340" t="str">
            <v>Thu Jun 13 00:00:00 UTC 2024</v>
          </cell>
          <cell r="G340" t="str">
            <v>3PTY</v>
          </cell>
          <cell r="H340" t="str">
            <v>Active</v>
          </cell>
          <cell r="I340" t="str">
            <v>Narshad,Muhammad Ashik</v>
          </cell>
          <cell r="J340" t="str">
            <v>FLO</v>
          </cell>
        </row>
        <row r="341">
          <cell r="A341">
            <v>206073063</v>
          </cell>
          <cell r="B341" t="str">
            <v>franmeko</v>
          </cell>
          <cell r="C341" t="str">
            <v>Mekomba,Francis Ndumbe</v>
          </cell>
          <cell r="D341">
            <v>11532738</v>
          </cell>
          <cell r="E341">
            <v>1299</v>
          </cell>
          <cell r="F341" t="str">
            <v>Thu Sep 18 00:00:00 UTC 2025</v>
          </cell>
          <cell r="G341" t="str">
            <v>3PTY</v>
          </cell>
          <cell r="H341" t="str">
            <v>Active</v>
          </cell>
          <cell r="I341" t="str">
            <v>Akhtar,Muhammad Zohaib</v>
          </cell>
          <cell r="J341" t="str">
            <v>WOFZ</v>
          </cell>
        </row>
        <row r="342">
          <cell r="A342">
            <v>204403811</v>
          </cell>
          <cell r="B342" t="str">
            <v>ntongopo</v>
          </cell>
          <cell r="C342" t="str">
            <v>Tongo Posas,Noemi</v>
          </cell>
          <cell r="D342">
            <v>11981381</v>
          </cell>
          <cell r="E342">
            <v>1299</v>
          </cell>
          <cell r="F342" t="str">
            <v>Thu Oct 31 00:00:00 UTC 2024</v>
          </cell>
          <cell r="G342" t="str">
            <v>3PTY</v>
          </cell>
          <cell r="H342" t="str">
            <v>Active</v>
          </cell>
          <cell r="I342" t="str">
            <v>Meera,Bava Bahrudeen</v>
          </cell>
          <cell r="J342" t="str">
            <v>FLO</v>
          </cell>
        </row>
        <row r="343">
          <cell r="A343">
            <v>206129262</v>
          </cell>
          <cell r="B343" t="str">
            <v>ibranuru</v>
          </cell>
          <cell r="C343" t="str">
            <v>Ibrahim,Nurudeen</v>
          </cell>
          <cell r="D343">
            <v>14855345</v>
          </cell>
          <cell r="E343">
            <v>1299</v>
          </cell>
          <cell r="F343" t="str">
            <v>Mon Sep 29 00:00:00 UTC 2025</v>
          </cell>
          <cell r="G343" t="str">
            <v>3PTY</v>
          </cell>
          <cell r="H343" t="str">
            <v>Active</v>
          </cell>
          <cell r="I343" t="str">
            <v>Ansari,Ammar Abdullah</v>
          </cell>
          <cell r="J343" t="str">
            <v>FLO</v>
          </cell>
        </row>
        <row r="344">
          <cell r="A344">
            <v>206361763</v>
          </cell>
          <cell r="B344" t="str">
            <v>embaziir</v>
          </cell>
          <cell r="C344" t="str">
            <v>EMMANUEL,MBAZIIRA</v>
          </cell>
          <cell r="D344">
            <v>13581622</v>
          </cell>
          <cell r="E344">
            <v>1299</v>
          </cell>
          <cell r="F344" t="str">
            <v>Mon Oct 27 00:00:00 UTC 2025</v>
          </cell>
          <cell r="G344" t="str">
            <v>3PTY</v>
          </cell>
          <cell r="H344" t="str">
            <v>Active</v>
          </cell>
          <cell r="I344" t="str">
            <v>Dinberu,Eden</v>
          </cell>
          <cell r="J344" t="str">
            <v>FLO</v>
          </cell>
        </row>
        <row r="345">
          <cell r="A345">
            <v>204882810</v>
          </cell>
          <cell r="B345" t="str">
            <v>owusukda</v>
          </cell>
          <cell r="C345" t="str">
            <v>OWUSU,DAVID</v>
          </cell>
          <cell r="D345">
            <v>12059195</v>
          </cell>
          <cell r="E345">
            <v>1299</v>
          </cell>
          <cell r="F345" t="str">
            <v>Mon Feb 03 00:00:00 UTC 2025</v>
          </cell>
          <cell r="G345" t="str">
            <v>3PTY</v>
          </cell>
          <cell r="H345" t="str">
            <v>Active</v>
          </cell>
          <cell r="I345" t="str">
            <v>Katyal,Varun</v>
          </cell>
          <cell r="J345" t="str">
            <v>DULS</v>
          </cell>
        </row>
        <row r="346">
          <cell r="A346">
            <v>203881696</v>
          </cell>
          <cell r="B346" t="str">
            <v>aoselydi</v>
          </cell>
          <cell r="C346" t="str">
            <v>Osei,Lydia</v>
          </cell>
          <cell r="D346">
            <v>11458203</v>
          </cell>
          <cell r="E346">
            <v>1299</v>
          </cell>
          <cell r="F346" t="str">
            <v>Mon Aug 26 00:00:00 UTC 2024</v>
          </cell>
          <cell r="G346" t="str">
            <v>3PTY</v>
          </cell>
          <cell r="H346" t="str">
            <v>Active</v>
          </cell>
          <cell r="I346" t="str">
            <v>Lakkireddy,Sai Raghavendra Reddy</v>
          </cell>
          <cell r="J346" t="str">
            <v>FLO</v>
          </cell>
        </row>
        <row r="347">
          <cell r="A347">
            <v>207865013</v>
          </cell>
          <cell r="B347" t="str">
            <v>kodenisb</v>
          </cell>
          <cell r="C347" t="str">
            <v>Kobzarev,Denis</v>
          </cell>
          <cell r="D347">
            <v>101272</v>
          </cell>
          <cell r="E347">
            <v>1200</v>
          </cell>
          <cell r="F347" t="str">
            <v>Sun Jul 05 00:00:00 UTC 2026</v>
          </cell>
          <cell r="G347" t="str">
            <v>3PTY</v>
          </cell>
          <cell r="H347" t="str">
            <v>Active</v>
          </cell>
          <cell r="I347" t="str">
            <v>Alhashmi,Abdulla</v>
          </cell>
          <cell r="J347" t="str">
            <v>SSIS</v>
          </cell>
        </row>
        <row r="348">
          <cell r="A348">
            <v>205647828</v>
          </cell>
          <cell r="B348" t="str">
            <v>gittabit</v>
          </cell>
          <cell r="C348" t="str">
            <v>Gitau,Tabitha Wanjira</v>
          </cell>
          <cell r="D348">
            <v>15212878</v>
          </cell>
          <cell r="E348">
            <v>1299</v>
          </cell>
          <cell r="F348" t="str">
            <v>Mon Jul 14 00:00:00 UTC 2025</v>
          </cell>
          <cell r="G348" t="str">
            <v>3PTY</v>
          </cell>
          <cell r="H348" t="str">
            <v>Active</v>
          </cell>
          <cell r="I348" t="str">
            <v>Meera,Bava Bahrudeen</v>
          </cell>
          <cell r="J348" t="str">
            <v>EFSV</v>
          </cell>
        </row>
        <row r="349">
          <cell r="A349">
            <v>206868002</v>
          </cell>
          <cell r="B349" t="str">
            <v>globquan</v>
          </cell>
          <cell r="C349" t="str">
            <v>QUANSAH,GLORIA</v>
          </cell>
          <cell r="D349">
            <v>14356477</v>
          </cell>
          <cell r="E349">
            <v>1299</v>
          </cell>
          <cell r="F349" t="str">
            <v>Thu Dec 25 00:00:00 UTC 2025</v>
          </cell>
          <cell r="G349" t="str">
            <v>3PTY</v>
          </cell>
          <cell r="H349" t="str">
            <v>Active</v>
          </cell>
          <cell r="I349" t="str">
            <v>Scaria,Varghese</v>
          </cell>
          <cell r="J349" t="str">
            <v>FLO</v>
          </cell>
        </row>
        <row r="350">
          <cell r="A350">
            <v>202334276</v>
          </cell>
          <cell r="B350" t="str">
            <v>kamarjoy</v>
          </cell>
          <cell r="C350" t="str">
            <v>Kamara,John</v>
          </cell>
          <cell r="D350">
            <v>14234069</v>
          </cell>
          <cell r="E350">
            <v>1299</v>
          </cell>
          <cell r="F350" t="str">
            <v>Wed Oct 16 00:00:00 UTC 2024</v>
          </cell>
          <cell r="G350" t="str">
            <v>3PTY</v>
          </cell>
          <cell r="H350" t="str">
            <v>Active</v>
          </cell>
          <cell r="I350" t="str">
            <v>Katyal,Varun</v>
          </cell>
          <cell r="J350" t="str">
            <v>QUES</v>
          </cell>
        </row>
        <row r="351">
          <cell r="A351">
            <v>206006426</v>
          </cell>
          <cell r="B351" t="str">
            <v>rachmoya</v>
          </cell>
          <cell r="C351" t="str">
            <v>MOYAKO DIALE,RACHEAL</v>
          </cell>
          <cell r="D351">
            <v>14561257</v>
          </cell>
          <cell r="E351">
            <v>1299</v>
          </cell>
          <cell r="F351" t="str">
            <v>Mon Sep 15 00:00:00 UTC 2025</v>
          </cell>
          <cell r="G351" t="str">
            <v>3PTY</v>
          </cell>
          <cell r="H351" t="str">
            <v>Active</v>
          </cell>
          <cell r="I351" t="str">
            <v>elrashid,Hassan</v>
          </cell>
          <cell r="J351" t="str">
            <v>FLO</v>
          </cell>
        </row>
        <row r="352">
          <cell r="A352">
            <v>205638319</v>
          </cell>
          <cell r="B352" t="str">
            <v>kumagtil</v>
          </cell>
          <cell r="C352" t="str">
            <v>Kumar Ganchhaki,Til</v>
          </cell>
          <cell r="D352">
            <v>13639863</v>
          </cell>
          <cell r="E352">
            <v>1712</v>
          </cell>
          <cell r="F352" t="str">
            <v>Tue Jul 08 00:00:00 UTC 2025</v>
          </cell>
          <cell r="G352" t="str">
            <v>3PTY</v>
          </cell>
          <cell r="H352" t="str">
            <v>Active</v>
          </cell>
          <cell r="I352" t="str">
            <v>Rizvan,Mohamed</v>
          </cell>
          <cell r="J352" t="str">
            <v>KBTS</v>
          </cell>
        </row>
        <row r="353">
          <cell r="A353">
            <v>203810786</v>
          </cell>
          <cell r="B353" t="str">
            <v>schabila</v>
          </cell>
          <cell r="C353" t="str">
            <v>SHRESHTA,CHABILAL</v>
          </cell>
          <cell r="D353">
            <v>15270900</v>
          </cell>
          <cell r="E353">
            <v>1299</v>
          </cell>
          <cell r="F353" t="str">
            <v>Sat Aug 10 00:00:00 UTC 2024</v>
          </cell>
          <cell r="G353" t="str">
            <v>3PTY</v>
          </cell>
          <cell r="H353" t="str">
            <v>Active</v>
          </cell>
          <cell r="I353" t="str">
            <v>Adhikari,Nayab</v>
          </cell>
          <cell r="J353" t="str">
            <v>KBTS</v>
          </cell>
        </row>
        <row r="354">
          <cell r="A354">
            <v>204013685</v>
          </cell>
          <cell r="B354" t="str">
            <v>solokorz</v>
          </cell>
          <cell r="C354" t="str">
            <v>Koranteng Nyarko,Solomon</v>
          </cell>
          <cell r="D354">
            <v>14394550</v>
          </cell>
          <cell r="E354">
            <v>1299</v>
          </cell>
          <cell r="F354" t="str">
            <v>Mon Sep 16 00:00:00 UTC 2024</v>
          </cell>
          <cell r="G354" t="str">
            <v>3PTY</v>
          </cell>
          <cell r="H354" t="str">
            <v>Active</v>
          </cell>
          <cell r="I354" t="str">
            <v>Thomas,Binil</v>
          </cell>
          <cell r="J354" t="str">
            <v>FLO</v>
          </cell>
        </row>
        <row r="355">
          <cell r="A355">
            <v>203851002</v>
          </cell>
          <cell r="B355" t="str">
            <v>rmundakk</v>
          </cell>
          <cell r="C355" t="str">
            <v>Mundakkalil,Rohit Krishana</v>
          </cell>
          <cell r="D355">
            <v>14084951</v>
          </cell>
          <cell r="E355">
            <v>1299</v>
          </cell>
          <cell r="F355" t="str">
            <v>Tue Aug 20 00:00:00 UTC 2024</v>
          </cell>
          <cell r="G355" t="str">
            <v>3PTY</v>
          </cell>
          <cell r="H355" t="str">
            <v>Active</v>
          </cell>
          <cell r="I355" t="str">
            <v>Scaria,Varghese</v>
          </cell>
          <cell r="J355" t="str">
            <v>FLO</v>
          </cell>
        </row>
        <row r="356">
          <cell r="A356">
            <v>207867354</v>
          </cell>
          <cell r="B356" t="str">
            <v>swartsag</v>
          </cell>
          <cell r="C356" t="str">
            <v>Swar,Sagar</v>
          </cell>
          <cell r="D356">
            <v>12701931</v>
          </cell>
          <cell r="E356">
            <v>1200</v>
          </cell>
          <cell r="F356" t="str">
            <v>Fri Jul 03 00:00:00 UTC 2026</v>
          </cell>
          <cell r="G356" t="str">
            <v>3PTY</v>
          </cell>
          <cell r="H356" t="str">
            <v>Active</v>
          </cell>
          <cell r="I356" t="str">
            <v>Alhashmi,Abdulla</v>
          </cell>
          <cell r="J356" t="str">
            <v>SSIS</v>
          </cell>
        </row>
        <row r="357">
          <cell r="A357">
            <v>206915008</v>
          </cell>
          <cell r="B357" t="str">
            <v>malingum</v>
          </cell>
          <cell r="C357" t="str">
            <v>JACKSON,MALINGUMU</v>
          </cell>
          <cell r="D357">
            <v>11036878</v>
          </cell>
          <cell r="E357">
            <v>1299</v>
          </cell>
          <cell r="F357" t="str">
            <v>Mon Jan 12 00:00:00 UTC 2026</v>
          </cell>
          <cell r="G357" t="str">
            <v>3PTY</v>
          </cell>
          <cell r="H357" t="str">
            <v>Active</v>
          </cell>
          <cell r="I357" t="str">
            <v>Katyal,Varun</v>
          </cell>
          <cell r="J357" t="str">
            <v>DULS</v>
          </cell>
        </row>
        <row r="358">
          <cell r="A358">
            <v>205853892</v>
          </cell>
          <cell r="B358" t="str">
            <v>kwartnao</v>
          </cell>
          <cell r="C358" t="str">
            <v>KWARTENG,NAOMI</v>
          </cell>
          <cell r="D358">
            <v>12640245</v>
          </cell>
          <cell r="E358">
            <v>1299</v>
          </cell>
          <cell r="F358" t="str">
            <v>Thu Jul 23 00:00:00 UTC 2026</v>
          </cell>
          <cell r="G358" t="str">
            <v>3PTY</v>
          </cell>
          <cell r="H358" t="str">
            <v>Active</v>
          </cell>
          <cell r="I358" t="str">
            <v>Thomas,Binil</v>
          </cell>
          <cell r="J358" t="str">
            <v>EFSV</v>
          </cell>
        </row>
        <row r="359">
          <cell r="A359">
            <v>206128578</v>
          </cell>
          <cell r="B359" t="str">
            <v>ngcicilx</v>
          </cell>
          <cell r="C359" t="str">
            <v>Ngethe,Cicilia Wairimu</v>
          </cell>
          <cell r="D359">
            <v>13392510</v>
          </cell>
          <cell r="E359">
            <v>1299</v>
          </cell>
          <cell r="F359" t="str">
            <v>Tue Aug 04 00:00:00 UTC 2026</v>
          </cell>
          <cell r="G359" t="str">
            <v>3PTY</v>
          </cell>
          <cell r="H359" t="str">
            <v>Active</v>
          </cell>
          <cell r="I359" t="str">
            <v>Narshad,Muhammad Ashik</v>
          </cell>
          <cell r="J359" t="str">
            <v>EFSV</v>
          </cell>
        </row>
        <row r="360">
          <cell r="A360">
            <v>203735944</v>
          </cell>
          <cell r="B360" t="str">
            <v>twasmose</v>
          </cell>
          <cell r="C360" t="str">
            <v>WASSWA,MOSES</v>
          </cell>
          <cell r="D360">
            <v>13026609</v>
          </cell>
          <cell r="E360">
            <v>1299</v>
          </cell>
          <cell r="F360" t="str">
            <v>Mon Jul 29 00:00:00 UTC 2024</v>
          </cell>
          <cell r="G360" t="str">
            <v>3PTY</v>
          </cell>
          <cell r="H360" t="str">
            <v>Active</v>
          </cell>
          <cell r="I360" t="str">
            <v>Katyal,Varun</v>
          </cell>
          <cell r="J360" t="str">
            <v>DULS</v>
          </cell>
        </row>
        <row r="361">
          <cell r="A361">
            <v>203851108</v>
          </cell>
          <cell r="B361" t="str">
            <v>nurudalh</v>
          </cell>
          <cell r="C361" t="str">
            <v>Alhassan,Nurudeen</v>
          </cell>
          <cell r="D361">
            <v>12592451</v>
          </cell>
          <cell r="E361">
            <v>1299</v>
          </cell>
          <cell r="F361" t="str">
            <v>Tue Aug 20 00:00:00 UTC 2024</v>
          </cell>
          <cell r="G361" t="str">
            <v>3PTY</v>
          </cell>
          <cell r="H361" t="str">
            <v>Active</v>
          </cell>
          <cell r="I361" t="str">
            <v>Thomas,Binil</v>
          </cell>
          <cell r="J361" t="str">
            <v>FLO</v>
          </cell>
        </row>
        <row r="362">
          <cell r="A362">
            <v>203850925</v>
          </cell>
          <cell r="B362" t="str">
            <v>mugirich</v>
          </cell>
          <cell r="C362" t="str">
            <v>Mugisha,Richard</v>
          </cell>
          <cell r="D362">
            <v>12940485</v>
          </cell>
          <cell r="E362">
            <v>1299</v>
          </cell>
          <cell r="F362" t="str">
            <v>Tue Aug 20 00:00:00 UTC 2024</v>
          </cell>
          <cell r="G362" t="str">
            <v>3PTY</v>
          </cell>
          <cell r="H362" t="str">
            <v>Active</v>
          </cell>
          <cell r="I362" t="str">
            <v>Ansari,Ammar Abdullah</v>
          </cell>
          <cell r="J362" t="str">
            <v>DULS</v>
          </cell>
        </row>
        <row r="363">
          <cell r="A363">
            <v>207419488</v>
          </cell>
          <cell r="B363" t="str">
            <v>diangdes</v>
          </cell>
          <cell r="C363" t="str">
            <v>ANGDEMBE,DIWAS</v>
          </cell>
          <cell r="D363">
            <v>12934533</v>
          </cell>
          <cell r="E363">
            <v>1712</v>
          </cell>
          <cell r="F363" t="str">
            <v>Sat May 02 00:00:00 UTC 2026</v>
          </cell>
          <cell r="G363" t="str">
            <v>3PTY</v>
          </cell>
          <cell r="H363" t="str">
            <v>Active</v>
          </cell>
          <cell r="I363" t="str">
            <v>Rizvan,Mohamed</v>
          </cell>
          <cell r="J363" t="str">
            <v>KBTS</v>
          </cell>
        </row>
        <row r="364">
          <cell r="A364">
            <v>207740271</v>
          </cell>
          <cell r="B364" t="str">
            <v>jongvict</v>
          </cell>
          <cell r="C364" t="str">
            <v>Jonathan,Victor Onyemaechi</v>
          </cell>
          <cell r="D364">
            <v>11757772</v>
          </cell>
          <cell r="E364">
            <v>1712</v>
          </cell>
          <cell r="F364" t="str">
            <v>Sat Jun 13 00:00:00 UTC 2026</v>
          </cell>
          <cell r="G364" t="str">
            <v>3PTY</v>
          </cell>
          <cell r="H364" t="str">
            <v>Active</v>
          </cell>
          <cell r="I364" t="str">
            <v>ramadoss,vadivel</v>
          </cell>
          <cell r="J364" t="str">
            <v>KBTS</v>
          </cell>
        </row>
        <row r="365">
          <cell r="A365">
            <v>206072874</v>
          </cell>
          <cell r="B365" t="str">
            <v>kakramen</v>
          </cell>
          <cell r="C365" t="str">
            <v>Kakra Mensah,Ransford</v>
          </cell>
          <cell r="D365">
            <v>12479145</v>
          </cell>
          <cell r="E365">
            <v>1299</v>
          </cell>
          <cell r="F365" t="str">
            <v>Mon Sep 29 00:00:00 UTC 2025</v>
          </cell>
          <cell r="G365" t="str">
            <v>3PTY</v>
          </cell>
          <cell r="H365" t="str">
            <v>Active</v>
          </cell>
          <cell r="I365" t="str">
            <v>Ansari,Ammar Abdullah</v>
          </cell>
          <cell r="J365" t="str">
            <v>FLO</v>
          </cell>
        </row>
        <row r="366">
          <cell r="A366">
            <v>206897647</v>
          </cell>
          <cell r="B366" t="str">
            <v>gideboak</v>
          </cell>
          <cell r="C366" t="str">
            <v>BOAKYE ABABIO,GIDEON</v>
          </cell>
          <cell r="D366">
            <v>13690297</v>
          </cell>
          <cell r="E366">
            <v>1299</v>
          </cell>
          <cell r="F366" t="str">
            <v>Thu Jan 08 00:00:00 UTC 2026</v>
          </cell>
          <cell r="G366" t="str">
            <v>3PTY</v>
          </cell>
          <cell r="H366" t="str">
            <v>Active</v>
          </cell>
          <cell r="I366" t="str">
            <v>Narshad,Muhammad Ashik</v>
          </cell>
          <cell r="J366" t="str">
            <v>FLO</v>
          </cell>
        </row>
        <row r="367">
          <cell r="A367">
            <v>206915764</v>
          </cell>
          <cell r="B367" t="str">
            <v>frasernk</v>
          </cell>
          <cell r="C367" t="str">
            <v>NKOSANA,FRASER</v>
          </cell>
          <cell r="D367">
            <v>12750696</v>
          </cell>
          <cell r="E367">
            <v>1299</v>
          </cell>
          <cell r="F367" t="str">
            <v>Mon Jan 12 00:00:00 UTC 2026</v>
          </cell>
          <cell r="G367" t="str">
            <v>3PTY</v>
          </cell>
          <cell r="H367" t="str">
            <v>Active</v>
          </cell>
          <cell r="I367" t="str">
            <v>Lakkireddy,Sai Raghavendra Reddy</v>
          </cell>
          <cell r="J367" t="str">
            <v>DULS</v>
          </cell>
        </row>
        <row r="368">
          <cell r="A368">
            <v>203816396</v>
          </cell>
          <cell r="B368" t="str">
            <v>muhwebst</v>
          </cell>
          <cell r="C368" t="str">
            <v>MUHWEZI,STEVEN</v>
          </cell>
          <cell r="D368">
            <v>15026211</v>
          </cell>
          <cell r="E368">
            <v>1299</v>
          </cell>
          <cell r="F368" t="str">
            <v>Wed Aug 14 00:00:00 UTC 2024</v>
          </cell>
          <cell r="G368" t="str">
            <v>3PTY</v>
          </cell>
          <cell r="H368" t="str">
            <v>Active</v>
          </cell>
          <cell r="I368" t="str">
            <v>Katyal,Varun</v>
          </cell>
          <cell r="J368" t="str">
            <v>DULS</v>
          </cell>
        </row>
        <row r="369">
          <cell r="A369">
            <v>203468508</v>
          </cell>
          <cell r="B369" t="str">
            <v>amaduga</v>
          </cell>
          <cell r="C369" t="str">
            <v>Amadu,Ganiu</v>
          </cell>
          <cell r="D369">
            <v>12577276</v>
          </cell>
          <cell r="E369">
            <v>1299</v>
          </cell>
          <cell r="F369" t="str">
            <v>Thu Jun 13 00:00:00 UTC 2024</v>
          </cell>
          <cell r="G369" t="str">
            <v>3PTY</v>
          </cell>
          <cell r="H369" t="str">
            <v>Active</v>
          </cell>
          <cell r="I369" t="str">
            <v>Dinberu,Eden</v>
          </cell>
          <cell r="J369" t="str">
            <v>FLO</v>
          </cell>
        </row>
        <row r="370">
          <cell r="A370">
            <v>206873715</v>
          </cell>
          <cell r="B370" t="str">
            <v>zkasabda</v>
          </cell>
          <cell r="C370" t="str">
            <v>KASSIM,ABDALLAH</v>
          </cell>
          <cell r="D370">
            <v>12168652</v>
          </cell>
          <cell r="E370">
            <v>1299</v>
          </cell>
          <cell r="F370" t="str">
            <v>Mon Dec 29 00:00:00 UTC 2025</v>
          </cell>
          <cell r="G370" t="str">
            <v>3PTY</v>
          </cell>
          <cell r="H370" t="str">
            <v>Active</v>
          </cell>
          <cell r="I370" t="str">
            <v>Sohail,Anis</v>
          </cell>
          <cell r="J370" t="str">
            <v>DULS</v>
          </cell>
        </row>
        <row r="371">
          <cell r="A371">
            <v>206250609</v>
          </cell>
          <cell r="B371" t="str">
            <v>maapolot</v>
          </cell>
          <cell r="C371" t="str">
            <v>APOLOT,MARTHA</v>
          </cell>
          <cell r="D371">
            <v>163973</v>
          </cell>
          <cell r="E371">
            <v>1299</v>
          </cell>
          <cell r="F371" t="str">
            <v>Mon Oct 13 00:00:00 UTC 2025</v>
          </cell>
          <cell r="G371" t="str">
            <v>3PTY</v>
          </cell>
          <cell r="H371" t="str">
            <v>Active</v>
          </cell>
          <cell r="I371" t="str">
            <v>elrashid,Hassan</v>
          </cell>
          <cell r="J371" t="str">
            <v>FLO</v>
          </cell>
        </row>
        <row r="372">
          <cell r="A372">
            <v>204138128</v>
          </cell>
          <cell r="B372" t="str">
            <v>mbatchar</v>
          </cell>
          <cell r="C372" t="str">
            <v>Mbatcha,Richard Blais</v>
          </cell>
          <cell r="D372">
            <v>15340830</v>
          </cell>
          <cell r="E372">
            <v>1299</v>
          </cell>
          <cell r="F372" t="str">
            <v>Mon Sep 30 00:00:00 UTC 2024</v>
          </cell>
          <cell r="G372" t="str">
            <v>3PTY</v>
          </cell>
          <cell r="H372" t="str">
            <v>Active</v>
          </cell>
          <cell r="I372" t="str">
            <v>Thomas,Binil</v>
          </cell>
          <cell r="J372" t="str">
            <v>QUES</v>
          </cell>
        </row>
        <row r="373">
          <cell r="A373">
            <v>203964989</v>
          </cell>
          <cell r="B373" t="str">
            <v>abasarud</v>
          </cell>
          <cell r="C373" t="str">
            <v>Abdul Razak,Asarudeen</v>
          </cell>
          <cell r="D373">
            <v>12281800</v>
          </cell>
          <cell r="E373">
            <v>1299</v>
          </cell>
          <cell r="F373" t="str">
            <v>Mon Sep 09 00:00:00 UTC 2024</v>
          </cell>
          <cell r="G373" t="str">
            <v>3PTY</v>
          </cell>
          <cell r="H373" t="str">
            <v>Active</v>
          </cell>
          <cell r="I373" t="str">
            <v>Lakkireddy,Sai Raghavendra Reddy</v>
          </cell>
          <cell r="J373" t="str">
            <v>ADEC</v>
          </cell>
        </row>
        <row r="374">
          <cell r="A374">
            <v>203741314</v>
          </cell>
          <cell r="B374" t="str">
            <v>agnestwu</v>
          </cell>
          <cell r="C374" t="str">
            <v>TWUMWAA,AGNES</v>
          </cell>
          <cell r="D374">
            <v>14042858</v>
          </cell>
          <cell r="E374">
            <v>1299</v>
          </cell>
          <cell r="F374" t="str">
            <v>Mon Jul 29 00:00:00 UTC 2024</v>
          </cell>
          <cell r="G374" t="str">
            <v>3PTY</v>
          </cell>
          <cell r="H374" t="str">
            <v>Active</v>
          </cell>
          <cell r="I374" t="str">
            <v>Katyal,Varun</v>
          </cell>
          <cell r="J374" t="str">
            <v>FLO</v>
          </cell>
        </row>
        <row r="375">
          <cell r="A375">
            <v>200061207</v>
          </cell>
          <cell r="B375" t="str">
            <v>xaboppon</v>
          </cell>
          <cell r="C375" t="str">
            <v>Oppong,Abdul-Aziz</v>
          </cell>
          <cell r="D375">
            <v>12898790</v>
          </cell>
          <cell r="E375">
            <v>1299</v>
          </cell>
          <cell r="F375" t="str">
            <v>Mon Sep 02 00:00:00 UTC 2024</v>
          </cell>
          <cell r="G375" t="str">
            <v>3PTY</v>
          </cell>
          <cell r="H375" t="str">
            <v>Active</v>
          </cell>
          <cell r="I375" t="str">
            <v>Scaria,Varghese</v>
          </cell>
          <cell r="J375" t="str">
            <v>FLO</v>
          </cell>
        </row>
        <row r="376">
          <cell r="A376">
            <v>206260783</v>
          </cell>
          <cell r="B376" t="str">
            <v>irssenfu</v>
          </cell>
          <cell r="C376" t="str">
            <v>Ssenfuka,Ismail</v>
          </cell>
          <cell r="D376">
            <v>14603461</v>
          </cell>
          <cell r="E376">
            <v>1712</v>
          </cell>
          <cell r="F376" t="str">
            <v>Sun Oct 12 00:00:00 UTC 2025</v>
          </cell>
          <cell r="G376" t="str">
            <v>3PTY</v>
          </cell>
          <cell r="H376" t="str">
            <v>Active</v>
          </cell>
          <cell r="I376" t="str">
            <v>Rizvan,Mohamed</v>
          </cell>
          <cell r="J376" t="str">
            <v>KBTS</v>
          </cell>
        </row>
        <row r="377">
          <cell r="A377">
            <v>205996683</v>
          </cell>
          <cell r="B377" t="str">
            <v>cmaforun</v>
          </cell>
          <cell r="C377" t="str">
            <v>MAFOR UNABI,CHANTAL</v>
          </cell>
          <cell r="D377">
            <v>13809839</v>
          </cell>
          <cell r="E377">
            <v>1299</v>
          </cell>
          <cell r="F377" t="str">
            <v>Mon Sep 15 00:00:00 UTC 2025</v>
          </cell>
          <cell r="G377" t="str">
            <v>3PTY</v>
          </cell>
          <cell r="H377" t="str">
            <v>Active</v>
          </cell>
          <cell r="I377" t="str">
            <v>Dinberu,Eden</v>
          </cell>
          <cell r="J377" t="str">
            <v>FLO</v>
          </cell>
        </row>
        <row r="378">
          <cell r="A378">
            <v>202295748</v>
          </cell>
          <cell r="B378" t="str">
            <v>qasmmuha</v>
          </cell>
          <cell r="C378" t="str">
            <v>Qasim,Muhammad</v>
          </cell>
          <cell r="D378">
            <v>11901580</v>
          </cell>
          <cell r="E378">
            <v>1092</v>
          </cell>
          <cell r="F378" t="str">
            <v>Fri Oct 13 00:00:00 UTC 2023</v>
          </cell>
          <cell r="G378" t="str">
            <v>3PTY</v>
          </cell>
          <cell r="H378" t="str">
            <v>Active</v>
          </cell>
          <cell r="I378" t="str">
            <v>Shershad,Ramees</v>
          </cell>
          <cell r="J378" t="str">
            <v>UBS</v>
          </cell>
        </row>
        <row r="379">
          <cell r="A379">
            <v>203965022</v>
          </cell>
          <cell r="B379" t="str">
            <v>nedathoo</v>
          </cell>
          <cell r="C379" t="str">
            <v>Edathoot Reghu,Nithin</v>
          </cell>
          <cell r="D379">
            <v>14049120</v>
          </cell>
          <cell r="E379">
            <v>1299</v>
          </cell>
          <cell r="F379" t="str">
            <v>Mon Sep 09 00:00:00 UTC 2024</v>
          </cell>
          <cell r="G379" t="str">
            <v>3PTY</v>
          </cell>
          <cell r="H379" t="str">
            <v>Active</v>
          </cell>
          <cell r="I379" t="str">
            <v>Narshad,Muhammad Ashik</v>
          </cell>
          <cell r="J379" t="str">
            <v>ADEC</v>
          </cell>
        </row>
        <row r="380">
          <cell r="A380">
            <v>204246607</v>
          </cell>
          <cell r="B380" t="str">
            <v>kwaaboag</v>
          </cell>
          <cell r="C380" t="str">
            <v>Aboagye-Acheampong,Kwabena</v>
          </cell>
          <cell r="D380">
            <v>13742678</v>
          </cell>
          <cell r="E380">
            <v>1299</v>
          </cell>
          <cell r="F380" t="str">
            <v>Mon Oct 14 00:00:00 UTC 2024</v>
          </cell>
          <cell r="G380" t="str">
            <v>3PTY</v>
          </cell>
          <cell r="H380" t="str">
            <v>Active</v>
          </cell>
          <cell r="I380" t="str">
            <v>Katyal,Varun</v>
          </cell>
          <cell r="J380" t="str">
            <v>QUES</v>
          </cell>
        </row>
        <row r="381">
          <cell r="A381">
            <v>205845561</v>
          </cell>
          <cell r="B381" t="str">
            <v>ssewante</v>
          </cell>
          <cell r="C381" t="str">
            <v>SSEWANTE,TONNY</v>
          </cell>
          <cell r="D381">
            <v>14517691</v>
          </cell>
          <cell r="E381">
            <v>1299</v>
          </cell>
          <cell r="F381" t="str">
            <v>Mon Aug 25 00:00:00 UTC 2025</v>
          </cell>
          <cell r="G381" t="str">
            <v>3PTY</v>
          </cell>
          <cell r="H381" t="str">
            <v>Active</v>
          </cell>
          <cell r="I381" t="str">
            <v>Ansari,Ammar Abdullah</v>
          </cell>
          <cell r="J381" t="str">
            <v>DULS</v>
          </cell>
        </row>
        <row r="382">
          <cell r="A382">
            <v>204967146</v>
          </cell>
          <cell r="B382" t="str">
            <v>issakmuz</v>
          </cell>
          <cell r="C382" t="str">
            <v>ISSAKA,MUSTAPHA SABIT</v>
          </cell>
          <cell r="D382">
            <v>13230789</v>
          </cell>
          <cell r="E382">
            <v>1299</v>
          </cell>
          <cell r="F382" t="str">
            <v>Wed Jun 18 00:00:00 UTC 2025</v>
          </cell>
          <cell r="G382" t="str">
            <v>3PTY</v>
          </cell>
          <cell r="H382" t="str">
            <v>Active</v>
          </cell>
          <cell r="I382" t="str">
            <v>Katyal,Varun</v>
          </cell>
          <cell r="J382" t="str">
            <v>DULS</v>
          </cell>
        </row>
        <row r="383">
          <cell r="A383">
            <v>205495359</v>
          </cell>
          <cell r="B383" t="str">
            <v>florndis</v>
          </cell>
          <cell r="C383" t="str">
            <v>NDISYA,FLORENCE NZULA</v>
          </cell>
          <cell r="D383">
            <v>14120615</v>
          </cell>
          <cell r="E383">
            <v>1299</v>
          </cell>
          <cell r="F383" t="str">
            <v>Mon Jun 23 00:00:00 UTC 2025</v>
          </cell>
          <cell r="G383" t="str">
            <v>3PTY</v>
          </cell>
          <cell r="H383" t="str">
            <v>Active</v>
          </cell>
          <cell r="I383" t="str">
            <v>Katyal,Varun</v>
          </cell>
          <cell r="J383" t="str">
            <v>EFSV</v>
          </cell>
        </row>
        <row r="384">
          <cell r="A384">
            <v>203737144</v>
          </cell>
          <cell r="B384" t="str">
            <v>kahermaj</v>
          </cell>
          <cell r="C384" t="str">
            <v>HERMAN,KAMOGA HERMAN</v>
          </cell>
          <cell r="D384">
            <v>98397</v>
          </cell>
          <cell r="E384">
            <v>1299</v>
          </cell>
          <cell r="F384" t="str">
            <v>Mon Jul 29 00:00:00 UTC 2024</v>
          </cell>
          <cell r="G384" t="str">
            <v>3PTY</v>
          </cell>
          <cell r="H384" t="str">
            <v>Active</v>
          </cell>
          <cell r="I384" t="str">
            <v>Katyal,Varun</v>
          </cell>
          <cell r="J384" t="str">
            <v>FLO</v>
          </cell>
        </row>
        <row r="385">
          <cell r="A385">
            <v>206136731</v>
          </cell>
          <cell r="B385" t="str">
            <v>wlajeffr</v>
          </cell>
          <cell r="C385" t="str">
            <v>Laryea Kwei Kumah,Jeffrey</v>
          </cell>
          <cell r="D385">
            <v>12455175</v>
          </cell>
          <cell r="E385">
            <v>1299</v>
          </cell>
          <cell r="F385" t="str">
            <v>Mon Sep 29 00:00:00 UTC 2025</v>
          </cell>
          <cell r="G385" t="str">
            <v>3PTY</v>
          </cell>
          <cell r="H385" t="str">
            <v>Active</v>
          </cell>
          <cell r="I385" t="str">
            <v>elrashid,Hassan</v>
          </cell>
          <cell r="J385" t="str">
            <v>FLO</v>
          </cell>
        </row>
        <row r="386">
          <cell r="A386">
            <v>203813134</v>
          </cell>
          <cell r="B386" t="str">
            <v>unainalu</v>
          </cell>
          <cell r="C386" t="str">
            <v>NALUPURAPPATTIL,UNAIS</v>
          </cell>
          <cell r="D386">
            <v>14501722</v>
          </cell>
          <cell r="E386">
            <v>1299</v>
          </cell>
          <cell r="F386" t="str">
            <v>Tue Aug 13 00:00:00 UTC 2024</v>
          </cell>
          <cell r="G386" t="str">
            <v>3PTY</v>
          </cell>
          <cell r="H386" t="str">
            <v>Active</v>
          </cell>
          <cell r="I386" t="str">
            <v>Katyal,Varun</v>
          </cell>
          <cell r="J386" t="str">
            <v>ADEC</v>
          </cell>
        </row>
        <row r="387">
          <cell r="A387">
            <v>206890219</v>
          </cell>
          <cell r="B387" t="str">
            <v>asarpate</v>
          </cell>
          <cell r="C387" t="str">
            <v>ASARE,PATRICIA</v>
          </cell>
          <cell r="D387">
            <v>15346584</v>
          </cell>
          <cell r="E387">
            <v>1299</v>
          </cell>
          <cell r="F387" t="str">
            <v>Mon Jan 05 00:00:00 UTC 2026</v>
          </cell>
          <cell r="G387" t="str">
            <v>3PTY</v>
          </cell>
          <cell r="H387" t="str">
            <v>Active</v>
          </cell>
          <cell r="I387" t="str">
            <v>Narshad,Muhammad Ashik</v>
          </cell>
          <cell r="J387" t="str">
            <v>EFSV</v>
          </cell>
        </row>
        <row r="388">
          <cell r="A388">
            <v>203908339</v>
          </cell>
          <cell r="B388" t="str">
            <v>hrenneaa</v>
          </cell>
          <cell r="C388" t="str">
            <v>Assah,Renne Assah</v>
          </cell>
          <cell r="D388">
            <v>12780448</v>
          </cell>
          <cell r="E388">
            <v>1299</v>
          </cell>
          <cell r="F388" t="str">
            <v>Mon Sep 02 00:00:00 UTC 2024</v>
          </cell>
          <cell r="G388" t="str">
            <v>3PTY</v>
          </cell>
          <cell r="H388" t="str">
            <v>Active</v>
          </cell>
          <cell r="I388" t="str">
            <v>Ansari,Ammar Abdullah</v>
          </cell>
          <cell r="J388" t="str">
            <v>FLO</v>
          </cell>
        </row>
        <row r="389">
          <cell r="A389">
            <v>205845560</v>
          </cell>
          <cell r="B389" t="str">
            <v>xainorog</v>
          </cell>
          <cell r="C389" t="str">
            <v>AINOMUGISHA,ROGERS</v>
          </cell>
          <cell r="D389">
            <v>14082206</v>
          </cell>
          <cell r="E389">
            <v>1299</v>
          </cell>
          <cell r="F389" t="str">
            <v>Mon Aug 25 00:00:00 UTC 2025</v>
          </cell>
          <cell r="G389" t="str">
            <v>3PTY</v>
          </cell>
          <cell r="H389" t="str">
            <v>Active</v>
          </cell>
          <cell r="I389" t="str">
            <v>Ansari,Ammar Abdullah</v>
          </cell>
          <cell r="J389" t="str">
            <v>DULS</v>
          </cell>
        </row>
        <row r="390">
          <cell r="A390">
            <v>205199079</v>
          </cell>
          <cell r="B390" t="str">
            <v>jhabshai</v>
          </cell>
          <cell r="C390" t="str">
            <v>Shaik,Habeeb</v>
          </cell>
          <cell r="D390">
            <v>235316</v>
          </cell>
          <cell r="E390">
            <v>1299</v>
          </cell>
          <cell r="F390" t="str">
            <v>Mon Apr 28 00:00:00 UTC 2025</v>
          </cell>
          <cell r="G390" t="str">
            <v>3PTY</v>
          </cell>
          <cell r="H390" t="str">
            <v>Active</v>
          </cell>
          <cell r="I390" t="str">
            <v>Lakkireddy,Sai Raghavendra Reddy</v>
          </cell>
          <cell r="J390" t="str">
            <v>EFSV</v>
          </cell>
        </row>
        <row r="391">
          <cell r="A391">
            <v>203908320</v>
          </cell>
          <cell r="B391" t="str">
            <v>abdxmulu</v>
          </cell>
          <cell r="C391" t="str">
            <v>MULUMBA,ABDULHAKIM</v>
          </cell>
          <cell r="D391">
            <v>13108031</v>
          </cell>
          <cell r="E391">
            <v>1299</v>
          </cell>
          <cell r="F391" t="str">
            <v>Mon Sep 02 00:00:00 UTC 2024</v>
          </cell>
          <cell r="G391" t="str">
            <v>3PTY</v>
          </cell>
          <cell r="H391" t="str">
            <v>Active</v>
          </cell>
          <cell r="I391" t="str">
            <v>Lakkireddy,Sai Raghavendra Reddy</v>
          </cell>
          <cell r="J391" t="str">
            <v>DULS</v>
          </cell>
        </row>
        <row r="392">
          <cell r="A392">
            <v>204116868</v>
          </cell>
          <cell r="B392" t="str">
            <v>mensathe</v>
          </cell>
          <cell r="C392" t="str">
            <v>Mensah,Henry</v>
          </cell>
          <cell r="D392">
            <v>13134024</v>
          </cell>
          <cell r="E392">
            <v>1299</v>
          </cell>
          <cell r="F392" t="str">
            <v>Thu Sep 26 00:00:00 UTC 2024</v>
          </cell>
          <cell r="G392" t="str">
            <v>3PTY</v>
          </cell>
          <cell r="H392" t="str">
            <v>Active</v>
          </cell>
          <cell r="I392" t="str">
            <v>Thomas,Binil</v>
          </cell>
          <cell r="J392" t="str">
            <v>QUES</v>
          </cell>
        </row>
        <row r="393">
          <cell r="A393">
            <v>206200813</v>
          </cell>
          <cell r="B393" t="str">
            <v>eribedia</v>
          </cell>
          <cell r="C393" t="str">
            <v>BEDIAKO OFORI,ERIC</v>
          </cell>
          <cell r="D393">
            <v>15157349</v>
          </cell>
          <cell r="E393">
            <v>1299</v>
          </cell>
          <cell r="F393" t="str">
            <v>Mon Oct 06 00:00:00 UTC 2025</v>
          </cell>
          <cell r="G393" t="str">
            <v>3PTY</v>
          </cell>
          <cell r="H393" t="str">
            <v>Active</v>
          </cell>
          <cell r="I393" t="str">
            <v>Narshad,Muhammad Ashik</v>
          </cell>
          <cell r="J393" t="str">
            <v>FLO</v>
          </cell>
        </row>
        <row r="394">
          <cell r="A394">
            <v>203881662</v>
          </cell>
          <cell r="B394" t="str">
            <v>lprinced</v>
          </cell>
          <cell r="C394" t="str">
            <v>Dramani,Prince</v>
          </cell>
          <cell r="D394">
            <v>12893202</v>
          </cell>
          <cell r="E394">
            <v>1299</v>
          </cell>
          <cell r="F394" t="str">
            <v>Mon Aug 26 00:00:00 UTC 2024</v>
          </cell>
          <cell r="G394" t="str">
            <v>3PTY</v>
          </cell>
          <cell r="H394" t="str">
            <v>Active</v>
          </cell>
          <cell r="I394" t="str">
            <v>Ansari,Ammar Abdullah</v>
          </cell>
          <cell r="J394" t="str">
            <v>FLO</v>
          </cell>
        </row>
        <row r="395">
          <cell r="A395">
            <v>205845559</v>
          </cell>
          <cell r="B395" t="str">
            <v>wilmande</v>
          </cell>
          <cell r="C395" t="str">
            <v>MANDELA,WILSON</v>
          </cell>
          <cell r="D395">
            <v>13486574</v>
          </cell>
          <cell r="E395">
            <v>1299</v>
          </cell>
          <cell r="F395" t="str">
            <v>Mon Aug 25 00:00:00 UTC 2025</v>
          </cell>
          <cell r="G395" t="str">
            <v>3PTY</v>
          </cell>
          <cell r="H395" t="str">
            <v>Active</v>
          </cell>
          <cell r="I395" t="str">
            <v>elrashid,Hassan</v>
          </cell>
          <cell r="J395" t="str">
            <v>DULS</v>
          </cell>
        </row>
        <row r="396">
          <cell r="A396">
            <v>205997634</v>
          </cell>
          <cell r="B396" t="str">
            <v>oforbpri</v>
          </cell>
          <cell r="C396" t="str">
            <v>OFORI,PRINCE</v>
          </cell>
          <cell r="D396">
            <v>13105479</v>
          </cell>
          <cell r="E396">
            <v>1299</v>
          </cell>
          <cell r="F396" t="str">
            <v>Mon Sep 15 00:00:00 UTC 2025</v>
          </cell>
          <cell r="G396" t="str">
            <v>3PTY</v>
          </cell>
          <cell r="H396" t="str">
            <v>Active</v>
          </cell>
          <cell r="I396" t="str">
            <v>Narshad,Muhammad Ashik</v>
          </cell>
          <cell r="J396" t="str">
            <v>FLO</v>
          </cell>
        </row>
        <row r="397">
          <cell r="A397">
            <v>203741310</v>
          </cell>
          <cell r="B397" t="str">
            <v>eliavony</v>
          </cell>
          <cell r="C397" t="str">
            <v>AVONYO,ELIZABETH ABENA</v>
          </cell>
          <cell r="D397">
            <v>13018963</v>
          </cell>
          <cell r="E397">
            <v>1299</v>
          </cell>
          <cell r="F397" t="str">
            <v>Mon Jul 29 00:00:00 UTC 2024</v>
          </cell>
          <cell r="G397" t="str">
            <v>3PTY</v>
          </cell>
          <cell r="H397" t="str">
            <v>Active</v>
          </cell>
          <cell r="I397" t="str">
            <v>Katyal,Varun</v>
          </cell>
          <cell r="J397" t="str">
            <v>FLO</v>
          </cell>
        </row>
        <row r="398">
          <cell r="A398">
            <v>203160807</v>
          </cell>
          <cell r="B398" t="str">
            <v>abnechin</v>
          </cell>
          <cell r="C398" t="str">
            <v>NECHINGATHODI,ABDUL JABBAR</v>
          </cell>
          <cell r="D398">
            <v>77219</v>
          </cell>
          <cell r="E398">
            <v>1299</v>
          </cell>
          <cell r="F398" t="str">
            <v>Sun Mar 31 00:00:00 UTC 2024</v>
          </cell>
          <cell r="G398" t="str">
            <v>3PTY</v>
          </cell>
          <cell r="H398" t="str">
            <v>Active</v>
          </cell>
          <cell r="I398" t="str">
            <v>Akhtar,Muhammad Zohaib</v>
          </cell>
          <cell r="J398" t="str">
            <v>WOFZ</v>
          </cell>
        </row>
        <row r="399">
          <cell r="A399">
            <v>204789274</v>
          </cell>
          <cell r="B399" t="str">
            <v>casargal</v>
          </cell>
          <cell r="C399" t="str">
            <v>Casarias,Galiza Mae</v>
          </cell>
          <cell r="D399">
            <v>14509755</v>
          </cell>
          <cell r="E399">
            <v>1290</v>
          </cell>
          <cell r="F399" t="str">
            <v>Mon Dec 30 00:00:00 UTC 2024</v>
          </cell>
          <cell r="G399" t="str">
            <v>3PTY</v>
          </cell>
          <cell r="H399" t="str">
            <v>Active</v>
          </cell>
          <cell r="I399" t="str">
            <v>Kumar,Arun</v>
          </cell>
          <cell r="J399" t="str">
            <v>EMIR</v>
          </cell>
        </row>
        <row r="400">
          <cell r="A400">
            <v>205280538</v>
          </cell>
          <cell r="B400" t="str">
            <v>razaxmo</v>
          </cell>
          <cell r="C400" t="str">
            <v>Raza,Mohammad Khalid</v>
          </cell>
          <cell r="D400">
            <v>14938453</v>
          </cell>
          <cell r="E400">
            <v>1299</v>
          </cell>
          <cell r="F400" t="str">
            <v>Tue Aug 26 00:00:00 UTC 2025</v>
          </cell>
          <cell r="G400" t="str">
            <v>3PTY</v>
          </cell>
          <cell r="H400" t="str">
            <v>Active</v>
          </cell>
          <cell r="I400" t="str">
            <v>Thomas,Binil</v>
          </cell>
          <cell r="J400" t="str">
            <v>EFSV</v>
          </cell>
        </row>
        <row r="401">
          <cell r="A401">
            <v>207820987</v>
          </cell>
          <cell r="B401" t="str">
            <v>shahabun</v>
          </cell>
          <cell r="C401" t="str">
            <v>SHAHABUDDIN,MOHAMMAD</v>
          </cell>
          <cell r="D401">
            <v>14726348</v>
          </cell>
          <cell r="E401">
            <v>1712</v>
          </cell>
          <cell r="F401" t="str">
            <v>Fri Jun 26 00:00:00 UTC 2026</v>
          </cell>
          <cell r="G401" t="str">
            <v>3PTY</v>
          </cell>
          <cell r="H401" t="str">
            <v>Active</v>
          </cell>
          <cell r="I401" t="str">
            <v>POGALA,HAREESH</v>
          </cell>
          <cell r="J401" t="str">
            <v>TDTS</v>
          </cell>
        </row>
        <row r="402">
          <cell r="A402">
            <v>205853580</v>
          </cell>
          <cell r="B402" t="str">
            <v>boamejos</v>
          </cell>
          <cell r="C402" t="str">
            <v>BOAME,JOSEPH</v>
          </cell>
          <cell r="D402">
            <v>11883374</v>
          </cell>
          <cell r="E402">
            <v>1299</v>
          </cell>
          <cell r="F402" t="str">
            <v>Mon Aug 25 00:00:00 UTC 2025</v>
          </cell>
          <cell r="G402" t="str">
            <v>3PTY</v>
          </cell>
          <cell r="H402" t="str">
            <v>Active</v>
          </cell>
          <cell r="I402" t="str">
            <v>Narshad,Muhammad Ashik</v>
          </cell>
          <cell r="J402" t="str">
            <v>EFSV</v>
          </cell>
        </row>
        <row r="403">
          <cell r="A403">
            <v>203782886</v>
          </cell>
          <cell r="B403" t="str">
            <v>akatukun</v>
          </cell>
          <cell r="C403" t="str">
            <v>Akatukunda,Apophia</v>
          </cell>
          <cell r="D403">
            <v>15106991</v>
          </cell>
          <cell r="E403">
            <v>1299</v>
          </cell>
          <cell r="F403" t="str">
            <v>Tue Aug 06 00:00:00 UTC 2024</v>
          </cell>
          <cell r="G403" t="str">
            <v>3PTY</v>
          </cell>
          <cell r="H403" t="str">
            <v>Active</v>
          </cell>
          <cell r="I403" t="str">
            <v>Akhtar,Muhammad Zohaib</v>
          </cell>
          <cell r="J403" t="str">
            <v>WOFZ</v>
          </cell>
        </row>
        <row r="404">
          <cell r="A404">
            <v>205608617</v>
          </cell>
          <cell r="B404" t="str">
            <v>chaoseip</v>
          </cell>
          <cell r="C404" t="str">
            <v>OSEI-POKU,CHARLES</v>
          </cell>
          <cell r="D404">
            <v>15246614</v>
          </cell>
          <cell r="E404">
            <v>1299</v>
          </cell>
          <cell r="F404" t="str">
            <v>Mon Jul 07 00:00:00 UTC 2025</v>
          </cell>
          <cell r="G404" t="str">
            <v>3PTY</v>
          </cell>
          <cell r="H404" t="str">
            <v>Active</v>
          </cell>
          <cell r="I404" t="str">
            <v>Sohail,Anis</v>
          </cell>
          <cell r="J404" t="str">
            <v>DULS</v>
          </cell>
        </row>
        <row r="405">
          <cell r="A405">
            <v>204545438</v>
          </cell>
          <cell r="B405" t="str">
            <v>migaddso</v>
          </cell>
          <cell r="C405" t="str">
            <v>Migadde,Solomon</v>
          </cell>
          <cell r="D405">
            <v>12887824</v>
          </cell>
          <cell r="E405">
            <v>1299</v>
          </cell>
          <cell r="F405" t="str">
            <v>Wed Nov 13 00:00:00 UTC 2024</v>
          </cell>
          <cell r="G405" t="str">
            <v>3PTY</v>
          </cell>
          <cell r="H405" t="str">
            <v>Active</v>
          </cell>
          <cell r="I405" t="str">
            <v>Badr,Eman</v>
          </cell>
          <cell r="J405" t="str">
            <v>WOFZ</v>
          </cell>
        </row>
        <row r="406">
          <cell r="A406">
            <v>207470994</v>
          </cell>
          <cell r="B406" t="str">
            <v>ofdarko</v>
          </cell>
          <cell r="C406" t="str">
            <v>Darko,Frank</v>
          </cell>
          <cell r="D406">
            <v>13942276</v>
          </cell>
          <cell r="E406">
            <v>1712</v>
          </cell>
          <cell r="F406" t="str">
            <v>Sun May 10 00:00:00 UTC 2026</v>
          </cell>
          <cell r="G406" t="str">
            <v>3PTY</v>
          </cell>
          <cell r="H406" t="str">
            <v>Active</v>
          </cell>
          <cell r="I406" t="str">
            <v>ramadoss,vadivel</v>
          </cell>
          <cell r="J406" t="str">
            <v>KBTS</v>
          </cell>
        </row>
        <row r="407">
          <cell r="A407">
            <v>206937730</v>
          </cell>
          <cell r="B407" t="str">
            <v>hethesak</v>
          </cell>
          <cell r="C407" t="str">
            <v>SAKA NJATI,HETHERWICK</v>
          </cell>
          <cell r="D407">
            <v>14644510</v>
          </cell>
          <cell r="E407">
            <v>1299</v>
          </cell>
          <cell r="F407" t="str">
            <v>Mon Jan 26 00:00:00 UTC 2026</v>
          </cell>
          <cell r="G407" t="str">
            <v>3PTY</v>
          </cell>
          <cell r="H407" t="str">
            <v>Active</v>
          </cell>
          <cell r="I407" t="str">
            <v>Sohail,Anis</v>
          </cell>
          <cell r="J407" t="str">
            <v>DULS</v>
          </cell>
        </row>
        <row r="408">
          <cell r="A408">
            <v>206456124</v>
          </cell>
          <cell r="B408" t="str">
            <v>khawmuee</v>
          </cell>
          <cell r="C408" t="str">
            <v>Mueenuddin,Khawja</v>
          </cell>
          <cell r="D408">
            <v>15013784</v>
          </cell>
          <cell r="E408">
            <v>1712</v>
          </cell>
          <cell r="F408" t="str">
            <v>Fri Oct 31 00:00:00 UTC 2025</v>
          </cell>
          <cell r="G408" t="str">
            <v>3PTY</v>
          </cell>
          <cell r="H408" t="str">
            <v>Active</v>
          </cell>
          <cell r="I408" t="str">
            <v>POGALA,HAREESH</v>
          </cell>
          <cell r="J408" t="str">
            <v>KBTS</v>
          </cell>
        </row>
        <row r="409">
          <cell r="A409">
            <v>205502952</v>
          </cell>
          <cell r="B409" t="str">
            <v>lydiawwa</v>
          </cell>
          <cell r="C409" t="str">
            <v>WANJIKU,LYDIA WANGARI</v>
          </cell>
          <cell r="D409">
            <v>14900080</v>
          </cell>
          <cell r="E409">
            <v>1299</v>
          </cell>
          <cell r="F409" t="str">
            <v>Mon Jun 23 00:00:00 UTC 2025</v>
          </cell>
          <cell r="G409" t="str">
            <v>3PTY</v>
          </cell>
          <cell r="H409" t="str">
            <v>Active</v>
          </cell>
          <cell r="I409" t="str">
            <v>Meera,Bava Bahrudeen</v>
          </cell>
          <cell r="J409" t="str">
            <v>EFSV</v>
          </cell>
        </row>
        <row r="410">
          <cell r="A410">
            <v>207072702</v>
          </cell>
          <cell r="B410" t="str">
            <v>umanqkha</v>
          </cell>
          <cell r="C410" t="str">
            <v>Khant,Umang Khant</v>
          </cell>
          <cell r="D410">
            <v>14198420</v>
          </cell>
          <cell r="E410">
            <v>1712</v>
          </cell>
          <cell r="F410" t="str">
            <v>Tue Feb 24 00:00:00 UTC 2026</v>
          </cell>
          <cell r="G410" t="str">
            <v>3PTY</v>
          </cell>
          <cell r="H410" t="str">
            <v>Active</v>
          </cell>
          <cell r="I410" t="str">
            <v>Raynold,Shine</v>
          </cell>
          <cell r="J410" t="str">
            <v>KBTS</v>
          </cell>
        </row>
        <row r="411">
          <cell r="A411">
            <v>206846688</v>
          </cell>
          <cell r="B411" t="str">
            <v>davawaya</v>
          </cell>
          <cell r="C411" t="str">
            <v>WAYABIRA,DAVIS</v>
          </cell>
          <cell r="D411">
            <v>15113835</v>
          </cell>
          <cell r="E411">
            <v>1299</v>
          </cell>
          <cell r="F411" t="str">
            <v>Mon Dec 22 00:00:00 UTC 2025</v>
          </cell>
          <cell r="G411" t="str">
            <v>3PTY</v>
          </cell>
          <cell r="H411" t="str">
            <v>Active</v>
          </cell>
          <cell r="I411" t="str">
            <v>Lakkireddy,Sai Raghavendra Reddy</v>
          </cell>
          <cell r="J411" t="str">
            <v>DULS</v>
          </cell>
        </row>
        <row r="412">
          <cell r="A412">
            <v>204890369</v>
          </cell>
          <cell r="B412" t="str">
            <v>kojoache</v>
          </cell>
          <cell r="C412" t="str">
            <v>KOJO ACHEAMPONG,FRANCIS</v>
          </cell>
          <cell r="D412">
            <v>13518685</v>
          </cell>
          <cell r="E412">
            <v>1299</v>
          </cell>
          <cell r="F412" t="str">
            <v>Mon Feb 03 00:00:00 UTC 2025</v>
          </cell>
          <cell r="G412" t="str">
            <v>3PTY</v>
          </cell>
          <cell r="H412" t="str">
            <v>Active</v>
          </cell>
          <cell r="I412" t="str">
            <v>Lakkireddy,Sai Raghavendra Reddy</v>
          </cell>
          <cell r="J412" t="str">
            <v>DULS</v>
          </cell>
        </row>
        <row r="413">
          <cell r="A413">
            <v>202460493</v>
          </cell>
          <cell r="B413" t="str">
            <v>earthurg</v>
          </cell>
          <cell r="C413" t="str">
            <v>Arthur,Georgina</v>
          </cell>
          <cell r="D413">
            <v>15149711</v>
          </cell>
          <cell r="E413">
            <v>1299</v>
          </cell>
          <cell r="F413" t="str">
            <v>Mon Oct 21 00:00:00 UTC 2024</v>
          </cell>
          <cell r="G413" t="str">
            <v>3PTY</v>
          </cell>
          <cell r="H413" t="str">
            <v>Active</v>
          </cell>
          <cell r="I413" t="str">
            <v>Thomas,Binil</v>
          </cell>
          <cell r="J413" t="str">
            <v>QUES</v>
          </cell>
        </row>
        <row r="414">
          <cell r="A414">
            <v>203965010</v>
          </cell>
          <cell r="B414" t="str">
            <v>pallikna</v>
          </cell>
          <cell r="C414" t="str">
            <v>Pallikka,Nasarudheen</v>
          </cell>
          <cell r="D414">
            <v>11280597</v>
          </cell>
          <cell r="E414">
            <v>1299</v>
          </cell>
          <cell r="F414" t="str">
            <v>Mon Sep 09 00:00:00 UTC 2024</v>
          </cell>
          <cell r="G414" t="str">
            <v>3PTY</v>
          </cell>
          <cell r="H414" t="str">
            <v>Active</v>
          </cell>
          <cell r="I414" t="str">
            <v>Ansari,Ammar Abdullah</v>
          </cell>
          <cell r="J414" t="str">
            <v>ADEC</v>
          </cell>
        </row>
        <row r="415">
          <cell r="A415">
            <v>206239769</v>
          </cell>
          <cell r="B415" t="str">
            <v>kerneose</v>
          </cell>
          <cell r="C415" t="str">
            <v>ERNEST,OSEI</v>
          </cell>
          <cell r="D415">
            <v>12183362</v>
          </cell>
          <cell r="E415">
            <v>1299</v>
          </cell>
          <cell r="F415" t="str">
            <v>Mon Oct 13 00:00:00 UTC 2025</v>
          </cell>
          <cell r="G415" t="str">
            <v>3PTY</v>
          </cell>
          <cell r="H415" t="str">
            <v>Active</v>
          </cell>
          <cell r="I415" t="str">
            <v>Ansari,Ammar Abdullah</v>
          </cell>
          <cell r="J415" t="str">
            <v>DULS</v>
          </cell>
        </row>
        <row r="416">
          <cell r="A416">
            <v>207681090</v>
          </cell>
          <cell r="B416" t="str">
            <v>maxboban</v>
          </cell>
          <cell r="C416" t="str">
            <v>Boban,Max</v>
          </cell>
          <cell r="D416">
            <v>12797022</v>
          </cell>
          <cell r="E416">
            <v>1711</v>
          </cell>
          <cell r="F416" t="str">
            <v>Sun Jun 07 00:00:00 UTC 2026</v>
          </cell>
          <cell r="G416" t="str">
            <v>3PTY</v>
          </cell>
          <cell r="H416" t="str">
            <v>Active</v>
          </cell>
          <cell r="I416" t="str">
            <v>Abdul Hakkim,Muhammed</v>
          </cell>
          <cell r="J416" t="str">
            <v>TDTS</v>
          </cell>
        </row>
        <row r="417">
          <cell r="A417">
            <v>203850808</v>
          </cell>
          <cell r="B417" t="str">
            <v>yijamer</v>
          </cell>
          <cell r="C417" t="str">
            <v>Yiga,James</v>
          </cell>
          <cell r="D417">
            <v>12506335</v>
          </cell>
          <cell r="E417">
            <v>1299</v>
          </cell>
          <cell r="F417" t="str">
            <v>Tue Aug 20 00:00:00 UTC 2024</v>
          </cell>
          <cell r="G417" t="str">
            <v>3PTY</v>
          </cell>
          <cell r="H417" t="str">
            <v>Active</v>
          </cell>
          <cell r="I417" t="str">
            <v>Lakkireddy,Sai Raghavendra Reddy</v>
          </cell>
          <cell r="J417" t="str">
            <v>DULS</v>
          </cell>
        </row>
        <row r="418">
          <cell r="A418">
            <v>206953803</v>
          </cell>
          <cell r="B418" t="str">
            <v>maijanew</v>
          </cell>
          <cell r="C418" t="str">
            <v>Maina,Jane Wangari</v>
          </cell>
          <cell r="D418">
            <v>12788571</v>
          </cell>
          <cell r="E418">
            <v>1299</v>
          </cell>
          <cell r="F418" t="str">
            <v>Mon Jan 26 00:00:00 UTC 2026</v>
          </cell>
          <cell r="G418" t="str">
            <v>3PTY</v>
          </cell>
          <cell r="H418" t="str">
            <v>Active</v>
          </cell>
          <cell r="I418" t="str">
            <v>Sohail,Anis</v>
          </cell>
          <cell r="J418" t="str">
            <v>EFSV</v>
          </cell>
        </row>
        <row r="419">
          <cell r="A419">
            <v>206873865</v>
          </cell>
          <cell r="B419" t="str">
            <v>bogerabd</v>
          </cell>
          <cell r="C419" t="str">
            <v>ABDU,BOGERE</v>
          </cell>
          <cell r="D419">
            <v>11678973</v>
          </cell>
          <cell r="E419">
            <v>1299</v>
          </cell>
          <cell r="F419" t="str">
            <v>Mon Dec 29 00:00:00 UTC 2025</v>
          </cell>
          <cell r="G419" t="str">
            <v>3PTY</v>
          </cell>
          <cell r="H419" t="str">
            <v>Active</v>
          </cell>
          <cell r="I419" t="str">
            <v>Katyal,Varun</v>
          </cell>
          <cell r="J419" t="str">
            <v>DULS</v>
          </cell>
        </row>
        <row r="420">
          <cell r="A420">
            <v>202805933</v>
          </cell>
          <cell r="B420" t="str">
            <v>trcatali</v>
          </cell>
          <cell r="C420" t="str">
            <v>Tremblay,Catalina</v>
          </cell>
          <cell r="D420">
            <v>13704419</v>
          </cell>
          <cell r="E420">
            <v>1290</v>
          </cell>
          <cell r="F420" t="str">
            <v>Tue Aug 13 00:00:00 UTC 2024</v>
          </cell>
          <cell r="G420" t="str">
            <v>3PTY</v>
          </cell>
          <cell r="H420" t="str">
            <v>Active</v>
          </cell>
          <cell r="I420" t="str">
            <v>Kumar,Arun</v>
          </cell>
          <cell r="J420" t="str">
            <v>EMIR</v>
          </cell>
        </row>
        <row r="421">
          <cell r="A421">
            <v>205192971</v>
          </cell>
          <cell r="B421" t="str">
            <v>muzibans</v>
          </cell>
          <cell r="C421" t="str">
            <v>ANSARI,MUZIBUL</v>
          </cell>
          <cell r="D421">
            <v>13635780</v>
          </cell>
          <cell r="E421">
            <v>1287</v>
          </cell>
          <cell r="F421" t="str">
            <v>Wed Apr 23 00:00:00 UTC 2025</v>
          </cell>
          <cell r="G421" t="str">
            <v>3PTY</v>
          </cell>
          <cell r="H421" t="str">
            <v>Active</v>
          </cell>
          <cell r="I421" t="str">
            <v>Ouseph,Vinu</v>
          </cell>
          <cell r="J421" t="str">
            <v>FRIZ</v>
          </cell>
        </row>
        <row r="422">
          <cell r="A422">
            <v>203850804</v>
          </cell>
          <cell r="B422" t="str">
            <v>katamgjo</v>
          </cell>
          <cell r="C422" t="str">
            <v>Katamba,John</v>
          </cell>
          <cell r="D422">
            <v>12990433</v>
          </cell>
          <cell r="E422">
            <v>1299</v>
          </cell>
          <cell r="F422" t="str">
            <v>Tue Aug 20 00:00:00 UTC 2024</v>
          </cell>
          <cell r="G422" t="str">
            <v>3PTY</v>
          </cell>
          <cell r="H422" t="str">
            <v>Active</v>
          </cell>
          <cell r="I422" t="str">
            <v>Ansari,Ammar Abdullah</v>
          </cell>
          <cell r="J422" t="str">
            <v>DULS</v>
          </cell>
        </row>
        <row r="423">
          <cell r="A423">
            <v>206958279</v>
          </cell>
          <cell r="B423" t="str">
            <v>lmbeneka</v>
          </cell>
          <cell r="C423" t="str">
            <v>Mbeneka,Lawrencious Mutindi</v>
          </cell>
          <cell r="D423">
            <v>14148638</v>
          </cell>
          <cell r="E423">
            <v>1299</v>
          </cell>
          <cell r="F423" t="str">
            <v>Mon Jan 26 00:00:00 UTC 2026</v>
          </cell>
          <cell r="G423" t="str">
            <v>3PTY</v>
          </cell>
          <cell r="H423" t="str">
            <v>Active</v>
          </cell>
          <cell r="I423" t="str">
            <v>Meera,Bava Bahrudeen</v>
          </cell>
          <cell r="J423" t="str">
            <v>EFSV</v>
          </cell>
        </row>
        <row r="424">
          <cell r="A424">
            <v>206868005</v>
          </cell>
          <cell r="B424" t="str">
            <v>vdelacyr</v>
          </cell>
          <cell r="C424" t="str">
            <v>DELA AMAVIE,CYRIL</v>
          </cell>
          <cell r="D424">
            <v>14777852</v>
          </cell>
          <cell r="E424">
            <v>1299</v>
          </cell>
          <cell r="F424" t="str">
            <v>Tue Aug 04 00:00:00 UTC 2026</v>
          </cell>
          <cell r="G424" t="str">
            <v>3PTY</v>
          </cell>
          <cell r="H424" t="str">
            <v>Active</v>
          </cell>
          <cell r="I424" t="str">
            <v>Scaria,Varghese</v>
          </cell>
          <cell r="J424" t="str">
            <v>FLO</v>
          </cell>
        </row>
        <row r="425">
          <cell r="A425">
            <v>203816757</v>
          </cell>
          <cell r="B425" t="str">
            <v>ssereaga</v>
          </cell>
          <cell r="C425" t="str">
            <v>SSEMBAJJWE,REAGAN MAGUNGA</v>
          </cell>
          <cell r="D425">
            <v>14064746</v>
          </cell>
          <cell r="E425">
            <v>1299</v>
          </cell>
          <cell r="F425" t="str">
            <v>Wed Aug 14 00:00:00 UTC 2024</v>
          </cell>
          <cell r="G425" t="str">
            <v>3PTY</v>
          </cell>
          <cell r="H425" t="str">
            <v>Active</v>
          </cell>
          <cell r="I425" t="str">
            <v>Katyal,Varun</v>
          </cell>
          <cell r="J425" t="str">
            <v>DULS</v>
          </cell>
        </row>
        <row r="426">
          <cell r="A426">
            <v>205852634</v>
          </cell>
          <cell r="B426" t="str">
            <v>rseremda</v>
          </cell>
          <cell r="C426" t="str">
            <v>SEREM,DAISY CHEPKEMBOI</v>
          </cell>
          <cell r="D426">
            <v>12047468</v>
          </cell>
          <cell r="E426">
            <v>1299</v>
          </cell>
          <cell r="F426" t="str">
            <v>Mon Aug 25 00:00:00 UTC 2025</v>
          </cell>
          <cell r="G426" t="str">
            <v>3PTY</v>
          </cell>
          <cell r="H426" t="str">
            <v>Active</v>
          </cell>
          <cell r="I426" t="str">
            <v>Scaria,Varghese</v>
          </cell>
          <cell r="J426" t="str">
            <v>EFSV</v>
          </cell>
        </row>
        <row r="427">
          <cell r="A427">
            <v>206953570</v>
          </cell>
          <cell r="B427" t="str">
            <v>chepjoan</v>
          </cell>
          <cell r="C427" t="str">
            <v>Chepngetich,Joan</v>
          </cell>
          <cell r="D427">
            <v>14098099</v>
          </cell>
          <cell r="E427">
            <v>1299</v>
          </cell>
          <cell r="F427" t="str">
            <v>Mon Jan 26 00:00:00 UTC 2026</v>
          </cell>
          <cell r="G427" t="str">
            <v>3PTY</v>
          </cell>
          <cell r="H427" t="str">
            <v>Active</v>
          </cell>
          <cell r="I427" t="str">
            <v>Sohail,Anis</v>
          </cell>
          <cell r="J427" t="str">
            <v>EFSV</v>
          </cell>
        </row>
        <row r="428">
          <cell r="A428">
            <v>205199356</v>
          </cell>
          <cell r="B428" t="str">
            <v>ssaamike</v>
          </cell>
          <cell r="C428" t="str">
            <v>Ssaabwe,Mike</v>
          </cell>
          <cell r="D428">
            <v>109162</v>
          </cell>
          <cell r="E428">
            <v>1299</v>
          </cell>
          <cell r="F428" t="str">
            <v>Tue Aug 04 00:00:00 UTC 2026</v>
          </cell>
          <cell r="G428" t="str">
            <v>3PTY</v>
          </cell>
          <cell r="H428" t="str">
            <v>Active</v>
          </cell>
          <cell r="I428" t="str">
            <v>Narshad,Muhammad Ashik</v>
          </cell>
          <cell r="J428" t="str">
            <v>EFSV</v>
          </cell>
        </row>
        <row r="429">
          <cell r="A429">
            <v>203908859</v>
          </cell>
          <cell r="B429" t="str">
            <v>ebenfbra</v>
          </cell>
          <cell r="C429" t="str">
            <v>Brabi,Ebenezer</v>
          </cell>
          <cell r="D429">
            <v>12189803</v>
          </cell>
          <cell r="E429">
            <v>1299</v>
          </cell>
          <cell r="F429" t="str">
            <v>Mon Sep 02 00:00:00 UTC 2024</v>
          </cell>
          <cell r="G429" t="str">
            <v>3PTY</v>
          </cell>
          <cell r="H429" t="str">
            <v>Active</v>
          </cell>
          <cell r="I429" t="str">
            <v>Lakkireddy,Sai Raghavendra Reddy</v>
          </cell>
          <cell r="J429" t="str">
            <v>FLO</v>
          </cell>
        </row>
        <row r="430">
          <cell r="A430">
            <v>203800587</v>
          </cell>
          <cell r="B430" t="str">
            <v>nsandkha</v>
          </cell>
          <cell r="C430" t="str">
            <v>KHATRI,SANDEEP</v>
          </cell>
          <cell r="D430">
            <v>13154054</v>
          </cell>
          <cell r="E430">
            <v>1299</v>
          </cell>
          <cell r="F430" t="str">
            <v>Fri Aug 09 00:00:00 UTC 2024</v>
          </cell>
          <cell r="G430" t="str">
            <v>3PTY</v>
          </cell>
          <cell r="H430" t="str">
            <v>Active</v>
          </cell>
          <cell r="I430" t="str">
            <v>Pudhoor,Jibin</v>
          </cell>
          <cell r="J430" t="str">
            <v>KBTS</v>
          </cell>
        </row>
        <row r="431">
          <cell r="A431">
            <v>204052506</v>
          </cell>
          <cell r="B431" t="str">
            <v>rustukhs</v>
          </cell>
          <cell r="C431" t="str">
            <v>Khan,Rustum</v>
          </cell>
          <cell r="D431">
            <v>12442824</v>
          </cell>
          <cell r="E431">
            <v>1299</v>
          </cell>
          <cell r="F431" t="str">
            <v>Thu Sep 26 00:00:00 UTC 2024</v>
          </cell>
          <cell r="G431" t="str">
            <v>3PTY</v>
          </cell>
          <cell r="H431" t="str">
            <v>Active</v>
          </cell>
          <cell r="I431" t="str">
            <v>Scaria,Varghese</v>
          </cell>
          <cell r="J431" t="str">
            <v>ADEC</v>
          </cell>
        </row>
        <row r="432">
          <cell r="A432">
            <v>205861618</v>
          </cell>
          <cell r="B432" t="str">
            <v>denmbium</v>
          </cell>
          <cell r="C432" t="str">
            <v>Mbiu,Dennis Muchiri</v>
          </cell>
          <cell r="D432">
            <v>14780521</v>
          </cell>
          <cell r="E432">
            <v>1299</v>
          </cell>
          <cell r="F432" t="str">
            <v>Mon Sep 01 00:00:00 UTC 2025</v>
          </cell>
          <cell r="G432" t="str">
            <v>3PTY</v>
          </cell>
          <cell r="H432" t="str">
            <v>Active</v>
          </cell>
          <cell r="I432" t="str">
            <v>Thomas,Binil</v>
          </cell>
          <cell r="J432" t="str">
            <v>EFSV</v>
          </cell>
        </row>
        <row r="433">
          <cell r="A433">
            <v>206963893</v>
          </cell>
          <cell r="B433" t="str">
            <v>abkalyas</v>
          </cell>
          <cell r="C433" t="str">
            <v>KALYA,ABDU</v>
          </cell>
          <cell r="D433">
            <v>14748926</v>
          </cell>
          <cell r="E433">
            <v>1712</v>
          </cell>
          <cell r="F433" t="str">
            <v>Fri Jan 23 00:00:00 UTC 2026</v>
          </cell>
          <cell r="G433" t="str">
            <v>3PTY</v>
          </cell>
          <cell r="H433" t="str">
            <v>Active</v>
          </cell>
          <cell r="I433" t="str">
            <v>Rajendran,Ajith Kumar</v>
          </cell>
          <cell r="J433" t="str">
            <v>KBTS</v>
          </cell>
        </row>
        <row r="434">
          <cell r="A434">
            <v>206902844</v>
          </cell>
          <cell r="B434" t="str">
            <v>winthala</v>
          </cell>
          <cell r="C434" t="str">
            <v>NTHALA,WILLIAM</v>
          </cell>
          <cell r="D434">
            <v>943</v>
          </cell>
          <cell r="E434">
            <v>1299</v>
          </cell>
          <cell r="F434" t="str">
            <v>Thu Jan 08 00:00:00 UTC 2026</v>
          </cell>
          <cell r="G434" t="str">
            <v>3PTY</v>
          </cell>
          <cell r="H434" t="str">
            <v>Active</v>
          </cell>
          <cell r="I434" t="str">
            <v>Ansari,Ammar Abdullah</v>
          </cell>
          <cell r="J434" t="str">
            <v>DULS</v>
          </cell>
        </row>
        <row r="435">
          <cell r="A435">
            <v>205236906</v>
          </cell>
          <cell r="B435" t="str">
            <v>emuhamia</v>
          </cell>
          <cell r="C435" t="str">
            <v>AHMED,MUHAMIN</v>
          </cell>
          <cell r="D435">
            <v>14450942</v>
          </cell>
          <cell r="E435">
            <v>1299</v>
          </cell>
          <cell r="F435" t="str">
            <v>Mon May 12 00:00:00 UTC 2025</v>
          </cell>
          <cell r="G435" t="str">
            <v>3PTY</v>
          </cell>
          <cell r="H435" t="str">
            <v>Active</v>
          </cell>
          <cell r="I435" t="str">
            <v>Lakkireddy,Sai Raghavendra Reddy</v>
          </cell>
          <cell r="J435" t="str">
            <v>DULS</v>
          </cell>
        </row>
        <row r="436">
          <cell r="A436">
            <v>205152122</v>
          </cell>
          <cell r="B436" t="str">
            <v>ravkupen</v>
          </cell>
          <cell r="C436" t="str">
            <v>RAVI,KUPENDIRAN</v>
          </cell>
          <cell r="D436">
            <v>12592352</v>
          </cell>
          <cell r="E436">
            <v>1712</v>
          </cell>
          <cell r="F436" t="str">
            <v>Mon Apr 14 00:00:00 UTC 2025</v>
          </cell>
          <cell r="G436" t="str">
            <v>3PTY</v>
          </cell>
          <cell r="H436" t="str">
            <v>Active</v>
          </cell>
          <cell r="I436" t="str">
            <v>Rizvan,Mohamed</v>
          </cell>
          <cell r="J436" t="str">
            <v>BHIZ</v>
          </cell>
        </row>
        <row r="437">
          <cell r="A437">
            <v>205854273</v>
          </cell>
          <cell r="B437" t="str">
            <v>namukaba</v>
          </cell>
          <cell r="C437" t="str">
            <v>NAMUKASA,Barbra Christine</v>
          </cell>
          <cell r="D437">
            <v>12942869</v>
          </cell>
          <cell r="E437">
            <v>1299</v>
          </cell>
          <cell r="F437" t="str">
            <v>Mon Aug 25 00:00:00 UTC 2025</v>
          </cell>
          <cell r="G437" t="str">
            <v>3PTY</v>
          </cell>
          <cell r="H437" t="str">
            <v>Active</v>
          </cell>
          <cell r="I437" t="str">
            <v>Scaria,Varghese</v>
          </cell>
          <cell r="J437" t="str">
            <v>EFSV</v>
          </cell>
        </row>
        <row r="438">
          <cell r="A438">
            <v>112365660</v>
          </cell>
          <cell r="B438" t="str">
            <v>spashmaz</v>
          </cell>
          <cell r="C438" t="str">
            <v>Pasha,Mazhar A</v>
          </cell>
          <cell r="D438">
            <v>14515643</v>
          </cell>
          <cell r="E438">
            <v>1171</v>
          </cell>
          <cell r="F438" t="str">
            <v>Thu Jan 29 00:00:00 UTC 2026</v>
          </cell>
          <cell r="G438" t="str">
            <v>3PTY</v>
          </cell>
          <cell r="H438" t="str">
            <v>Active</v>
          </cell>
          <cell r="I438" t="str">
            <v>Katyal,Varun</v>
          </cell>
          <cell r="J438" t="str">
            <v>3SPL</v>
          </cell>
        </row>
        <row r="439">
          <cell r="A439">
            <v>206953971</v>
          </cell>
          <cell r="B439" t="str">
            <v>lwangazm</v>
          </cell>
          <cell r="C439" t="str">
            <v>LWANGA,MARTIN GOSHEN</v>
          </cell>
          <cell r="D439">
            <v>14936584</v>
          </cell>
          <cell r="E439">
            <v>1299</v>
          </cell>
          <cell r="F439" t="str">
            <v>Mon Jan 26 00:00:00 UTC 2026</v>
          </cell>
          <cell r="G439" t="str">
            <v>3PTY</v>
          </cell>
          <cell r="H439" t="str">
            <v>Active</v>
          </cell>
          <cell r="I439" t="str">
            <v>Meera,Bava Bahrudeen</v>
          </cell>
          <cell r="J439" t="str">
            <v>DULS</v>
          </cell>
        </row>
        <row r="440">
          <cell r="A440">
            <v>205961663</v>
          </cell>
          <cell r="B440" t="str">
            <v>iqbbnave</v>
          </cell>
          <cell r="C440" t="str">
            <v>Iqbal,Naveed</v>
          </cell>
          <cell r="D440">
            <v>13911483</v>
          </cell>
          <cell r="E440">
            <v>1712</v>
          </cell>
          <cell r="F440" t="str">
            <v>Fri Sep 05 00:00:00 UTC 2025</v>
          </cell>
          <cell r="G440" t="str">
            <v>3PTY</v>
          </cell>
          <cell r="H440" t="str">
            <v>Active</v>
          </cell>
          <cell r="I440" t="str">
            <v>Rizvan,Mohamed</v>
          </cell>
          <cell r="J440" t="str">
            <v>TDTS</v>
          </cell>
        </row>
        <row r="441">
          <cell r="A441">
            <v>206192491</v>
          </cell>
          <cell r="B441" t="str">
            <v>tewveron</v>
          </cell>
          <cell r="C441" t="str">
            <v>Tetteh,Veronica</v>
          </cell>
          <cell r="D441">
            <v>12052645</v>
          </cell>
          <cell r="E441">
            <v>1299</v>
          </cell>
          <cell r="F441" t="str">
            <v>Mon Oct 13 00:00:00 UTC 2025</v>
          </cell>
          <cell r="G441" t="str">
            <v>3PTY</v>
          </cell>
          <cell r="H441" t="str">
            <v>Active</v>
          </cell>
          <cell r="I441" t="str">
            <v>Dinberu,Eden</v>
          </cell>
          <cell r="J441" t="str">
            <v>EFSV</v>
          </cell>
        </row>
        <row r="442">
          <cell r="A442">
            <v>203469052</v>
          </cell>
          <cell r="B442" t="str">
            <v>jonztutu</v>
          </cell>
          <cell r="C442" t="str">
            <v>Tutu,Jonathan Osei</v>
          </cell>
          <cell r="D442">
            <v>12926721</v>
          </cell>
          <cell r="E442">
            <v>1299</v>
          </cell>
          <cell r="F442" t="str">
            <v>Thu Jun 13 00:00:00 UTC 2024</v>
          </cell>
          <cell r="G442" t="str">
            <v>3PTY</v>
          </cell>
          <cell r="H442" t="str">
            <v>Active</v>
          </cell>
          <cell r="I442" t="str">
            <v>Sohail,Anis</v>
          </cell>
          <cell r="J442" t="str">
            <v>FLO</v>
          </cell>
        </row>
        <row r="443">
          <cell r="A443">
            <v>204868856</v>
          </cell>
          <cell r="B443" t="str">
            <v>otooemml</v>
          </cell>
          <cell r="C443" t="str">
            <v>Otoo,Emmanuel</v>
          </cell>
          <cell r="D443">
            <v>11968333</v>
          </cell>
          <cell r="E443">
            <v>1299</v>
          </cell>
          <cell r="F443" t="str">
            <v>Mon Feb 03 00:00:00 UTC 2025</v>
          </cell>
          <cell r="G443" t="str">
            <v>3PTY</v>
          </cell>
          <cell r="H443" t="str">
            <v>Active</v>
          </cell>
          <cell r="I443" t="str">
            <v>Meera,Bava Bahrudeen</v>
          </cell>
          <cell r="J443" t="str">
            <v>QUES</v>
          </cell>
        </row>
        <row r="444">
          <cell r="A444">
            <v>207867365</v>
          </cell>
          <cell r="B444" t="str">
            <v>ffiaqatw</v>
          </cell>
          <cell r="C444" t="str">
            <v>Fiaqat Ali,Waqas Ali</v>
          </cell>
          <cell r="D444">
            <v>14724838</v>
          </cell>
          <cell r="E444">
            <v>1200</v>
          </cell>
          <cell r="F444" t="str">
            <v>Fri Jul 03 00:00:00 UTC 2026</v>
          </cell>
          <cell r="G444" t="str">
            <v>3PTY</v>
          </cell>
          <cell r="H444" t="str">
            <v>Active</v>
          </cell>
          <cell r="I444" t="str">
            <v>Alhashmi,Abdulla</v>
          </cell>
          <cell r="J444" t="str">
            <v>SSIS</v>
          </cell>
        </row>
        <row r="445">
          <cell r="A445">
            <v>206200800</v>
          </cell>
          <cell r="B445" t="str">
            <v>ssebamom</v>
          </cell>
          <cell r="C445" t="str">
            <v>Mike,Ssebamobe</v>
          </cell>
          <cell r="D445">
            <v>11043570</v>
          </cell>
          <cell r="E445">
            <v>1299</v>
          </cell>
          <cell r="F445" t="str">
            <v>Mon Oct 06 00:00:00 UTC 2025</v>
          </cell>
          <cell r="G445" t="str">
            <v>3PTY</v>
          </cell>
          <cell r="H445" t="str">
            <v>Active</v>
          </cell>
          <cell r="I445" t="str">
            <v>elrashid,Hassan</v>
          </cell>
          <cell r="J445" t="str">
            <v>FLO</v>
          </cell>
        </row>
        <row r="446">
          <cell r="A446">
            <v>203752451</v>
          </cell>
          <cell r="B446" t="str">
            <v>rupurkut</v>
          </cell>
          <cell r="C446" t="str">
            <v>Purkuti,Ruth</v>
          </cell>
          <cell r="D446">
            <v>13917443</v>
          </cell>
          <cell r="E446">
            <v>1299</v>
          </cell>
          <cell r="F446" t="str">
            <v>Mon Jul 29 00:00:00 UTC 2024</v>
          </cell>
          <cell r="G446" t="str">
            <v>3PTY</v>
          </cell>
          <cell r="H446" t="str">
            <v>Active</v>
          </cell>
          <cell r="I446" t="str">
            <v>Akhtar,Muhammad Zohaib</v>
          </cell>
          <cell r="J446" t="str">
            <v>WOFZ</v>
          </cell>
        </row>
        <row r="447">
          <cell r="A447">
            <v>206957734</v>
          </cell>
          <cell r="B447" t="str">
            <v>wekejose</v>
          </cell>
          <cell r="C447" t="str">
            <v>Wekesa,Joseph</v>
          </cell>
          <cell r="D447">
            <v>12550017</v>
          </cell>
          <cell r="E447">
            <v>1299</v>
          </cell>
          <cell r="F447" t="str">
            <v>Mon Jan 26 00:00:00 UTC 2026</v>
          </cell>
          <cell r="G447" t="str">
            <v>3PTY</v>
          </cell>
          <cell r="H447" t="str">
            <v>Active</v>
          </cell>
          <cell r="I447" t="str">
            <v>Sohail,Anis</v>
          </cell>
          <cell r="J447" t="str">
            <v>EFSV</v>
          </cell>
        </row>
        <row r="448">
          <cell r="A448">
            <v>206926478</v>
          </cell>
          <cell r="B448" t="str">
            <v>mwakagod</v>
          </cell>
          <cell r="C448" t="str">
            <v>MWAKA,GODWIN</v>
          </cell>
          <cell r="D448">
            <v>12280476</v>
          </cell>
          <cell r="E448">
            <v>1299</v>
          </cell>
          <cell r="F448" t="str">
            <v>Thu Jan 15 00:00:00 UTC 2026</v>
          </cell>
          <cell r="G448" t="str">
            <v>3PTY</v>
          </cell>
          <cell r="H448" t="str">
            <v>Active</v>
          </cell>
          <cell r="I448" t="str">
            <v>Thomas,Binil</v>
          </cell>
          <cell r="J448" t="str">
            <v>DULS</v>
          </cell>
        </row>
        <row r="449">
          <cell r="A449">
            <v>203800280</v>
          </cell>
          <cell r="B449" t="str">
            <v>bhanksun</v>
          </cell>
          <cell r="C449" t="str">
            <v>BHANDARI,SUNIL</v>
          </cell>
          <cell r="D449">
            <v>14983961</v>
          </cell>
          <cell r="E449">
            <v>1299</v>
          </cell>
          <cell r="F449" t="str">
            <v>Fri Aug 09 00:00:00 UTC 2024</v>
          </cell>
          <cell r="G449" t="str">
            <v>3PTY</v>
          </cell>
          <cell r="H449" t="str">
            <v>Active</v>
          </cell>
          <cell r="I449" t="str">
            <v>Rajendran,Ajith Kumar</v>
          </cell>
          <cell r="J449" t="str">
            <v>KBTS</v>
          </cell>
        </row>
        <row r="450">
          <cell r="A450">
            <v>206906443</v>
          </cell>
          <cell r="B450" t="str">
            <v>frmayeng</v>
          </cell>
          <cell r="C450" t="str">
            <v>MAYENGO,FRANK</v>
          </cell>
          <cell r="D450">
            <v>12284796</v>
          </cell>
          <cell r="E450">
            <v>1299</v>
          </cell>
          <cell r="F450" t="str">
            <v>Thu Jan 08 00:00:00 UTC 2026</v>
          </cell>
          <cell r="G450" t="str">
            <v>3PTY</v>
          </cell>
          <cell r="H450" t="str">
            <v>Active</v>
          </cell>
          <cell r="I450" t="str">
            <v>Lakkireddy,Sai Raghavendra Reddy</v>
          </cell>
          <cell r="J450" t="str">
            <v>DULS</v>
          </cell>
        </row>
        <row r="451">
          <cell r="A451">
            <v>206128580</v>
          </cell>
          <cell r="B451" t="str">
            <v>kuncarol</v>
          </cell>
          <cell r="C451" t="str">
            <v>Kungu,Caroline Wanja</v>
          </cell>
          <cell r="D451">
            <v>13800260</v>
          </cell>
          <cell r="E451">
            <v>1299</v>
          </cell>
          <cell r="F451" t="str">
            <v>Mon Sep 29 00:00:00 UTC 2025</v>
          </cell>
          <cell r="G451" t="str">
            <v>3PTY</v>
          </cell>
          <cell r="H451" t="str">
            <v>Active</v>
          </cell>
          <cell r="I451" t="str">
            <v>Narshad,Muhammad Ashik</v>
          </cell>
          <cell r="J451" t="str">
            <v>EFSV</v>
          </cell>
        </row>
        <row r="452">
          <cell r="A452">
            <v>205996131</v>
          </cell>
          <cell r="B452" t="str">
            <v>randniia</v>
          </cell>
          <cell r="C452" t="str">
            <v>NII ARYEETY,RANDY</v>
          </cell>
          <cell r="D452">
            <v>11854553</v>
          </cell>
          <cell r="E452">
            <v>1299</v>
          </cell>
          <cell r="F452" t="str">
            <v>Mon Sep 15 00:00:00 UTC 2025</v>
          </cell>
          <cell r="G452" t="str">
            <v>3PTY</v>
          </cell>
          <cell r="H452" t="str">
            <v>Active</v>
          </cell>
          <cell r="I452" t="str">
            <v>Scaria,Varghese</v>
          </cell>
          <cell r="J452" t="str">
            <v>FLO</v>
          </cell>
        </row>
        <row r="453">
          <cell r="A453">
            <v>204072302</v>
          </cell>
          <cell r="B453" t="str">
            <v>kkibehar</v>
          </cell>
          <cell r="C453" t="str">
            <v>KIBENGO,HARUNAH</v>
          </cell>
          <cell r="D453">
            <v>13294965</v>
          </cell>
          <cell r="E453">
            <v>1299</v>
          </cell>
          <cell r="F453" t="str">
            <v>Mon Jan 27 00:00:00 UTC 2025</v>
          </cell>
          <cell r="G453" t="str">
            <v>3PTY</v>
          </cell>
          <cell r="H453" t="str">
            <v>Active</v>
          </cell>
          <cell r="I453" t="str">
            <v>Lakkireddy,Sai Raghavendra Reddy</v>
          </cell>
          <cell r="J453" t="str">
            <v>DULS</v>
          </cell>
        </row>
        <row r="454">
          <cell r="A454">
            <v>203995362</v>
          </cell>
          <cell r="B454" t="str">
            <v>anssenku</v>
          </cell>
          <cell r="C454" t="str">
            <v>SSENKUNJA,ANDREW</v>
          </cell>
          <cell r="D454">
            <v>13544604</v>
          </cell>
          <cell r="E454">
            <v>1299</v>
          </cell>
          <cell r="F454" t="str">
            <v>Mon Jan 27 00:00:00 UTC 2025</v>
          </cell>
          <cell r="G454" t="str">
            <v>3PTY</v>
          </cell>
          <cell r="H454" t="str">
            <v>Active</v>
          </cell>
          <cell r="I454" t="str">
            <v>Sohail,Anis</v>
          </cell>
          <cell r="J454" t="str">
            <v>DULS</v>
          </cell>
        </row>
        <row r="455">
          <cell r="A455">
            <v>203635497</v>
          </cell>
          <cell r="B455" t="str">
            <v>fotsigeo</v>
          </cell>
          <cell r="C455" t="str">
            <v>Fotsing,Georgy Omer  Dorian</v>
          </cell>
          <cell r="D455">
            <v>13368578</v>
          </cell>
          <cell r="E455">
            <v>1299</v>
          </cell>
          <cell r="F455" t="str">
            <v>Tue Oct 08 00:00:00 UTC 2024</v>
          </cell>
          <cell r="G455" t="str">
            <v>3PTY</v>
          </cell>
          <cell r="H455" t="str">
            <v>Active</v>
          </cell>
          <cell r="I455" t="str">
            <v>Sohail,Anis</v>
          </cell>
          <cell r="J455" t="str">
            <v>FLO</v>
          </cell>
        </row>
        <row r="456">
          <cell r="A456">
            <v>205845549</v>
          </cell>
          <cell r="B456" t="str">
            <v>ayshedra</v>
          </cell>
          <cell r="C456" t="str">
            <v>AYEBAZIBWE,SHEDRACK</v>
          </cell>
          <cell r="D456">
            <v>13944068</v>
          </cell>
          <cell r="E456">
            <v>1299</v>
          </cell>
          <cell r="F456" t="str">
            <v>Mon Aug 25 00:00:00 UTC 2025</v>
          </cell>
          <cell r="G456" t="str">
            <v>3PTY</v>
          </cell>
          <cell r="H456" t="str">
            <v>Active</v>
          </cell>
          <cell r="I456" t="str">
            <v>Ansari,Ammar Abdullah</v>
          </cell>
          <cell r="J456" t="str">
            <v>DULS</v>
          </cell>
        </row>
        <row r="457">
          <cell r="A457">
            <v>204029059</v>
          </cell>
          <cell r="B457" t="str">
            <v>qmkha</v>
          </cell>
          <cell r="C457" t="str">
            <v>Khan,Mohammad Feroz</v>
          </cell>
          <cell r="D457">
            <v>13477994</v>
          </cell>
          <cell r="E457">
            <v>1299</v>
          </cell>
          <cell r="F457" t="str">
            <v>Sun Sep 15 00:00:00 UTC 2024</v>
          </cell>
          <cell r="G457" t="str">
            <v>3PTY</v>
          </cell>
          <cell r="H457" t="str">
            <v>Active</v>
          </cell>
          <cell r="I457" t="str">
            <v>Akhtar,Muhammad Zohaib</v>
          </cell>
          <cell r="J457" t="str">
            <v>WOFZ</v>
          </cell>
        </row>
        <row r="458">
          <cell r="A458">
            <v>203679318</v>
          </cell>
          <cell r="B458" t="str">
            <v>julieoky</v>
          </cell>
          <cell r="C458" t="str">
            <v>Okyere,Julier</v>
          </cell>
          <cell r="D458">
            <v>12394331</v>
          </cell>
          <cell r="E458">
            <v>1299</v>
          </cell>
          <cell r="F458" t="str">
            <v>Mon Jul 15 00:00:00 UTC 2024</v>
          </cell>
          <cell r="G458" t="str">
            <v>3PTY</v>
          </cell>
          <cell r="H458" t="str">
            <v>Active</v>
          </cell>
          <cell r="I458" t="str">
            <v>Meera,Bava Bahrudeen</v>
          </cell>
          <cell r="J458" t="str">
            <v>FLO</v>
          </cell>
        </row>
        <row r="459">
          <cell r="A459">
            <v>204172230</v>
          </cell>
          <cell r="B459" t="str">
            <v>musisrop</v>
          </cell>
          <cell r="C459" t="str">
            <v>MUSISI,ROBERT</v>
          </cell>
          <cell r="D459">
            <v>12947238</v>
          </cell>
          <cell r="E459">
            <v>1299</v>
          </cell>
          <cell r="F459" t="str">
            <v>Thu Oct 03 00:00:00 UTC 2024</v>
          </cell>
          <cell r="G459" t="str">
            <v>3PTY</v>
          </cell>
          <cell r="H459" t="str">
            <v>Active</v>
          </cell>
          <cell r="I459" t="str">
            <v>Narshad,Muhammad Ashik</v>
          </cell>
          <cell r="J459" t="str">
            <v>DULS</v>
          </cell>
        </row>
        <row r="460">
          <cell r="A460">
            <v>203965411</v>
          </cell>
          <cell r="B460" t="str">
            <v>joboateq</v>
          </cell>
          <cell r="C460" t="str">
            <v>Boateng Opoku,John</v>
          </cell>
          <cell r="D460">
            <v>14468824</v>
          </cell>
          <cell r="E460">
            <v>1299</v>
          </cell>
          <cell r="F460" t="str">
            <v>Mon Sep 09 00:00:00 UTC 2024</v>
          </cell>
          <cell r="G460" t="str">
            <v>3PTY</v>
          </cell>
          <cell r="H460" t="str">
            <v>Active</v>
          </cell>
          <cell r="I460" t="str">
            <v>Lakkireddy,Sai Raghavendra Reddy</v>
          </cell>
          <cell r="J460" t="str">
            <v>FLO</v>
          </cell>
        </row>
        <row r="461">
          <cell r="A461">
            <v>205435689</v>
          </cell>
          <cell r="B461" t="str">
            <v>precmgon</v>
          </cell>
          <cell r="C461" t="str">
            <v>M. Gonzaga,Precelia</v>
          </cell>
          <cell r="D461">
            <v>11684773</v>
          </cell>
          <cell r="E461">
            <v>1172</v>
          </cell>
          <cell r="F461" t="str">
            <v>Wed Jun 11 00:00:00 UTC 2025</v>
          </cell>
          <cell r="G461" t="str">
            <v>3PTY</v>
          </cell>
          <cell r="H461" t="str">
            <v>Active</v>
          </cell>
          <cell r="I461" t="str">
            <v>Kumar,Arun</v>
          </cell>
          <cell r="J461" t="str">
            <v>EMIR</v>
          </cell>
        </row>
        <row r="462">
          <cell r="A462">
            <v>203521131</v>
          </cell>
          <cell r="B462" t="str">
            <v>ndedjose</v>
          </cell>
          <cell r="C462" t="str">
            <v>Ndede,Joseph</v>
          </cell>
          <cell r="D462">
            <v>298880</v>
          </cell>
          <cell r="E462">
            <v>1299</v>
          </cell>
          <cell r="F462" t="str">
            <v>Thu Jun 20 00:00:00 UTC 2024</v>
          </cell>
          <cell r="G462" t="str">
            <v>3PTY</v>
          </cell>
          <cell r="H462" t="str">
            <v>Active</v>
          </cell>
          <cell r="I462" t="str">
            <v>Katyal,Varun</v>
          </cell>
          <cell r="J462" t="str">
            <v>FLO</v>
          </cell>
        </row>
        <row r="463">
          <cell r="A463">
            <v>204883087</v>
          </cell>
          <cell r="B463" t="str">
            <v>firstmup</v>
          </cell>
          <cell r="C463" t="str">
            <v>Mupetiwa,First</v>
          </cell>
          <cell r="D463">
            <v>11682721</v>
          </cell>
          <cell r="E463">
            <v>1299</v>
          </cell>
          <cell r="F463" t="str">
            <v>Mon Feb 03 00:00:00 UTC 2025</v>
          </cell>
          <cell r="G463" t="str">
            <v>3PTY</v>
          </cell>
          <cell r="H463" t="str">
            <v>Active</v>
          </cell>
          <cell r="I463" t="str">
            <v>Dinberu,Eden</v>
          </cell>
          <cell r="J463" t="str">
            <v>QUES</v>
          </cell>
        </row>
        <row r="464">
          <cell r="A464">
            <v>206199998</v>
          </cell>
          <cell r="B464" t="str">
            <v>djoegich</v>
          </cell>
          <cell r="C464" t="str">
            <v>JOE GICHUHI,DENNIS</v>
          </cell>
          <cell r="D464">
            <v>14775362</v>
          </cell>
          <cell r="E464">
            <v>1299</v>
          </cell>
          <cell r="F464" t="str">
            <v>Mon Oct 06 00:00:00 UTC 2025</v>
          </cell>
          <cell r="G464" t="str">
            <v>3PTY</v>
          </cell>
          <cell r="H464" t="str">
            <v>Active</v>
          </cell>
          <cell r="I464" t="str">
            <v>Narshad,Muhammad Ashik</v>
          </cell>
          <cell r="J464" t="str">
            <v>FLO</v>
          </cell>
        </row>
        <row r="465">
          <cell r="A465">
            <v>207068717</v>
          </cell>
          <cell r="B465" t="str">
            <v>bhsabina</v>
          </cell>
          <cell r="C465" t="str">
            <v>Bhlon,Sabina</v>
          </cell>
          <cell r="D465">
            <v>216661</v>
          </cell>
          <cell r="E465">
            <v>1712</v>
          </cell>
          <cell r="F465" t="str">
            <v>Mon Feb 23 00:00:00 UTC 2026</v>
          </cell>
          <cell r="G465" t="str">
            <v>3PTY</v>
          </cell>
          <cell r="H465" t="str">
            <v>Active</v>
          </cell>
          <cell r="I465" t="str">
            <v>AbdElhakim,Ammar</v>
          </cell>
          <cell r="J465" t="str">
            <v>KBTS</v>
          </cell>
        </row>
        <row r="466">
          <cell r="A466">
            <v>203736777</v>
          </cell>
          <cell r="B466" t="str">
            <v>minkhine</v>
          </cell>
          <cell r="C466" t="str">
            <v>Khine,Min Thway</v>
          </cell>
          <cell r="D466">
            <v>13934911</v>
          </cell>
          <cell r="E466">
            <v>1299</v>
          </cell>
          <cell r="F466" t="str">
            <v>Mon Jul 29 00:00:00 UTC 2024</v>
          </cell>
          <cell r="G466" t="str">
            <v>3PTY</v>
          </cell>
          <cell r="H466" t="str">
            <v>Active</v>
          </cell>
          <cell r="I466" t="str">
            <v>Katyal,Varun</v>
          </cell>
          <cell r="J466" t="str">
            <v>ADEC</v>
          </cell>
        </row>
        <row r="467">
          <cell r="A467">
            <v>108196835</v>
          </cell>
          <cell r="B467" t="str">
            <v>tendoc</v>
          </cell>
          <cell r="C467" t="str">
            <v>Tendongmo,Cedrick Nkemju</v>
          </cell>
          <cell r="D467">
            <v>13842841</v>
          </cell>
          <cell r="E467">
            <v>1299</v>
          </cell>
          <cell r="F467" t="str">
            <v>Thu Oct 24 00:00:00 UTC 2024</v>
          </cell>
          <cell r="G467" t="str">
            <v>3PTY</v>
          </cell>
          <cell r="H467" t="str">
            <v>Active</v>
          </cell>
          <cell r="I467" t="str">
            <v>Thomas,Binil</v>
          </cell>
          <cell r="J467" t="str">
            <v>QUES</v>
          </cell>
        </row>
        <row r="468">
          <cell r="A468">
            <v>206890216</v>
          </cell>
          <cell r="B468" t="str">
            <v>cheropeg</v>
          </cell>
          <cell r="C468" t="str">
            <v>CHEROP,GRASHA</v>
          </cell>
          <cell r="D468">
            <v>11735730</v>
          </cell>
          <cell r="E468">
            <v>1299</v>
          </cell>
          <cell r="F468" t="str">
            <v>Mon Jan 05 00:00:00 UTC 2026</v>
          </cell>
          <cell r="G468" t="str">
            <v>3PTY</v>
          </cell>
          <cell r="H468" t="str">
            <v>Active</v>
          </cell>
          <cell r="I468" t="str">
            <v>Ansari,Ammar Abdullah</v>
          </cell>
          <cell r="J468" t="str">
            <v>EFSV</v>
          </cell>
        </row>
        <row r="469">
          <cell r="A469">
            <v>206897652</v>
          </cell>
          <cell r="B469" t="str">
            <v>vwillgeo</v>
          </cell>
          <cell r="C469" t="str">
            <v>WILLIAM SSEBUMPENJE,GEORGE</v>
          </cell>
          <cell r="D469">
            <v>11698975</v>
          </cell>
          <cell r="E469">
            <v>1299</v>
          </cell>
          <cell r="F469" t="str">
            <v>Thu Jan 08 00:00:00 UTC 2026</v>
          </cell>
          <cell r="G469" t="str">
            <v>3PTY</v>
          </cell>
          <cell r="H469" t="str">
            <v>Active</v>
          </cell>
          <cell r="I469" t="str">
            <v>Narshad,Muhammad Ashik</v>
          </cell>
          <cell r="J469" t="str">
            <v>FLO</v>
          </cell>
        </row>
        <row r="470">
          <cell r="A470">
            <v>203468752</v>
          </cell>
          <cell r="B470" t="str">
            <v>temmaaku</v>
          </cell>
          <cell r="C470" t="str">
            <v>Akuffo,Emmanuel</v>
          </cell>
          <cell r="D470">
            <v>11471135</v>
          </cell>
          <cell r="E470">
            <v>1299</v>
          </cell>
          <cell r="F470" t="str">
            <v>Thu Jun 13 00:00:00 UTC 2024</v>
          </cell>
          <cell r="G470" t="str">
            <v>3PTY</v>
          </cell>
          <cell r="H470" t="str">
            <v>Active</v>
          </cell>
          <cell r="I470" t="str">
            <v>Thomas,Binil</v>
          </cell>
          <cell r="J470" t="str">
            <v>FLO</v>
          </cell>
        </row>
        <row r="471">
          <cell r="A471">
            <v>205608882</v>
          </cell>
          <cell r="B471" t="str">
            <v>stepagye</v>
          </cell>
          <cell r="C471" t="str">
            <v>AGYEI,STEPHEN</v>
          </cell>
          <cell r="D471">
            <v>13501255</v>
          </cell>
          <cell r="E471">
            <v>1299</v>
          </cell>
          <cell r="F471" t="str">
            <v>Mon Jul 07 00:00:00 UTC 2025</v>
          </cell>
          <cell r="G471" t="str">
            <v>3PTY</v>
          </cell>
          <cell r="H471" t="str">
            <v>Active</v>
          </cell>
          <cell r="I471" t="str">
            <v>Meera,Bava Bahrudeen</v>
          </cell>
          <cell r="J471" t="str">
            <v>DULS</v>
          </cell>
        </row>
        <row r="472">
          <cell r="A472">
            <v>203965502</v>
          </cell>
          <cell r="B472" t="str">
            <v>gikwameg</v>
          </cell>
          <cell r="C472" t="str">
            <v>Kwame Gyasi,Gideon</v>
          </cell>
          <cell r="D472">
            <v>12641098</v>
          </cell>
          <cell r="E472">
            <v>1299</v>
          </cell>
          <cell r="F472" t="str">
            <v>Mon Sep 09 00:00:00 UTC 2024</v>
          </cell>
          <cell r="G472" t="str">
            <v>3PTY</v>
          </cell>
          <cell r="H472" t="str">
            <v>Active</v>
          </cell>
          <cell r="I472" t="str">
            <v>Katyal,Varun</v>
          </cell>
          <cell r="J472" t="str">
            <v>FLO</v>
          </cell>
        </row>
        <row r="473">
          <cell r="A473">
            <v>205252538</v>
          </cell>
          <cell r="B473" t="str">
            <v>fanqgise</v>
          </cell>
          <cell r="C473" t="str">
            <v>Fang,Giselle Fuen</v>
          </cell>
          <cell r="D473">
            <v>13699393</v>
          </cell>
          <cell r="E473">
            <v>1299</v>
          </cell>
          <cell r="F473" t="str">
            <v>Tue Aug 04 00:00:00 UTC 2026</v>
          </cell>
          <cell r="G473" t="str">
            <v>3PTY</v>
          </cell>
          <cell r="H473" t="str">
            <v>Active</v>
          </cell>
          <cell r="I473" t="str">
            <v>Narshad,Muhammad Ashik</v>
          </cell>
          <cell r="J473" t="str">
            <v>EFSV</v>
          </cell>
        </row>
        <row r="474">
          <cell r="A474">
            <v>206239521</v>
          </cell>
          <cell r="B474" t="str">
            <v>daviboag</v>
          </cell>
          <cell r="C474" t="str">
            <v>DAVID,BOATENG</v>
          </cell>
          <cell r="D474">
            <v>11541120</v>
          </cell>
          <cell r="E474">
            <v>1299</v>
          </cell>
          <cell r="F474" t="str">
            <v>Mon Oct 13 00:00:00 UTC 2025</v>
          </cell>
          <cell r="G474" t="str">
            <v>3PTY</v>
          </cell>
          <cell r="H474" t="str">
            <v>Active</v>
          </cell>
          <cell r="I474" t="str">
            <v>Scaria,Varghese</v>
          </cell>
          <cell r="J474" t="str">
            <v>DULS</v>
          </cell>
        </row>
        <row r="475">
          <cell r="A475">
            <v>206953812</v>
          </cell>
          <cell r="B475" t="str">
            <v>magepaul</v>
          </cell>
          <cell r="C475" t="str">
            <v>MAGEMBE,PAUL</v>
          </cell>
          <cell r="D475">
            <v>15248311</v>
          </cell>
          <cell r="E475">
            <v>1299</v>
          </cell>
          <cell r="F475" t="str">
            <v>Mon Jan 26 00:00:00 UTC 2026</v>
          </cell>
          <cell r="G475" t="str">
            <v>3PTY</v>
          </cell>
          <cell r="H475" t="str">
            <v>Active</v>
          </cell>
          <cell r="I475" t="str">
            <v>Meera,Bava Bahrudeen</v>
          </cell>
          <cell r="J475" t="str">
            <v>DULS</v>
          </cell>
        </row>
        <row r="476">
          <cell r="A476">
            <v>204009355</v>
          </cell>
          <cell r="B476" t="str">
            <v>emmamusi</v>
          </cell>
          <cell r="C476" t="str">
            <v>MUSIIME,EMMANUEL</v>
          </cell>
          <cell r="D476">
            <v>13141431</v>
          </cell>
          <cell r="E476">
            <v>1299</v>
          </cell>
          <cell r="F476" t="str">
            <v>Mon Sep 16 00:00:00 UTC 2024</v>
          </cell>
          <cell r="G476" t="str">
            <v>3PTY</v>
          </cell>
          <cell r="H476" t="str">
            <v>Active</v>
          </cell>
          <cell r="I476" t="str">
            <v>Ansari,Ammar Abdullah</v>
          </cell>
          <cell r="J476" t="str">
            <v>DULS</v>
          </cell>
        </row>
        <row r="477">
          <cell r="A477">
            <v>204138114</v>
          </cell>
          <cell r="B477" t="str">
            <v>mohamkav</v>
          </cell>
          <cell r="C477" t="str">
            <v>Kamara,Mohamed S</v>
          </cell>
          <cell r="D477">
            <v>13160127</v>
          </cell>
          <cell r="E477">
            <v>1299</v>
          </cell>
          <cell r="F477" t="str">
            <v>Mon Sep 30 00:00:00 UTC 2024</v>
          </cell>
          <cell r="G477" t="str">
            <v>3PTY</v>
          </cell>
          <cell r="H477" t="str">
            <v>Active</v>
          </cell>
          <cell r="I477" t="str">
            <v>Scaria,Varghese</v>
          </cell>
          <cell r="J477" t="str">
            <v>QUES</v>
          </cell>
        </row>
        <row r="478">
          <cell r="A478">
            <v>203469399</v>
          </cell>
          <cell r="B478" t="str">
            <v>everxmil</v>
          </cell>
          <cell r="C478" t="str">
            <v>Mills,Everlyne</v>
          </cell>
          <cell r="D478">
            <v>289587</v>
          </cell>
          <cell r="E478">
            <v>1299</v>
          </cell>
          <cell r="F478" t="str">
            <v>Thu Jun 13 00:00:00 UTC 2024</v>
          </cell>
          <cell r="G478" t="str">
            <v>3PTY</v>
          </cell>
          <cell r="H478" t="str">
            <v>Active</v>
          </cell>
          <cell r="I478" t="str">
            <v>Sohail,Anis</v>
          </cell>
          <cell r="J478" t="str">
            <v>ADEC</v>
          </cell>
        </row>
        <row r="479">
          <cell r="A479">
            <v>207871329</v>
          </cell>
          <cell r="B479" t="str">
            <v>nrajeevo</v>
          </cell>
          <cell r="C479" t="str">
            <v>Narayanan puliyulla valappil,Rajeevan Kaiprath</v>
          </cell>
          <cell r="D479">
            <v>12117342</v>
          </cell>
          <cell r="E479">
            <v>1316</v>
          </cell>
          <cell r="F479" t="str">
            <v>Sat Jul 04 00:00:00 UTC 2026</v>
          </cell>
          <cell r="G479" t="str">
            <v>3PTY</v>
          </cell>
          <cell r="H479" t="str">
            <v>Active</v>
          </cell>
          <cell r="I479" t="str">
            <v>Akhtar,Muhammad Zohaib</v>
          </cell>
          <cell r="J479" t="str">
            <v>WOFZ</v>
          </cell>
        </row>
        <row r="480">
          <cell r="A480">
            <v>207865022</v>
          </cell>
          <cell r="B480" t="str">
            <v>nakhayei</v>
          </cell>
          <cell r="C480" t="str">
            <v>Nakhayenka,Ihar</v>
          </cell>
          <cell r="D480">
            <v>11945752</v>
          </cell>
          <cell r="E480">
            <v>1200</v>
          </cell>
          <cell r="F480" t="str">
            <v>Sun Jul 05 00:00:00 UTC 2026</v>
          </cell>
          <cell r="G480" t="str">
            <v>3PTY</v>
          </cell>
          <cell r="H480" t="str">
            <v>Active</v>
          </cell>
          <cell r="I480" t="str">
            <v>Alhashmi,Abdulla</v>
          </cell>
          <cell r="J480" t="str">
            <v>SSIS</v>
          </cell>
        </row>
        <row r="481">
          <cell r="A481">
            <v>205152121</v>
          </cell>
          <cell r="B481" t="str">
            <v>jafbmoha</v>
          </cell>
          <cell r="C481" t="str">
            <v>JAFAR ALI,MOHAMED NASAR</v>
          </cell>
          <cell r="D481">
            <v>13031471</v>
          </cell>
          <cell r="E481">
            <v>1712</v>
          </cell>
          <cell r="F481" t="str">
            <v>Mon Apr 14 00:00:00 UTC 2025</v>
          </cell>
          <cell r="G481" t="str">
            <v>3PTY</v>
          </cell>
          <cell r="H481" t="str">
            <v>Active</v>
          </cell>
          <cell r="I481" t="str">
            <v>Rizvan,Mohamed</v>
          </cell>
          <cell r="J481" t="str">
            <v>BHIZ</v>
          </cell>
        </row>
        <row r="482">
          <cell r="A482">
            <v>207867364</v>
          </cell>
          <cell r="B482" t="str">
            <v>soursath</v>
          </cell>
          <cell r="C482" t="str">
            <v>Satheesan Valavath Balan,Sourav Valavath</v>
          </cell>
          <cell r="D482">
            <v>12969372</v>
          </cell>
          <cell r="E482">
            <v>1200</v>
          </cell>
          <cell r="F482" t="str">
            <v>Fri Jul 03 00:00:00 UTC 2026</v>
          </cell>
          <cell r="G482" t="str">
            <v>3PTY</v>
          </cell>
          <cell r="H482" t="str">
            <v>Active</v>
          </cell>
          <cell r="I482" t="str">
            <v>Alhashmi,Abdulla</v>
          </cell>
          <cell r="J482" t="str">
            <v>SSIS</v>
          </cell>
        </row>
        <row r="483">
          <cell r="A483">
            <v>206175107</v>
          </cell>
          <cell r="B483" t="str">
            <v>mwansamw</v>
          </cell>
          <cell r="C483" t="str">
            <v>Mwangi Kamau,Samwel</v>
          </cell>
          <cell r="D483">
            <v>11507887</v>
          </cell>
          <cell r="E483">
            <v>1299</v>
          </cell>
          <cell r="F483" t="str">
            <v>Thu Oct 02 00:00:00 UTC 2025</v>
          </cell>
          <cell r="G483" t="str">
            <v>3PTY</v>
          </cell>
          <cell r="H483" t="str">
            <v>Active</v>
          </cell>
          <cell r="I483" t="str">
            <v>Meera,Bava Bahrudeen</v>
          </cell>
          <cell r="J483" t="str">
            <v>FLO</v>
          </cell>
        </row>
        <row r="484">
          <cell r="A484">
            <v>203796750</v>
          </cell>
          <cell r="B484" t="str">
            <v>ramsemap</v>
          </cell>
          <cell r="C484" t="str">
            <v>SEMAJONGI,RAMDHAN</v>
          </cell>
          <cell r="D484">
            <v>14312891</v>
          </cell>
          <cell r="E484">
            <v>1299</v>
          </cell>
          <cell r="F484" t="str">
            <v>Mon Aug 12 00:00:00 UTC 2024</v>
          </cell>
          <cell r="G484" t="str">
            <v>3PTY</v>
          </cell>
          <cell r="H484" t="str">
            <v>Active</v>
          </cell>
          <cell r="I484" t="str">
            <v>Katyal,Varun</v>
          </cell>
          <cell r="J484" t="str">
            <v>FLO</v>
          </cell>
        </row>
        <row r="485">
          <cell r="A485">
            <v>203555401</v>
          </cell>
          <cell r="B485" t="str">
            <v>chingmel</v>
          </cell>
          <cell r="C485" t="str">
            <v>Chingore,Melody</v>
          </cell>
          <cell r="D485">
            <v>11911526</v>
          </cell>
          <cell r="E485">
            <v>1299</v>
          </cell>
          <cell r="F485" t="str">
            <v>Thu Jun 27 00:00:00 UTC 2024</v>
          </cell>
          <cell r="G485" t="str">
            <v>3PTY</v>
          </cell>
          <cell r="H485" t="str">
            <v>Active</v>
          </cell>
          <cell r="I485" t="str">
            <v>Meera,Bava Bahrudeen</v>
          </cell>
          <cell r="J485" t="str">
            <v>FLO</v>
          </cell>
        </row>
        <row r="486">
          <cell r="A486">
            <v>206260771</v>
          </cell>
          <cell r="B486" t="str">
            <v>kagwstev</v>
          </cell>
          <cell r="C486" t="str">
            <v>Kagwa,Steve</v>
          </cell>
          <cell r="D486">
            <v>13040880</v>
          </cell>
          <cell r="E486">
            <v>1712</v>
          </cell>
          <cell r="F486" t="str">
            <v>Sun Oct 12 00:00:00 UTC 2025</v>
          </cell>
          <cell r="G486" t="str">
            <v>3PTY</v>
          </cell>
          <cell r="H486" t="str">
            <v>Active</v>
          </cell>
          <cell r="I486" t="str">
            <v>Rizvan,Mohamed</v>
          </cell>
          <cell r="J486" t="str">
            <v>KBTS</v>
          </cell>
        </row>
        <row r="487">
          <cell r="A487">
            <v>203908351</v>
          </cell>
          <cell r="B487" t="str">
            <v>nmpakkas</v>
          </cell>
          <cell r="C487" t="str">
            <v>Mpaka,Kassim Hija</v>
          </cell>
          <cell r="D487">
            <v>13685896</v>
          </cell>
          <cell r="E487">
            <v>1299</v>
          </cell>
          <cell r="F487" t="str">
            <v>Mon Sep 02 00:00:00 UTC 2024</v>
          </cell>
          <cell r="G487" t="str">
            <v>3PTY</v>
          </cell>
          <cell r="H487" t="str">
            <v>Active</v>
          </cell>
          <cell r="I487" t="str">
            <v>elrashid,Hassan</v>
          </cell>
          <cell r="J487" t="str">
            <v>FLO</v>
          </cell>
        </row>
        <row r="488">
          <cell r="A488">
            <v>206953970</v>
          </cell>
          <cell r="B488" t="str">
            <v>misaelst</v>
          </cell>
          <cell r="C488" t="str">
            <v>BULIANI,MISAEL STEVEN</v>
          </cell>
          <cell r="D488">
            <v>14168448</v>
          </cell>
          <cell r="E488">
            <v>1299</v>
          </cell>
          <cell r="F488" t="str">
            <v>Wed Jan 28 00:00:00 UTC 2026</v>
          </cell>
          <cell r="G488" t="str">
            <v>3PTY</v>
          </cell>
          <cell r="H488" t="str">
            <v>Active</v>
          </cell>
          <cell r="I488" t="str">
            <v>Katyal,Varun</v>
          </cell>
          <cell r="J488" t="str">
            <v>DULS</v>
          </cell>
        </row>
        <row r="489">
          <cell r="A489">
            <v>206846115</v>
          </cell>
          <cell r="B489" t="str">
            <v>ibratuha</v>
          </cell>
          <cell r="C489" t="str">
            <v>ATUHAIRWE,IBRAHIM</v>
          </cell>
          <cell r="D489">
            <v>13922483</v>
          </cell>
          <cell r="E489">
            <v>1299</v>
          </cell>
          <cell r="F489" t="str">
            <v>Mon Dec 22 00:00:00 UTC 2025</v>
          </cell>
          <cell r="G489" t="str">
            <v>3PTY</v>
          </cell>
          <cell r="H489" t="str">
            <v>Active</v>
          </cell>
          <cell r="I489" t="str">
            <v>Katyal,Varun</v>
          </cell>
          <cell r="J489" t="str">
            <v>DULS</v>
          </cell>
        </row>
        <row r="490">
          <cell r="A490">
            <v>203800585</v>
          </cell>
          <cell r="B490" t="str">
            <v>keshanep</v>
          </cell>
          <cell r="C490" t="str">
            <v>NEPALI,KESHAV</v>
          </cell>
          <cell r="D490">
            <v>212529</v>
          </cell>
          <cell r="E490">
            <v>1299</v>
          </cell>
          <cell r="F490" t="str">
            <v>Fri Aug 09 00:00:00 UTC 2024</v>
          </cell>
          <cell r="G490" t="str">
            <v>3PTY</v>
          </cell>
          <cell r="H490" t="str">
            <v>Active</v>
          </cell>
          <cell r="I490" t="str">
            <v>Pudhoor,Jibin</v>
          </cell>
          <cell r="J490" t="str">
            <v>KBTS</v>
          </cell>
        </row>
        <row r="491">
          <cell r="A491">
            <v>205830634</v>
          </cell>
          <cell r="B491" t="str">
            <v>josepfrb</v>
          </cell>
          <cell r="C491" t="str">
            <v>Joseph,Franklin</v>
          </cell>
          <cell r="D491">
            <v>14987546</v>
          </cell>
          <cell r="E491">
            <v>1712</v>
          </cell>
          <cell r="F491" t="str">
            <v>Mon Aug 18 00:00:00 UTC 2025</v>
          </cell>
          <cell r="G491" t="str">
            <v>3PTY</v>
          </cell>
          <cell r="H491" t="str">
            <v>Active</v>
          </cell>
          <cell r="I491" t="str">
            <v>POGALA,HAREESH</v>
          </cell>
          <cell r="J491" t="str">
            <v>KBTS</v>
          </cell>
        </row>
        <row r="492">
          <cell r="A492">
            <v>203725680</v>
          </cell>
          <cell r="B492" t="str">
            <v>trdeogra</v>
          </cell>
          <cell r="C492" t="str">
            <v>RWABOONA,DEOGRATIOUS</v>
          </cell>
          <cell r="D492">
            <v>350796</v>
          </cell>
          <cell r="E492">
            <v>1299</v>
          </cell>
          <cell r="F492" t="str">
            <v>Mon Jul 22 00:00:00 UTC 2024</v>
          </cell>
          <cell r="G492" t="str">
            <v>3PTY</v>
          </cell>
          <cell r="H492" t="str">
            <v>Active</v>
          </cell>
          <cell r="I492" t="str">
            <v>Akhtar,Muhammad Zohaib</v>
          </cell>
          <cell r="J492" t="str">
            <v>WOFZ</v>
          </cell>
        </row>
        <row r="493">
          <cell r="A493">
            <v>206953796</v>
          </cell>
          <cell r="B493" t="str">
            <v>elisenco</v>
          </cell>
          <cell r="C493" t="str">
            <v>Colonel,Elise Nyatuka</v>
          </cell>
          <cell r="D493">
            <v>11949846</v>
          </cell>
          <cell r="E493">
            <v>1299</v>
          </cell>
          <cell r="F493" t="str">
            <v>Mon Jan 26 00:00:00 UTC 2026</v>
          </cell>
          <cell r="G493" t="str">
            <v>3PTY</v>
          </cell>
          <cell r="H493" t="str">
            <v>Active</v>
          </cell>
          <cell r="I493" t="str">
            <v>Dinberu,Eden</v>
          </cell>
          <cell r="J493" t="str">
            <v>EFSV</v>
          </cell>
        </row>
        <row r="494">
          <cell r="A494">
            <v>203850879</v>
          </cell>
          <cell r="B494" t="str">
            <v>josompau</v>
          </cell>
          <cell r="C494" t="str">
            <v>Mpaulo,Joshua</v>
          </cell>
          <cell r="D494">
            <v>11438949</v>
          </cell>
          <cell r="E494">
            <v>1299</v>
          </cell>
          <cell r="F494" t="str">
            <v>Tue Aug 20 00:00:00 UTC 2024</v>
          </cell>
          <cell r="G494" t="str">
            <v>3PTY</v>
          </cell>
          <cell r="H494" t="str">
            <v>Active</v>
          </cell>
          <cell r="I494" t="str">
            <v>Ansari,Ammar Abdullah</v>
          </cell>
          <cell r="J494" t="str">
            <v>DULS</v>
          </cell>
        </row>
        <row r="495">
          <cell r="A495">
            <v>205192974</v>
          </cell>
          <cell r="B495" t="str">
            <v>shahuddu</v>
          </cell>
          <cell r="C495" t="str">
            <v>UDDIN,SHAHINUR</v>
          </cell>
          <cell r="D495">
            <v>11114960</v>
          </cell>
          <cell r="E495">
            <v>1287</v>
          </cell>
          <cell r="F495" t="str">
            <v>Wed Apr 23 00:00:00 UTC 2025</v>
          </cell>
          <cell r="G495" t="str">
            <v>3PTY</v>
          </cell>
          <cell r="H495" t="str">
            <v>Active</v>
          </cell>
          <cell r="I495" t="str">
            <v>Ouseph,Vinu</v>
          </cell>
          <cell r="J495" t="str">
            <v>FRIZ</v>
          </cell>
        </row>
        <row r="496">
          <cell r="A496">
            <v>206953791</v>
          </cell>
          <cell r="B496" t="str">
            <v>abubodon</v>
          </cell>
          <cell r="C496" t="str">
            <v>ODONGO,ABUBAKAESWIDIQ</v>
          </cell>
          <cell r="D496">
            <v>14291119</v>
          </cell>
          <cell r="E496">
            <v>1299</v>
          </cell>
          <cell r="F496" t="str">
            <v>Mon Jan 26 00:00:00 UTC 2026</v>
          </cell>
          <cell r="G496" t="str">
            <v>3PTY</v>
          </cell>
          <cell r="H496" t="str">
            <v>Active</v>
          </cell>
          <cell r="I496" t="str">
            <v>Sohail,Anis</v>
          </cell>
          <cell r="J496" t="str">
            <v>DULS</v>
          </cell>
        </row>
        <row r="497">
          <cell r="A497">
            <v>206875145</v>
          </cell>
          <cell r="B497" t="str">
            <v>zinrakib</v>
          </cell>
          <cell r="C497" t="str">
            <v>ZINGIRA,RAKIB</v>
          </cell>
          <cell r="D497">
            <v>11201867</v>
          </cell>
          <cell r="E497">
            <v>1299</v>
          </cell>
          <cell r="F497" t="str">
            <v>Mon Dec 29 00:00:00 UTC 2025</v>
          </cell>
          <cell r="G497" t="str">
            <v>3PTY</v>
          </cell>
          <cell r="H497" t="str">
            <v>Active</v>
          </cell>
          <cell r="I497" t="str">
            <v>Meera,Bava Bahrudeen</v>
          </cell>
          <cell r="J497" t="str">
            <v>DULS</v>
          </cell>
        </row>
        <row r="498">
          <cell r="A498">
            <v>203850770</v>
          </cell>
          <cell r="B498" t="str">
            <v>mugabeoa</v>
          </cell>
          <cell r="C498" t="str">
            <v>Mugabe,Alex</v>
          </cell>
          <cell r="D498">
            <v>12786920</v>
          </cell>
          <cell r="E498">
            <v>1299</v>
          </cell>
          <cell r="F498" t="str">
            <v>Tue Aug 20 00:00:00 UTC 2024</v>
          </cell>
          <cell r="G498" t="str">
            <v>3PTY</v>
          </cell>
          <cell r="H498" t="str">
            <v>Active</v>
          </cell>
          <cell r="I498" t="str">
            <v>Lakkireddy,Sai Raghavendra Reddy</v>
          </cell>
          <cell r="J498" t="str">
            <v>DULS</v>
          </cell>
        </row>
        <row r="499">
          <cell r="A499">
            <v>203813132</v>
          </cell>
          <cell r="B499" t="str">
            <v>ovirajan</v>
          </cell>
          <cell r="C499" t="str">
            <v>RAJAN,VISHNURAJ BABY</v>
          </cell>
          <cell r="D499">
            <v>14110567</v>
          </cell>
          <cell r="E499">
            <v>1299</v>
          </cell>
          <cell r="F499" t="str">
            <v>Tue Aug 13 00:00:00 UTC 2024</v>
          </cell>
          <cell r="G499" t="str">
            <v>3PTY</v>
          </cell>
          <cell r="H499" t="str">
            <v>Active</v>
          </cell>
          <cell r="I499" t="str">
            <v>Meera,Bava Bahrudeen</v>
          </cell>
          <cell r="J499" t="str">
            <v>ADEC</v>
          </cell>
        </row>
        <row r="500">
          <cell r="A500">
            <v>205496022</v>
          </cell>
          <cell r="B500" t="str">
            <v>meswsylv</v>
          </cell>
          <cell r="C500" t="str">
            <v>MESWO,SYLVIA JELAGAT</v>
          </cell>
          <cell r="D500">
            <v>15234628</v>
          </cell>
          <cell r="E500">
            <v>1299</v>
          </cell>
          <cell r="F500" t="str">
            <v>Mon Jun 23 00:00:00 UTC 2025</v>
          </cell>
          <cell r="G500" t="str">
            <v>3PTY</v>
          </cell>
          <cell r="H500" t="str">
            <v>Active</v>
          </cell>
          <cell r="I500" t="str">
            <v>Katyal,Varun</v>
          </cell>
          <cell r="J500" t="str">
            <v>EFSV</v>
          </cell>
        </row>
        <row r="501">
          <cell r="A501">
            <v>207419490</v>
          </cell>
          <cell r="B501" t="str">
            <v>gacheera</v>
          </cell>
          <cell r="C501" t="str">
            <v>HEERALU PATHIRANNEHELAGE,GAYAN SANJEEWA</v>
          </cell>
          <cell r="D501">
            <v>13064710</v>
          </cell>
          <cell r="E501">
            <v>1712</v>
          </cell>
          <cell r="F501" t="str">
            <v>Sat May 02 00:00:00 UTC 2026</v>
          </cell>
          <cell r="G501" t="str">
            <v>3PTY</v>
          </cell>
          <cell r="H501" t="str">
            <v>Active</v>
          </cell>
          <cell r="I501" t="str">
            <v>Rizvan,Mohamed</v>
          </cell>
          <cell r="J501" t="str">
            <v>KBTS</v>
          </cell>
        </row>
        <row r="502">
          <cell r="A502">
            <v>206136722</v>
          </cell>
          <cell r="B502" t="str">
            <v>marymubw</v>
          </cell>
          <cell r="C502" t="str">
            <v>WAUSI,MARY MUTIO</v>
          </cell>
          <cell r="D502">
            <v>14679945</v>
          </cell>
          <cell r="E502">
            <v>1299</v>
          </cell>
          <cell r="F502" t="str">
            <v>Tue Aug 04 00:00:00 UTC 2026</v>
          </cell>
          <cell r="G502" t="str">
            <v>3PTY</v>
          </cell>
          <cell r="H502" t="str">
            <v>Active</v>
          </cell>
          <cell r="I502" t="str">
            <v>Narshad,Muhammad Ashik</v>
          </cell>
          <cell r="J502" t="str">
            <v>EFSV</v>
          </cell>
        </row>
        <row r="503">
          <cell r="A503">
            <v>203513810</v>
          </cell>
          <cell r="B503" t="str">
            <v>bradonku</v>
          </cell>
          <cell r="C503" t="str">
            <v>Kum,Bradon Bin</v>
          </cell>
          <cell r="D503">
            <v>12763029</v>
          </cell>
          <cell r="E503">
            <v>1299</v>
          </cell>
          <cell r="F503" t="str">
            <v>Thu Jun 20 00:00:00 UTC 2024</v>
          </cell>
          <cell r="G503" t="str">
            <v>3PTY</v>
          </cell>
          <cell r="H503" t="str">
            <v>Active</v>
          </cell>
          <cell r="I503" t="str">
            <v>elrashid,Hassan</v>
          </cell>
          <cell r="J503" t="str">
            <v>FLO</v>
          </cell>
        </row>
        <row r="504">
          <cell r="A504">
            <v>204883095</v>
          </cell>
          <cell r="B504" t="str">
            <v>sillahei</v>
          </cell>
          <cell r="C504" t="str">
            <v>SILLAH,IDRISSA</v>
          </cell>
          <cell r="D504">
            <v>15068462</v>
          </cell>
          <cell r="E504">
            <v>1299</v>
          </cell>
          <cell r="F504" t="str">
            <v>Wed Jun 18 00:00:00 UTC 2025</v>
          </cell>
          <cell r="G504" t="str">
            <v>3PTY</v>
          </cell>
          <cell r="H504" t="str">
            <v>Active</v>
          </cell>
          <cell r="I504" t="str">
            <v>Katyal,Varun</v>
          </cell>
          <cell r="J504" t="str">
            <v>DULS</v>
          </cell>
        </row>
        <row r="505">
          <cell r="A505">
            <v>206145766</v>
          </cell>
          <cell r="B505" t="str">
            <v>fuhnclov</v>
          </cell>
          <cell r="C505" t="str">
            <v>FUH NEBA,CLOVIS</v>
          </cell>
          <cell r="D505">
            <v>14532456</v>
          </cell>
          <cell r="E505">
            <v>1299</v>
          </cell>
          <cell r="F505" t="str">
            <v>Mon Sep 29 00:00:00 UTC 2025</v>
          </cell>
          <cell r="G505" t="str">
            <v>3PTY</v>
          </cell>
          <cell r="H505" t="str">
            <v>Active</v>
          </cell>
          <cell r="I505" t="str">
            <v>Scaria,Varghese</v>
          </cell>
          <cell r="J505" t="str">
            <v>FLO</v>
          </cell>
        </row>
        <row r="506">
          <cell r="A506">
            <v>203800421</v>
          </cell>
          <cell r="B506" t="str">
            <v>sukutama</v>
          </cell>
          <cell r="C506" t="str">
            <v>TAMANG,SUKUMAN</v>
          </cell>
          <cell r="D506">
            <v>13781490</v>
          </cell>
          <cell r="E506">
            <v>1299</v>
          </cell>
          <cell r="F506" t="str">
            <v>Fri Aug 09 00:00:00 UTC 2024</v>
          </cell>
          <cell r="G506" t="str">
            <v>3PTY</v>
          </cell>
          <cell r="H506" t="str">
            <v>Active</v>
          </cell>
          <cell r="I506" t="str">
            <v>POGALA,HAREESH</v>
          </cell>
          <cell r="J506" t="str">
            <v>KBTS</v>
          </cell>
        </row>
        <row r="507">
          <cell r="A507">
            <v>206513840</v>
          </cell>
          <cell r="B507" t="str">
            <v>hunshahb</v>
          </cell>
          <cell r="C507" t="str">
            <v>Tariq,Shahbaz</v>
          </cell>
          <cell r="D507">
            <v>14698865</v>
          </cell>
          <cell r="E507">
            <v>1171</v>
          </cell>
          <cell r="F507" t="str">
            <v>Tue Jun 16 00:00:00 UTC 2026</v>
          </cell>
          <cell r="G507" t="str">
            <v>3PTY</v>
          </cell>
          <cell r="H507" t="str">
            <v>Active</v>
          </cell>
          <cell r="I507" t="str">
            <v>Niazi,Mohammad Fazal</v>
          </cell>
          <cell r="J507" t="str">
            <v>GLCR</v>
          </cell>
        </row>
        <row r="508">
          <cell r="A508">
            <v>206846309</v>
          </cell>
          <cell r="B508" t="str">
            <v>muliivan</v>
          </cell>
          <cell r="C508" t="str">
            <v>MULIIKA,IVAN</v>
          </cell>
          <cell r="D508">
            <v>14074251</v>
          </cell>
          <cell r="E508">
            <v>1299</v>
          </cell>
          <cell r="F508" t="str">
            <v>Mon Dec 22 00:00:00 UTC 2025</v>
          </cell>
          <cell r="G508" t="str">
            <v>3PTY</v>
          </cell>
          <cell r="H508" t="str">
            <v>Active</v>
          </cell>
          <cell r="I508" t="str">
            <v>elrashid,Hassan</v>
          </cell>
          <cell r="J508" t="str">
            <v>DULS</v>
          </cell>
        </row>
        <row r="509">
          <cell r="A509">
            <v>206915012</v>
          </cell>
          <cell r="B509" t="str">
            <v>kamalize</v>
          </cell>
          <cell r="C509" t="str">
            <v>KAMALIZENI,EMMANUEL</v>
          </cell>
          <cell r="D509">
            <v>14661787</v>
          </cell>
          <cell r="E509">
            <v>1299</v>
          </cell>
          <cell r="F509" t="str">
            <v>Thu Jul 23 00:00:00 UTC 2026</v>
          </cell>
          <cell r="G509" t="str">
            <v>3PTY</v>
          </cell>
          <cell r="H509" t="str">
            <v>Active</v>
          </cell>
          <cell r="I509" t="str">
            <v>Scaria,Varghese</v>
          </cell>
          <cell r="J509" t="str">
            <v>DULS</v>
          </cell>
        </row>
        <row r="510">
          <cell r="A510">
            <v>203341965</v>
          </cell>
          <cell r="B510" t="str">
            <v>aninanur</v>
          </cell>
          <cell r="C510" t="str">
            <v>ANILAN,ANURAG KAMBRATH</v>
          </cell>
          <cell r="D510">
            <v>11800551</v>
          </cell>
          <cell r="E510">
            <v>1299</v>
          </cell>
          <cell r="F510" t="str">
            <v>Mon May 20 00:00:00 UTC 2024</v>
          </cell>
          <cell r="G510" t="str">
            <v>3PTY</v>
          </cell>
          <cell r="H510" t="str">
            <v>Active</v>
          </cell>
          <cell r="I510" t="str">
            <v>Narshad,Muhammad Ashik</v>
          </cell>
          <cell r="J510" t="str">
            <v>ADEC</v>
          </cell>
        </row>
        <row r="511">
          <cell r="A511">
            <v>206768996</v>
          </cell>
          <cell r="B511" t="str">
            <v>mahamrma</v>
          </cell>
          <cell r="C511" t="str">
            <v>Mahamadhanif Chand,Mahamad Zaid</v>
          </cell>
          <cell r="D511">
            <v>14973239</v>
          </cell>
          <cell r="E511">
            <v>5321</v>
          </cell>
          <cell r="F511" t="str">
            <v>Mon Dec 08 00:00:00 UTC 2025</v>
          </cell>
          <cell r="G511" t="str">
            <v>3PTY</v>
          </cell>
          <cell r="H511" t="str">
            <v>Active</v>
          </cell>
          <cell r="I511" t="str">
            <v>Sharaf,Ahmed</v>
          </cell>
          <cell r="J511" t="str">
            <v>STWC</v>
          </cell>
        </row>
        <row r="512">
          <cell r="A512">
            <v>206191969</v>
          </cell>
          <cell r="B512" t="str">
            <v>omwcecil</v>
          </cell>
          <cell r="C512" t="str">
            <v>Omwando,Ceciliah Sarange</v>
          </cell>
          <cell r="D512">
            <v>12379537</v>
          </cell>
          <cell r="E512">
            <v>1299</v>
          </cell>
          <cell r="F512" t="str">
            <v>Mon Oct 06 00:00:00 UTC 2025</v>
          </cell>
          <cell r="G512" t="str">
            <v>3PTY</v>
          </cell>
          <cell r="H512" t="str">
            <v>Active</v>
          </cell>
          <cell r="I512" t="str">
            <v>Scaria,Varghese</v>
          </cell>
          <cell r="J512" t="str">
            <v>EFSV</v>
          </cell>
        </row>
        <row r="513">
          <cell r="A513">
            <v>204977190</v>
          </cell>
          <cell r="B513" t="str">
            <v>uchjamsh</v>
          </cell>
          <cell r="C513" t="str">
            <v>Chengarathodu Latheef,Jamsheer</v>
          </cell>
          <cell r="D513">
            <v>11003050</v>
          </cell>
          <cell r="E513">
            <v>1712</v>
          </cell>
          <cell r="F513" t="str">
            <v>Wed Feb 26 00:00:00 UTC 2025</v>
          </cell>
          <cell r="G513" t="str">
            <v>3PTY</v>
          </cell>
          <cell r="H513" t="str">
            <v>Active</v>
          </cell>
          <cell r="I513" t="str">
            <v>Rizvan,Mohamed</v>
          </cell>
          <cell r="J513" t="str">
            <v>KBTS</v>
          </cell>
        </row>
        <row r="514">
          <cell r="A514">
            <v>204869083</v>
          </cell>
          <cell r="B514" t="str">
            <v>jospatie</v>
          </cell>
          <cell r="C514" t="str">
            <v>Joso,Patience Nganje</v>
          </cell>
          <cell r="D514">
            <v>12586903</v>
          </cell>
          <cell r="E514">
            <v>1299</v>
          </cell>
          <cell r="F514" t="str">
            <v>Mon Feb 03 00:00:00 UTC 2025</v>
          </cell>
          <cell r="G514" t="str">
            <v>3PTY</v>
          </cell>
          <cell r="H514" t="str">
            <v>Active</v>
          </cell>
          <cell r="I514" t="str">
            <v>Katyal,Varun</v>
          </cell>
          <cell r="J514" t="str">
            <v>QUES</v>
          </cell>
        </row>
        <row r="515">
          <cell r="A515">
            <v>206962042</v>
          </cell>
          <cell r="B515" t="str">
            <v>kellkama</v>
          </cell>
          <cell r="C515" t="str">
            <v>KAMAU,KELLY WAMBUI</v>
          </cell>
          <cell r="D515">
            <v>11861382</v>
          </cell>
          <cell r="E515">
            <v>1299</v>
          </cell>
          <cell r="F515" t="str">
            <v>Mon Jan 26 00:00:00 UTC 2026</v>
          </cell>
          <cell r="G515" t="str">
            <v>3PTY</v>
          </cell>
          <cell r="H515" t="str">
            <v>Active</v>
          </cell>
          <cell r="I515" t="str">
            <v>Meera,Bava Bahrudeen</v>
          </cell>
          <cell r="J515" t="str">
            <v>EFSV</v>
          </cell>
        </row>
        <row r="516">
          <cell r="A516">
            <v>204373722</v>
          </cell>
          <cell r="B516" t="str">
            <v>favalapp</v>
          </cell>
          <cell r="C516" t="str">
            <v>Valappil,Farhan Mohammed Kodakkattu</v>
          </cell>
          <cell r="D516">
            <v>14481752</v>
          </cell>
          <cell r="E516">
            <v>1299</v>
          </cell>
          <cell r="F516" t="str">
            <v>Mon Oct 28 00:00:00 UTC 2024</v>
          </cell>
          <cell r="G516" t="str">
            <v>3PTY</v>
          </cell>
          <cell r="H516" t="str">
            <v>Active</v>
          </cell>
          <cell r="I516" t="str">
            <v>Lakkireddy,Sai Raghavendra Reddy</v>
          </cell>
          <cell r="J516" t="str">
            <v>ADEC</v>
          </cell>
        </row>
        <row r="517">
          <cell r="A517">
            <v>205709551</v>
          </cell>
          <cell r="B517" t="str">
            <v>sherazth</v>
          </cell>
          <cell r="C517" t="str">
            <v>Tariq,Sheraz</v>
          </cell>
          <cell r="D517">
            <v>12165940</v>
          </cell>
          <cell r="E517">
            <v>1171</v>
          </cell>
          <cell r="F517" t="str">
            <v>Mon Jun 15 00:00:00 UTC 2026</v>
          </cell>
          <cell r="G517" t="str">
            <v>3PTY</v>
          </cell>
          <cell r="H517" t="str">
            <v>Active</v>
          </cell>
          <cell r="I517" t="str">
            <v>Niazi,Mohammad Fazal</v>
          </cell>
          <cell r="J517" t="str">
            <v>GLCR</v>
          </cell>
        </row>
        <row r="518">
          <cell r="A518">
            <v>206915474</v>
          </cell>
          <cell r="B518" t="str">
            <v>derrkabu</v>
          </cell>
          <cell r="C518" t="str">
            <v>KABUYE,DERRICK</v>
          </cell>
          <cell r="D518">
            <v>13042327</v>
          </cell>
          <cell r="E518">
            <v>1299</v>
          </cell>
          <cell r="F518" t="str">
            <v>Mon Jan 12 00:00:00 UTC 2026</v>
          </cell>
          <cell r="G518" t="str">
            <v>3PTY</v>
          </cell>
          <cell r="H518" t="str">
            <v>Active</v>
          </cell>
          <cell r="I518" t="str">
            <v>Scaria,Varghese</v>
          </cell>
          <cell r="J518" t="str">
            <v>DULS</v>
          </cell>
        </row>
        <row r="519">
          <cell r="A519">
            <v>208024059</v>
          </cell>
          <cell r="B519" t="str">
            <v>pannanuw</v>
          </cell>
          <cell r="C519" t="str">
            <v>Anuwar,Pannu</v>
          </cell>
          <cell r="D519">
            <v>11913424</v>
          </cell>
          <cell r="E519">
            <v>1200</v>
          </cell>
          <cell r="F519" t="str">
            <v>Thu Jul 16 00:00:00 UTC 2026</v>
          </cell>
          <cell r="G519" t="str">
            <v>3PTY</v>
          </cell>
          <cell r="H519" t="str">
            <v>Active</v>
          </cell>
          <cell r="I519" t="str">
            <v>Alhashmi,Abdulla</v>
          </cell>
          <cell r="J519" t="str">
            <v>SNTC</v>
          </cell>
        </row>
        <row r="520">
          <cell r="A520">
            <v>206926976</v>
          </cell>
          <cell r="B520" t="str">
            <v>ritjuoke</v>
          </cell>
          <cell r="C520" t="str">
            <v>JUO KEDZE,RITA</v>
          </cell>
          <cell r="D520">
            <v>14273738</v>
          </cell>
          <cell r="E520">
            <v>1299</v>
          </cell>
          <cell r="F520" t="str">
            <v>Thu Jan 15 00:00:00 UTC 2026</v>
          </cell>
          <cell r="G520" t="str">
            <v>3PTY</v>
          </cell>
          <cell r="H520" t="str">
            <v>Active</v>
          </cell>
          <cell r="I520" t="str">
            <v>Scaria,Varghese</v>
          </cell>
          <cell r="J520" t="str">
            <v>FLO</v>
          </cell>
        </row>
        <row r="521">
          <cell r="A521">
            <v>206873793</v>
          </cell>
          <cell r="B521" t="str">
            <v>freokelc</v>
          </cell>
          <cell r="C521" t="str">
            <v>FRED,OKELLO</v>
          </cell>
          <cell r="D521">
            <v>15287125</v>
          </cell>
          <cell r="E521">
            <v>1299</v>
          </cell>
          <cell r="F521" t="str">
            <v>Mon Dec 29 00:00:00 UTC 2025</v>
          </cell>
          <cell r="G521" t="str">
            <v>3PTY</v>
          </cell>
          <cell r="H521" t="str">
            <v>Active</v>
          </cell>
          <cell r="I521" t="str">
            <v>Katyal,Varun</v>
          </cell>
          <cell r="J521" t="str">
            <v>DULS</v>
          </cell>
        </row>
        <row r="522">
          <cell r="A522">
            <v>206873779</v>
          </cell>
          <cell r="B522" t="str">
            <v>faroukyj</v>
          </cell>
          <cell r="C522" t="str">
            <v>KYOBE,FAROUK</v>
          </cell>
          <cell r="D522">
            <v>15144085</v>
          </cell>
          <cell r="E522">
            <v>1299</v>
          </cell>
          <cell r="F522" t="str">
            <v>Mon Dec 29 00:00:00 UTC 2025</v>
          </cell>
          <cell r="G522" t="str">
            <v>3PTY</v>
          </cell>
          <cell r="H522" t="str">
            <v>Active</v>
          </cell>
          <cell r="I522" t="str">
            <v>Sohail,Anis</v>
          </cell>
          <cell r="J522" t="str">
            <v>DULS</v>
          </cell>
        </row>
        <row r="523">
          <cell r="A523">
            <v>207699346</v>
          </cell>
          <cell r="B523" t="str">
            <v>sodiadeb</v>
          </cell>
          <cell r="C523" t="str">
            <v>Adeboye,Sodiq Mayowa</v>
          </cell>
          <cell r="D523">
            <v>11959411</v>
          </cell>
          <cell r="E523">
            <v>1374</v>
          </cell>
          <cell r="F523" t="str">
            <v>Mon Jun 15 00:00:00 UTC 2026</v>
          </cell>
          <cell r="G523" t="str">
            <v>3PTY</v>
          </cell>
          <cell r="H523" t="str">
            <v>Active</v>
          </cell>
          <cell r="I523" t="str">
            <v>Yethirajam,Kumar</v>
          </cell>
          <cell r="J523" t="str">
            <v>PRXZ</v>
          </cell>
        </row>
        <row r="524">
          <cell r="A524">
            <v>206138681</v>
          </cell>
          <cell r="B524" t="str">
            <v>emmaunea</v>
          </cell>
          <cell r="C524" t="str">
            <v>AYENSU,EMMAUNEL</v>
          </cell>
          <cell r="D524">
            <v>14625077</v>
          </cell>
          <cell r="E524">
            <v>1299</v>
          </cell>
          <cell r="F524" t="str">
            <v>Mon Sep 29 00:00:00 UTC 2025</v>
          </cell>
          <cell r="G524" t="str">
            <v>3PTY</v>
          </cell>
          <cell r="H524" t="str">
            <v>Active</v>
          </cell>
          <cell r="I524" t="str">
            <v>Scaria,Varghese</v>
          </cell>
          <cell r="J524" t="str">
            <v>FLO</v>
          </cell>
        </row>
        <row r="525">
          <cell r="A525">
            <v>203881695</v>
          </cell>
          <cell r="B525" t="str">
            <v>samutofo</v>
          </cell>
          <cell r="C525" t="str">
            <v>Ofori,Samuel</v>
          </cell>
          <cell r="D525">
            <v>13725441</v>
          </cell>
          <cell r="E525">
            <v>1299</v>
          </cell>
          <cell r="F525" t="str">
            <v>Mon Aug 26 00:00:00 UTC 2024</v>
          </cell>
          <cell r="G525" t="str">
            <v>3PTY</v>
          </cell>
          <cell r="H525" t="str">
            <v>Active</v>
          </cell>
          <cell r="I525" t="str">
            <v>Scaria,Varghese</v>
          </cell>
          <cell r="J525" t="str">
            <v>FLO</v>
          </cell>
        </row>
        <row r="526">
          <cell r="A526">
            <v>206229081</v>
          </cell>
          <cell r="B526" t="str">
            <v>malnalut</v>
          </cell>
          <cell r="C526" t="str">
            <v>Nalubega,Maluwa</v>
          </cell>
          <cell r="D526">
            <v>13838849</v>
          </cell>
          <cell r="E526">
            <v>1712</v>
          </cell>
          <cell r="F526" t="str">
            <v>Wed Oct 08 00:00:00 UTC 2025</v>
          </cell>
          <cell r="G526" t="str">
            <v>3PTY</v>
          </cell>
          <cell r="H526" t="str">
            <v>Active</v>
          </cell>
          <cell r="I526" t="str">
            <v>Rizvan,Mohamed</v>
          </cell>
          <cell r="J526" t="str">
            <v>KBTS</v>
          </cell>
        </row>
        <row r="527">
          <cell r="A527">
            <v>203850926</v>
          </cell>
          <cell r="B527" t="str">
            <v>ronalsse</v>
          </cell>
          <cell r="C527" t="str">
            <v>Ssebukyu,Ronald</v>
          </cell>
          <cell r="D527">
            <v>12744736</v>
          </cell>
          <cell r="E527">
            <v>1299</v>
          </cell>
          <cell r="F527" t="str">
            <v>Tue Aug 20 00:00:00 UTC 2024</v>
          </cell>
          <cell r="G527" t="str">
            <v>3PTY</v>
          </cell>
          <cell r="H527" t="str">
            <v>Active</v>
          </cell>
          <cell r="I527" t="str">
            <v>Scaria,Varghese</v>
          </cell>
          <cell r="J527" t="str">
            <v>DULS</v>
          </cell>
        </row>
        <row r="528">
          <cell r="A528">
            <v>205853573</v>
          </cell>
          <cell r="B528" t="str">
            <v>gwangari</v>
          </cell>
          <cell r="C528" t="str">
            <v>WANGARI,GRACE WANJIRU</v>
          </cell>
          <cell r="D528">
            <v>11588760</v>
          </cell>
          <cell r="E528">
            <v>1299</v>
          </cell>
          <cell r="F528" t="str">
            <v>Mon Aug 25 00:00:00 UTC 2025</v>
          </cell>
          <cell r="G528" t="str">
            <v>3PTY</v>
          </cell>
          <cell r="H528" t="str">
            <v>Active</v>
          </cell>
          <cell r="I528" t="str">
            <v>Scaria,Varghese</v>
          </cell>
          <cell r="J528" t="str">
            <v>EFSV</v>
          </cell>
        </row>
        <row r="529">
          <cell r="A529">
            <v>203782889</v>
          </cell>
          <cell r="B529" t="str">
            <v>zkalakma</v>
          </cell>
          <cell r="C529" t="str">
            <v>Akmal,Kaleem</v>
          </cell>
          <cell r="D529">
            <v>11244663</v>
          </cell>
          <cell r="E529">
            <v>1299</v>
          </cell>
          <cell r="F529" t="str">
            <v>Tue Aug 06 00:00:00 UTC 2024</v>
          </cell>
          <cell r="G529" t="str">
            <v>3PTY</v>
          </cell>
          <cell r="H529" t="str">
            <v>Active</v>
          </cell>
          <cell r="I529" t="str">
            <v>Akhtar,Muhammad Zohaib</v>
          </cell>
          <cell r="J529" t="str">
            <v>WOFZ</v>
          </cell>
        </row>
        <row r="530">
          <cell r="A530">
            <v>205495602</v>
          </cell>
          <cell r="B530" t="str">
            <v>pechikoz</v>
          </cell>
          <cell r="C530" t="str">
            <v>CHIKOZDA,PETER  MWAKUNI</v>
          </cell>
          <cell r="D530">
            <v>15143255</v>
          </cell>
          <cell r="E530">
            <v>1299</v>
          </cell>
          <cell r="F530" t="str">
            <v>Mon Jun 23 00:00:00 UTC 2025</v>
          </cell>
          <cell r="G530" t="str">
            <v>3PTY</v>
          </cell>
          <cell r="H530" t="str">
            <v>Active</v>
          </cell>
          <cell r="I530" t="str">
            <v>Meera,Bava Bahrudeen</v>
          </cell>
          <cell r="J530" t="str">
            <v>EFSV</v>
          </cell>
        </row>
        <row r="531">
          <cell r="A531">
            <v>205108376</v>
          </cell>
          <cell r="B531" t="str">
            <v>parilaxm</v>
          </cell>
          <cell r="C531" t="str">
            <v>Pariyar Nepali,Laxmi</v>
          </cell>
          <cell r="D531">
            <v>13528681</v>
          </cell>
          <cell r="E531">
            <v>1712</v>
          </cell>
          <cell r="F531" t="str">
            <v>Thu Apr 03 00:00:00 UTC 2025</v>
          </cell>
          <cell r="G531" t="str">
            <v>3PTY</v>
          </cell>
          <cell r="H531" t="str">
            <v>Active</v>
          </cell>
          <cell r="I531" t="str">
            <v>POGALA,HAREESH</v>
          </cell>
          <cell r="J531" t="str">
            <v>KBTS</v>
          </cell>
        </row>
        <row r="532">
          <cell r="A532">
            <v>204967147</v>
          </cell>
          <cell r="B532" t="str">
            <v>danaaoda</v>
          </cell>
          <cell r="C532" t="str">
            <v>DANAA,DAVID</v>
          </cell>
          <cell r="D532">
            <v>15293997</v>
          </cell>
          <cell r="E532">
            <v>1299</v>
          </cell>
          <cell r="F532" t="str">
            <v>Mon May 12 00:00:00 UTC 2025</v>
          </cell>
          <cell r="G532" t="str">
            <v>3PTY</v>
          </cell>
          <cell r="H532" t="str">
            <v>Active</v>
          </cell>
          <cell r="I532" t="str">
            <v>Lakkireddy,Sai Raghavendra Reddy</v>
          </cell>
          <cell r="J532" t="str">
            <v>DULS</v>
          </cell>
        </row>
        <row r="533">
          <cell r="A533">
            <v>204011443</v>
          </cell>
          <cell r="B533" t="str">
            <v>kalyange</v>
          </cell>
          <cell r="C533" t="str">
            <v>KALYANGO,GERALD</v>
          </cell>
          <cell r="D533">
            <v>13093145</v>
          </cell>
          <cell r="E533">
            <v>1299</v>
          </cell>
          <cell r="F533" t="str">
            <v>Mon Sep 16 00:00:00 UTC 2024</v>
          </cell>
          <cell r="G533" t="str">
            <v>3PTY</v>
          </cell>
          <cell r="H533" t="str">
            <v>Active</v>
          </cell>
          <cell r="I533" t="str">
            <v>Thomas,Binil</v>
          </cell>
          <cell r="J533" t="str">
            <v>DULS</v>
          </cell>
        </row>
        <row r="534">
          <cell r="A534">
            <v>203993450</v>
          </cell>
          <cell r="B534" t="str">
            <v>sekamdib</v>
          </cell>
          <cell r="C534" t="str">
            <v>SEKAMWA,IBRAHIM</v>
          </cell>
          <cell r="D534">
            <v>13019479</v>
          </cell>
          <cell r="E534">
            <v>1299</v>
          </cell>
          <cell r="F534" t="str">
            <v>Thu Sep 12 00:00:00 UTC 2024</v>
          </cell>
          <cell r="G534" t="str">
            <v>3PTY</v>
          </cell>
          <cell r="H534" t="str">
            <v>Active</v>
          </cell>
          <cell r="I534" t="str">
            <v>Thomas,Binil</v>
          </cell>
          <cell r="J534" t="str">
            <v>DULS</v>
          </cell>
        </row>
        <row r="535">
          <cell r="A535">
            <v>206332542</v>
          </cell>
          <cell r="B535" t="str">
            <v>nsaluall</v>
          </cell>
          <cell r="C535" t="str">
            <v>SALUDO DIMAFELIX,ALLYZA ASHLEY</v>
          </cell>
          <cell r="D535">
            <v>15014127</v>
          </cell>
          <cell r="E535">
            <v>1299</v>
          </cell>
          <cell r="F535" t="str">
            <v>Mon Oct 27 00:00:00 UTC 2025</v>
          </cell>
          <cell r="G535" t="str">
            <v>3PTY</v>
          </cell>
          <cell r="H535" t="str">
            <v>Active</v>
          </cell>
          <cell r="I535" t="str">
            <v>Joshi,Anirudh</v>
          </cell>
          <cell r="J535" t="str">
            <v>DULS</v>
          </cell>
        </row>
        <row r="536">
          <cell r="A536">
            <v>203331877</v>
          </cell>
          <cell r="B536" t="str">
            <v>marahkel</v>
          </cell>
          <cell r="C536" t="str">
            <v>Marah,Kelly Hassan</v>
          </cell>
          <cell r="D536">
            <v>14011673</v>
          </cell>
          <cell r="E536">
            <v>1299</v>
          </cell>
          <cell r="F536" t="str">
            <v>Mon Sep 02 00:00:00 UTC 2024</v>
          </cell>
          <cell r="G536" t="str">
            <v>3PTY</v>
          </cell>
          <cell r="H536" t="str">
            <v>Active</v>
          </cell>
          <cell r="I536" t="str">
            <v>Scaria,Varghese</v>
          </cell>
          <cell r="J536" t="str">
            <v>FLO</v>
          </cell>
        </row>
        <row r="537">
          <cell r="A537">
            <v>205214443</v>
          </cell>
          <cell r="B537" t="str">
            <v>sahaamao</v>
          </cell>
          <cell r="C537" t="str">
            <v>Sahani,Aman</v>
          </cell>
          <cell r="D537">
            <v>16661</v>
          </cell>
          <cell r="E537">
            <v>1712</v>
          </cell>
          <cell r="F537" t="str">
            <v>Sun Apr 27 00:00:00 UTC 2025</v>
          </cell>
          <cell r="G537" t="str">
            <v>3PTY</v>
          </cell>
          <cell r="H537" t="str">
            <v>Active</v>
          </cell>
          <cell r="I537" t="str">
            <v>POGALA,HAREESH</v>
          </cell>
          <cell r="J537" t="str">
            <v>KBTS</v>
          </cell>
        </row>
        <row r="538">
          <cell r="A538">
            <v>206192282</v>
          </cell>
          <cell r="B538" t="str">
            <v>vivianjb</v>
          </cell>
          <cell r="C538" t="str">
            <v>Bomet,Vivian Chepchumba</v>
          </cell>
          <cell r="D538">
            <v>12930179</v>
          </cell>
          <cell r="E538">
            <v>1299</v>
          </cell>
          <cell r="F538" t="str">
            <v>Mon Oct 06 00:00:00 UTC 2025</v>
          </cell>
          <cell r="G538" t="str">
            <v>3PTY</v>
          </cell>
          <cell r="H538" t="str">
            <v>Active</v>
          </cell>
          <cell r="I538" t="str">
            <v>Scaria,Varghese</v>
          </cell>
          <cell r="J538" t="str">
            <v>EFSV</v>
          </cell>
        </row>
        <row r="539">
          <cell r="A539">
            <v>207019315</v>
          </cell>
          <cell r="B539" t="str">
            <v>mdsakjan</v>
          </cell>
          <cell r="C539" t="str">
            <v>Md Sakayat,Jannatul Nayim Md Sakayat</v>
          </cell>
          <cell r="D539">
            <v>13414675</v>
          </cell>
          <cell r="E539">
            <v>1712</v>
          </cell>
          <cell r="F539" t="str">
            <v>Tue Feb 10 00:00:00 UTC 2026</v>
          </cell>
          <cell r="G539" t="str">
            <v>3PTY</v>
          </cell>
          <cell r="H539" t="str">
            <v>Active</v>
          </cell>
          <cell r="I539" t="str">
            <v>Raynold,Shine</v>
          </cell>
          <cell r="J539" t="str">
            <v>KBTS</v>
          </cell>
        </row>
        <row r="540">
          <cell r="A540">
            <v>203160759</v>
          </cell>
          <cell r="B540" t="str">
            <v>prasakhj</v>
          </cell>
          <cell r="C540" t="str">
            <v>PRASAD,KHUM</v>
          </cell>
          <cell r="D540">
            <v>13881790</v>
          </cell>
          <cell r="E540">
            <v>1299</v>
          </cell>
          <cell r="F540" t="str">
            <v>Sun Mar 31 00:00:00 UTC 2024</v>
          </cell>
          <cell r="G540" t="str">
            <v>3PTY</v>
          </cell>
          <cell r="H540" t="str">
            <v>Active</v>
          </cell>
          <cell r="I540" t="str">
            <v>Akhtar,Muhammad Zohaib</v>
          </cell>
          <cell r="J540" t="str">
            <v>WOFZ</v>
          </cell>
        </row>
        <row r="541">
          <cell r="A541">
            <v>207514978</v>
          </cell>
          <cell r="B541" t="str">
            <v>mehmrtar</v>
          </cell>
          <cell r="C541" t="str">
            <v>Mehmood,Tariq</v>
          </cell>
          <cell r="D541">
            <v>13828586</v>
          </cell>
          <cell r="E541">
            <v>1712</v>
          </cell>
          <cell r="F541" t="str">
            <v>Sun May 17 00:00:00 UTC 2026</v>
          </cell>
          <cell r="G541" t="str">
            <v>3PTY</v>
          </cell>
          <cell r="H541" t="str">
            <v>Active</v>
          </cell>
          <cell r="I541" t="str">
            <v>ramadoss,vadivel</v>
          </cell>
          <cell r="J541" t="str">
            <v>KBTS</v>
          </cell>
        </row>
        <row r="542">
          <cell r="A542">
            <v>206136721</v>
          </cell>
          <cell r="B542" t="str">
            <v>mitabifo</v>
          </cell>
          <cell r="C542" t="str">
            <v>TABIFOR,MICHAEL</v>
          </cell>
          <cell r="D542">
            <v>14889340</v>
          </cell>
          <cell r="E542">
            <v>1299</v>
          </cell>
          <cell r="F542" t="str">
            <v>Mon Sep 29 00:00:00 UTC 2025</v>
          </cell>
          <cell r="G542" t="str">
            <v>3PTY</v>
          </cell>
          <cell r="H542" t="str">
            <v>Active</v>
          </cell>
          <cell r="I542" t="str">
            <v>Scaria,Varghese</v>
          </cell>
          <cell r="J542" t="str">
            <v>FLO</v>
          </cell>
        </row>
        <row r="543">
          <cell r="A543">
            <v>203342034</v>
          </cell>
          <cell r="B543" t="str">
            <v>chatthud</v>
          </cell>
          <cell r="C543" t="str">
            <v>THUSHARI,CHATHURIKA SEWWANDI</v>
          </cell>
          <cell r="D543">
            <v>11190172</v>
          </cell>
          <cell r="E543">
            <v>1299</v>
          </cell>
          <cell r="F543" t="str">
            <v>Mon May 20 00:00:00 UTC 2024</v>
          </cell>
          <cell r="G543" t="str">
            <v>3PTY</v>
          </cell>
          <cell r="H543" t="str">
            <v>Active</v>
          </cell>
          <cell r="I543" t="str">
            <v>Ansari,Ammar Abdullah</v>
          </cell>
          <cell r="J543" t="str">
            <v>ADEC</v>
          </cell>
        </row>
        <row r="544">
          <cell r="A544">
            <v>206435172</v>
          </cell>
          <cell r="B544" t="str">
            <v>wajosefd</v>
          </cell>
          <cell r="C544" t="str">
            <v>WALTER,JOSEF</v>
          </cell>
          <cell r="D544">
            <v>791311</v>
          </cell>
          <cell r="E544">
            <v>1711</v>
          </cell>
          <cell r="F544" t="str">
            <v>Tue Nov 04 00:00:00 UTC 2025</v>
          </cell>
          <cell r="G544" t="str">
            <v>3PTY</v>
          </cell>
          <cell r="H544" t="str">
            <v>Active</v>
          </cell>
          <cell r="I544" t="str">
            <v>Katyal,Sauraw</v>
          </cell>
          <cell r="J544" t="str">
            <v>SSIS</v>
          </cell>
        </row>
        <row r="545">
          <cell r="A545">
            <v>204883250</v>
          </cell>
          <cell r="B545" t="str">
            <v>bisophij</v>
          </cell>
          <cell r="C545" t="str">
            <v>Bio,Sophia</v>
          </cell>
          <cell r="D545">
            <v>11525717</v>
          </cell>
          <cell r="E545">
            <v>1299</v>
          </cell>
          <cell r="F545" t="str">
            <v>Mon Feb 03 00:00:00 UTC 2025</v>
          </cell>
          <cell r="G545" t="str">
            <v>3PTY</v>
          </cell>
          <cell r="H545" t="str">
            <v>Active</v>
          </cell>
          <cell r="I545" t="str">
            <v>Katyal,Varun</v>
          </cell>
          <cell r="J545" t="str">
            <v>QUES</v>
          </cell>
        </row>
        <row r="546">
          <cell r="A546">
            <v>203521425</v>
          </cell>
          <cell r="B546" t="str">
            <v>samlisaa</v>
          </cell>
          <cell r="C546" t="str">
            <v>Sam,Isaac</v>
          </cell>
          <cell r="D546">
            <v>15041621</v>
          </cell>
          <cell r="E546">
            <v>1299</v>
          </cell>
          <cell r="F546" t="str">
            <v>Thu Jun 20 00:00:00 UTC 2024</v>
          </cell>
          <cell r="G546" t="str">
            <v>3PTY</v>
          </cell>
          <cell r="H546" t="str">
            <v>Active</v>
          </cell>
          <cell r="I546" t="str">
            <v>Katyal,Varun</v>
          </cell>
          <cell r="J546" t="str">
            <v>FLO</v>
          </cell>
        </row>
        <row r="547">
          <cell r="A547">
            <v>206148779</v>
          </cell>
          <cell r="B547" t="str">
            <v>thxnakop</v>
          </cell>
          <cell r="C547" t="str">
            <v>Nako Petiafo,Theresa</v>
          </cell>
          <cell r="D547">
            <v>13368728</v>
          </cell>
          <cell r="E547">
            <v>1299</v>
          </cell>
          <cell r="F547" t="str">
            <v>Mon Sep 29 00:00:00 UTC 2025</v>
          </cell>
          <cell r="G547" t="str">
            <v>3PTY</v>
          </cell>
          <cell r="H547" t="str">
            <v>Active</v>
          </cell>
          <cell r="I547" t="str">
            <v>Dinberu,Eden</v>
          </cell>
          <cell r="J547" t="str">
            <v>FLO</v>
          </cell>
        </row>
        <row r="548">
          <cell r="A548">
            <v>205608623</v>
          </cell>
          <cell r="B548" t="str">
            <v>daudmaji</v>
          </cell>
          <cell r="C548" t="str">
            <v>DAUDA,MAJID</v>
          </cell>
          <cell r="D548">
            <v>13597292</v>
          </cell>
          <cell r="E548">
            <v>1299</v>
          </cell>
          <cell r="F548" t="str">
            <v>Mon Jul 07 00:00:00 UTC 2025</v>
          </cell>
          <cell r="G548" t="str">
            <v>3PTY</v>
          </cell>
          <cell r="H548" t="str">
            <v>Active</v>
          </cell>
          <cell r="I548" t="str">
            <v>Katyal,Varun</v>
          </cell>
          <cell r="J548" t="str">
            <v>DULS</v>
          </cell>
        </row>
        <row r="549">
          <cell r="A549">
            <v>203881658</v>
          </cell>
          <cell r="B549" t="str">
            <v>evkwarte</v>
          </cell>
          <cell r="C549" t="str">
            <v>Kwarteng,Evans</v>
          </cell>
          <cell r="D549">
            <v>11990355</v>
          </cell>
          <cell r="E549">
            <v>1299</v>
          </cell>
          <cell r="F549" t="str">
            <v>Mon Aug 26 00:00:00 UTC 2024</v>
          </cell>
          <cell r="G549" t="str">
            <v>3PTY</v>
          </cell>
          <cell r="H549" t="str">
            <v>Active</v>
          </cell>
          <cell r="I549" t="str">
            <v>Thomas,Binil</v>
          </cell>
          <cell r="J549" t="str">
            <v>FLO</v>
          </cell>
        </row>
        <row r="550">
          <cell r="A550">
            <v>205854084</v>
          </cell>
          <cell r="B550" t="str">
            <v>puchebiw</v>
          </cell>
          <cell r="C550" t="str">
            <v>CHEBIWOT,PURITY</v>
          </cell>
          <cell r="D550">
            <v>112066</v>
          </cell>
          <cell r="E550">
            <v>1299</v>
          </cell>
          <cell r="F550" t="str">
            <v>Mon Aug 25 00:00:00 UTC 2025</v>
          </cell>
          <cell r="G550" t="str">
            <v>3PTY</v>
          </cell>
          <cell r="H550" t="str">
            <v>Active</v>
          </cell>
          <cell r="I550" t="str">
            <v>Scaria,Varghese</v>
          </cell>
          <cell r="J550" t="str">
            <v>EFSV</v>
          </cell>
        </row>
        <row r="551">
          <cell r="A551">
            <v>206851113</v>
          </cell>
          <cell r="B551" t="str">
            <v>abanmunw</v>
          </cell>
          <cell r="C551" t="str">
            <v>abanaga abajhad,Munir</v>
          </cell>
          <cell r="D551">
            <v>330993</v>
          </cell>
          <cell r="E551">
            <v>1712</v>
          </cell>
          <cell r="F551" t="str">
            <v>Wed Dec 17 00:00:00 UTC 2025</v>
          </cell>
          <cell r="G551" t="str">
            <v>3PTY</v>
          </cell>
          <cell r="H551" t="str">
            <v>Active</v>
          </cell>
          <cell r="I551" t="str">
            <v>Raynold,Shine</v>
          </cell>
          <cell r="J551" t="str">
            <v>KBTS</v>
          </cell>
        </row>
        <row r="552">
          <cell r="A552">
            <v>203800525</v>
          </cell>
          <cell r="B552" t="str">
            <v>dipenmad</v>
          </cell>
          <cell r="C552" t="str">
            <v>ADHIKARI,DIPEN</v>
          </cell>
          <cell r="D552">
            <v>11016671</v>
          </cell>
          <cell r="E552">
            <v>1299</v>
          </cell>
          <cell r="F552" t="str">
            <v>Fri Aug 09 00:00:00 UTC 2024</v>
          </cell>
          <cell r="G552" t="str">
            <v>3PTY</v>
          </cell>
          <cell r="H552" t="str">
            <v>Active</v>
          </cell>
          <cell r="I552" t="str">
            <v>Rajendran,Ajith Kumar</v>
          </cell>
          <cell r="J552" t="str">
            <v>KBTS</v>
          </cell>
        </row>
        <row r="553">
          <cell r="A553">
            <v>206886636</v>
          </cell>
          <cell r="B553" t="str">
            <v>memiheso</v>
          </cell>
          <cell r="C553" t="str">
            <v>MIHESO,MERCY JERUTO</v>
          </cell>
          <cell r="D553">
            <v>12899370</v>
          </cell>
          <cell r="E553">
            <v>1299</v>
          </cell>
          <cell r="F553" t="str">
            <v>Mon Jan 05 00:00:00 UTC 2026</v>
          </cell>
          <cell r="G553" t="str">
            <v>3PTY</v>
          </cell>
          <cell r="H553" t="str">
            <v>Active</v>
          </cell>
          <cell r="I553" t="str">
            <v>Narshad,Muhammad Ashik</v>
          </cell>
          <cell r="J553" t="str">
            <v>EFSV</v>
          </cell>
        </row>
        <row r="554">
          <cell r="A554">
            <v>203967294</v>
          </cell>
          <cell r="B554" t="str">
            <v>kribelba</v>
          </cell>
          <cell r="C554" t="str">
            <v>Belbase,krishna</v>
          </cell>
          <cell r="D554">
            <v>14161624</v>
          </cell>
          <cell r="E554">
            <v>1299</v>
          </cell>
          <cell r="F554" t="str">
            <v>Sat Sep 07 00:00:00 UTC 2024</v>
          </cell>
          <cell r="G554" t="str">
            <v>3PTY</v>
          </cell>
          <cell r="H554" t="str">
            <v>Active</v>
          </cell>
          <cell r="I554" t="str">
            <v>Adhikari,Nayab</v>
          </cell>
          <cell r="J554" t="str">
            <v>KBTS</v>
          </cell>
        </row>
        <row r="555">
          <cell r="A555">
            <v>207868613</v>
          </cell>
          <cell r="B555" t="str">
            <v>abhysure</v>
          </cell>
          <cell r="C555" t="str">
            <v>Surendran Pillai,Abhijith</v>
          </cell>
          <cell r="D555">
            <v>13648880</v>
          </cell>
          <cell r="E555">
            <v>1200</v>
          </cell>
          <cell r="F555" t="str">
            <v>Mon Jul 06 00:00:00 UTC 2026</v>
          </cell>
          <cell r="G555" t="str">
            <v>3PTY</v>
          </cell>
          <cell r="H555" t="str">
            <v>Active</v>
          </cell>
          <cell r="I555" t="str">
            <v>Alhashmi,Abdulla</v>
          </cell>
          <cell r="J555" t="str">
            <v>MEUE</v>
          </cell>
        </row>
        <row r="556">
          <cell r="A556">
            <v>203881600</v>
          </cell>
          <cell r="B556" t="str">
            <v>lajlawso</v>
          </cell>
          <cell r="C556" t="str">
            <v>Lawson,Late Flynn</v>
          </cell>
          <cell r="D556">
            <v>13452229</v>
          </cell>
          <cell r="E556">
            <v>1299</v>
          </cell>
          <cell r="F556" t="str">
            <v>Mon Aug 26 00:00:00 UTC 2024</v>
          </cell>
          <cell r="G556" t="str">
            <v>3PTY</v>
          </cell>
          <cell r="H556" t="str">
            <v>Active</v>
          </cell>
          <cell r="I556" t="str">
            <v>Katyal,Varun</v>
          </cell>
          <cell r="J556" t="str">
            <v>FLO</v>
          </cell>
        </row>
        <row r="557">
          <cell r="A557">
            <v>206604522</v>
          </cell>
          <cell r="B557" t="str">
            <v>rmuthosi</v>
          </cell>
          <cell r="C557" t="str">
            <v>Muthoni,SIMON KINYANJUI</v>
          </cell>
          <cell r="D557">
            <v>12597651</v>
          </cell>
          <cell r="E557">
            <v>1299</v>
          </cell>
          <cell r="F557" t="str">
            <v>Mon Nov 17 00:00:00 UTC 2025</v>
          </cell>
          <cell r="G557" t="str">
            <v>3PTY</v>
          </cell>
          <cell r="H557" t="str">
            <v>Active</v>
          </cell>
          <cell r="I557" t="str">
            <v>elrashid,Hassan</v>
          </cell>
          <cell r="J557" t="str">
            <v>EFSV</v>
          </cell>
        </row>
        <row r="558">
          <cell r="A558">
            <v>207347468</v>
          </cell>
          <cell r="B558" t="str">
            <v>zamofjud</v>
          </cell>
          <cell r="C558" t="str">
            <v>ZAMORA,JUDE P.</v>
          </cell>
          <cell r="D558">
            <v>11939565</v>
          </cell>
          <cell r="E558">
            <v>1290</v>
          </cell>
          <cell r="F558" t="str">
            <v>Wed Apr 22 00:00:00 UTC 2026</v>
          </cell>
          <cell r="G558" t="str">
            <v>3PTY</v>
          </cell>
          <cell r="H558" t="str">
            <v>Active</v>
          </cell>
          <cell r="I558" t="str">
            <v>Kumar,Arun</v>
          </cell>
          <cell r="J558" t="str">
            <v>EMIR</v>
          </cell>
        </row>
        <row r="559">
          <cell r="A559">
            <v>203468399</v>
          </cell>
          <cell r="B559" t="str">
            <v>nrahamoh</v>
          </cell>
          <cell r="C559" t="str">
            <v>Rahaman,Mohammad Abdul</v>
          </cell>
          <cell r="D559">
            <v>11670059</v>
          </cell>
          <cell r="E559">
            <v>1299</v>
          </cell>
          <cell r="F559" t="str">
            <v>Thu Jun 13 00:00:00 UTC 2024</v>
          </cell>
          <cell r="G559" t="str">
            <v>3PTY</v>
          </cell>
          <cell r="H559" t="str">
            <v>Active</v>
          </cell>
          <cell r="I559" t="str">
            <v>Katyal,Varun</v>
          </cell>
          <cell r="J559" t="str">
            <v>FLO</v>
          </cell>
        </row>
        <row r="560">
          <cell r="A560">
            <v>206846538</v>
          </cell>
          <cell r="B560" t="str">
            <v>hamuzawa</v>
          </cell>
          <cell r="C560" t="str">
            <v>HAMUZA,WANDERA</v>
          </cell>
          <cell r="D560">
            <v>11821239</v>
          </cell>
          <cell r="E560">
            <v>1299</v>
          </cell>
          <cell r="F560" t="str">
            <v>Mon Dec 22 00:00:00 UTC 2025</v>
          </cell>
          <cell r="G560" t="str">
            <v>3PTY</v>
          </cell>
          <cell r="H560" t="str">
            <v>Active</v>
          </cell>
          <cell r="I560" t="str">
            <v>elrashid,Hassan</v>
          </cell>
          <cell r="J560" t="str">
            <v>DULS</v>
          </cell>
        </row>
        <row r="561">
          <cell r="A561">
            <v>203965522</v>
          </cell>
          <cell r="B561" t="str">
            <v>emmqamuz</v>
          </cell>
          <cell r="C561" t="str">
            <v>Amuzu,Emmanuel</v>
          </cell>
          <cell r="D561">
            <v>14326076</v>
          </cell>
          <cell r="E561">
            <v>1299</v>
          </cell>
          <cell r="F561" t="str">
            <v>Mon Sep 09 00:00:00 UTC 2024</v>
          </cell>
          <cell r="G561" t="str">
            <v>3PTY</v>
          </cell>
          <cell r="H561" t="str">
            <v>Active</v>
          </cell>
          <cell r="I561" t="str">
            <v>Thomas,Binil</v>
          </cell>
          <cell r="J561" t="str">
            <v>FLO</v>
          </cell>
        </row>
        <row r="562">
          <cell r="A562">
            <v>204246156</v>
          </cell>
          <cell r="B562" t="str">
            <v>twumeben</v>
          </cell>
          <cell r="C562" t="str">
            <v>Twumasi,Ebenezer</v>
          </cell>
          <cell r="D562">
            <v>11820845</v>
          </cell>
          <cell r="E562">
            <v>1299</v>
          </cell>
          <cell r="F562" t="str">
            <v>Mon Oct 14 00:00:00 UTC 2024</v>
          </cell>
          <cell r="G562" t="str">
            <v>3PTY</v>
          </cell>
          <cell r="H562" t="str">
            <v>Active</v>
          </cell>
          <cell r="I562" t="str">
            <v>Katyal,Varun</v>
          </cell>
          <cell r="J562" t="str">
            <v>QUES</v>
          </cell>
        </row>
        <row r="563">
          <cell r="A563">
            <v>206873551</v>
          </cell>
          <cell r="B563" t="str">
            <v>valdezfo</v>
          </cell>
          <cell r="C563" t="str">
            <v>VALDEZ TAMSANG,FON</v>
          </cell>
          <cell r="D563">
            <v>11778372</v>
          </cell>
          <cell r="E563">
            <v>1299</v>
          </cell>
          <cell r="F563" t="str">
            <v>Mon Dec 29 00:00:00 UTC 2025</v>
          </cell>
          <cell r="G563" t="str">
            <v>3PTY</v>
          </cell>
          <cell r="H563" t="str">
            <v>Active</v>
          </cell>
          <cell r="I563" t="str">
            <v>Katyal,Varun</v>
          </cell>
          <cell r="J563" t="str">
            <v>FLO</v>
          </cell>
        </row>
        <row r="564">
          <cell r="A564">
            <v>205609430</v>
          </cell>
          <cell r="B564" t="str">
            <v>sarpoatt</v>
          </cell>
          <cell r="C564" t="str">
            <v>SARPONG,ATTA AGYEKUM</v>
          </cell>
          <cell r="D564">
            <v>14755312</v>
          </cell>
          <cell r="E564">
            <v>1299</v>
          </cell>
          <cell r="F564" t="str">
            <v>Mon Jul 07 00:00:00 UTC 2025</v>
          </cell>
          <cell r="G564" t="str">
            <v>3PTY</v>
          </cell>
          <cell r="H564" t="str">
            <v>Active</v>
          </cell>
          <cell r="I564" t="str">
            <v>Sohail,Anis</v>
          </cell>
          <cell r="J564" t="str">
            <v>DULS</v>
          </cell>
        </row>
        <row r="565">
          <cell r="A565">
            <v>207865017</v>
          </cell>
          <cell r="B565" t="str">
            <v>maksimgo</v>
          </cell>
          <cell r="C565" t="str">
            <v>Golubkov,Maksim</v>
          </cell>
          <cell r="D565">
            <v>12863896</v>
          </cell>
          <cell r="E565">
            <v>1200</v>
          </cell>
          <cell r="F565" t="str">
            <v>Sun Jul 05 00:00:00 UTC 2026</v>
          </cell>
          <cell r="G565" t="str">
            <v>3PTY</v>
          </cell>
          <cell r="H565" t="str">
            <v>Active</v>
          </cell>
          <cell r="I565" t="str">
            <v>Alhashmi,Abdulla</v>
          </cell>
          <cell r="J565" t="str">
            <v>SSIS</v>
          </cell>
        </row>
        <row r="566">
          <cell r="A566">
            <v>203741316</v>
          </cell>
          <cell r="B566" t="str">
            <v>achedith</v>
          </cell>
          <cell r="C566" t="str">
            <v>ACHEAMPONG,EDITH</v>
          </cell>
          <cell r="D566">
            <v>11144312</v>
          </cell>
          <cell r="E566">
            <v>1299</v>
          </cell>
          <cell r="F566" t="str">
            <v>Mon Jul 29 00:00:00 UTC 2024</v>
          </cell>
          <cell r="G566" t="str">
            <v>3PTY</v>
          </cell>
          <cell r="H566" t="str">
            <v>Active</v>
          </cell>
          <cell r="I566" t="str">
            <v>Lakkireddy,Sai Raghavendra Reddy</v>
          </cell>
          <cell r="J566" t="str">
            <v>FLO</v>
          </cell>
        </row>
        <row r="567">
          <cell r="A567">
            <v>206846692</v>
          </cell>
          <cell r="B567" t="str">
            <v>jobubolo</v>
          </cell>
          <cell r="C567" t="str">
            <v>BUBOLO,JOEL</v>
          </cell>
          <cell r="D567">
            <v>14245506</v>
          </cell>
          <cell r="E567">
            <v>1299</v>
          </cell>
          <cell r="F567" t="str">
            <v>Mon Dec 22 00:00:00 UTC 2025</v>
          </cell>
          <cell r="G567" t="str">
            <v>3PTY</v>
          </cell>
          <cell r="H567" t="str">
            <v>Active</v>
          </cell>
          <cell r="I567" t="str">
            <v>Katyal,Varun</v>
          </cell>
          <cell r="J567" t="str">
            <v>DULS</v>
          </cell>
        </row>
        <row r="568">
          <cell r="A568">
            <v>206073366</v>
          </cell>
          <cell r="B568" t="str">
            <v>vjoasare</v>
          </cell>
          <cell r="C568" t="str">
            <v>Asare Yalley,Josep</v>
          </cell>
          <cell r="D568">
            <v>12921419</v>
          </cell>
          <cell r="E568">
            <v>1299</v>
          </cell>
          <cell r="F568" t="str">
            <v>Mon Sep 22 00:00:00 UTC 2025</v>
          </cell>
          <cell r="G568" t="str">
            <v>3PTY</v>
          </cell>
          <cell r="H568" t="str">
            <v>Active</v>
          </cell>
          <cell r="I568" t="str">
            <v>Katyal,Varun</v>
          </cell>
          <cell r="J568" t="str">
            <v>FLO</v>
          </cell>
        </row>
        <row r="569">
          <cell r="A569">
            <v>206149617</v>
          </cell>
          <cell r="B569" t="str">
            <v>kaijudit</v>
          </cell>
          <cell r="C569" t="str">
            <v>KABUGHO,JUDITH</v>
          </cell>
          <cell r="D569">
            <v>13278558</v>
          </cell>
          <cell r="E569">
            <v>1299</v>
          </cell>
          <cell r="F569" t="str">
            <v>Mon Sep 29 00:00:00 UTC 2025</v>
          </cell>
          <cell r="G569" t="str">
            <v>3PTY</v>
          </cell>
          <cell r="H569" t="str">
            <v>Active</v>
          </cell>
          <cell r="I569" t="str">
            <v>Dinberu,Eden</v>
          </cell>
          <cell r="J569" t="str">
            <v>FLO</v>
          </cell>
        </row>
        <row r="570">
          <cell r="A570">
            <v>206915011</v>
          </cell>
          <cell r="B570" t="str">
            <v>arnonsub</v>
          </cell>
          <cell r="C570" t="str">
            <v>ARNOLD AMOS,NSUBUGA</v>
          </cell>
          <cell r="D570">
            <v>11615494</v>
          </cell>
          <cell r="E570">
            <v>1299</v>
          </cell>
          <cell r="F570" t="str">
            <v>Mon Jan 26 00:00:00 UTC 2026</v>
          </cell>
          <cell r="G570" t="str">
            <v>3PTY</v>
          </cell>
          <cell r="H570" t="str">
            <v>Active</v>
          </cell>
          <cell r="I570" t="str">
            <v>Meera,Bava Bahrudeen</v>
          </cell>
          <cell r="J570" t="str">
            <v>DULS</v>
          </cell>
        </row>
        <row r="571">
          <cell r="A571">
            <v>207702645</v>
          </cell>
          <cell r="B571" t="str">
            <v>khaosaad</v>
          </cell>
          <cell r="C571" t="str">
            <v>Kham,Saad</v>
          </cell>
          <cell r="D571">
            <v>11602805</v>
          </cell>
          <cell r="E571">
            <v>1171</v>
          </cell>
          <cell r="F571" t="str">
            <v>Sat Jul 25 00:00:00 UTC 2026</v>
          </cell>
          <cell r="G571" t="str">
            <v>3PTY</v>
          </cell>
          <cell r="H571" t="str">
            <v>Active</v>
          </cell>
          <cell r="I571" t="str">
            <v>Niazi,Mohammad Fazal</v>
          </cell>
          <cell r="J571" t="str">
            <v>CSDS</v>
          </cell>
        </row>
        <row r="572">
          <cell r="A572">
            <v>206260810</v>
          </cell>
          <cell r="B572" t="str">
            <v>euzobtum</v>
          </cell>
          <cell r="C572" t="str">
            <v>Tumuramye,Euzobia</v>
          </cell>
          <cell r="D572">
            <v>11313215</v>
          </cell>
          <cell r="E572">
            <v>1712</v>
          </cell>
          <cell r="F572" t="str">
            <v>Sun Oct 12 00:00:00 UTC 2025</v>
          </cell>
          <cell r="G572" t="str">
            <v>3PTY</v>
          </cell>
          <cell r="H572" t="str">
            <v>Active</v>
          </cell>
          <cell r="I572" t="str">
            <v>Rizvan,Mohamed</v>
          </cell>
          <cell r="J572" t="str">
            <v>KBTS</v>
          </cell>
        </row>
        <row r="573">
          <cell r="A573">
            <v>205856635</v>
          </cell>
          <cell r="B573" t="str">
            <v>ekyeipor</v>
          </cell>
          <cell r="C573" t="str">
            <v>KYEI,PORTIA</v>
          </cell>
          <cell r="D573">
            <v>171393</v>
          </cell>
          <cell r="E573">
            <v>1299</v>
          </cell>
          <cell r="F573" t="str">
            <v>Mon Aug 25 00:00:00 UTC 2025</v>
          </cell>
          <cell r="G573" t="str">
            <v>3PTY</v>
          </cell>
          <cell r="H573" t="str">
            <v>Active</v>
          </cell>
          <cell r="I573" t="str">
            <v>Thomas,Binil</v>
          </cell>
          <cell r="J573" t="str">
            <v>EFSV</v>
          </cell>
        </row>
        <row r="574">
          <cell r="A574">
            <v>206230580</v>
          </cell>
          <cell r="B574" t="str">
            <v>ndagirsh</v>
          </cell>
          <cell r="C574" t="str">
            <v>Ndagire,Shams</v>
          </cell>
          <cell r="D574">
            <v>14840147</v>
          </cell>
          <cell r="E574">
            <v>1299</v>
          </cell>
          <cell r="F574" t="str">
            <v>Mon Oct 13 00:00:00 UTC 2025</v>
          </cell>
          <cell r="G574" t="str">
            <v>3PTY</v>
          </cell>
          <cell r="H574" t="str">
            <v>Active</v>
          </cell>
          <cell r="I574" t="str">
            <v>Ansari,Ammar Abdullah</v>
          </cell>
          <cell r="J574" t="str">
            <v>EFSV</v>
          </cell>
        </row>
        <row r="575">
          <cell r="A575">
            <v>203974084</v>
          </cell>
          <cell r="B575" t="str">
            <v>vajeermo</v>
          </cell>
          <cell r="C575" t="str">
            <v>MOHAMED.A,VAJEER</v>
          </cell>
          <cell r="D575">
            <v>15057554</v>
          </cell>
          <cell r="E575">
            <v>1299</v>
          </cell>
          <cell r="F575" t="str">
            <v>Tue Sep 10 00:00:00 UTC 2024</v>
          </cell>
          <cell r="G575" t="str">
            <v>3PTY</v>
          </cell>
          <cell r="H575" t="str">
            <v>Active</v>
          </cell>
          <cell r="I575" t="str">
            <v>Joshi,Anirudh</v>
          </cell>
          <cell r="J575" t="str">
            <v>DULS</v>
          </cell>
        </row>
        <row r="576">
          <cell r="A576">
            <v>204882473</v>
          </cell>
          <cell r="B576" t="str">
            <v>auguskam</v>
          </cell>
          <cell r="C576" t="str">
            <v>KAMANDA,AUGUSTINE</v>
          </cell>
          <cell r="D576">
            <v>13428374</v>
          </cell>
          <cell r="E576">
            <v>1299</v>
          </cell>
          <cell r="F576" t="str">
            <v>Mon May 12 00:00:00 UTC 2025</v>
          </cell>
          <cell r="G576" t="str">
            <v>3PTY</v>
          </cell>
          <cell r="H576" t="str">
            <v>Active</v>
          </cell>
          <cell r="I576" t="str">
            <v>Lakkireddy,Sai Raghavendra Reddy</v>
          </cell>
          <cell r="J576" t="str">
            <v>DULS</v>
          </cell>
        </row>
        <row r="577">
          <cell r="A577">
            <v>208050632</v>
          </cell>
          <cell r="B577" t="str">
            <v>lndyamuh</v>
          </cell>
          <cell r="C577" t="str">
            <v>Ndyamuhaki,ivan</v>
          </cell>
          <cell r="D577">
            <v>12792636</v>
          </cell>
          <cell r="E577">
            <v>1299</v>
          </cell>
          <cell r="F577" t="str">
            <v>Thu Jul 23 00:00:00 UTC 2026</v>
          </cell>
          <cell r="G577" t="str">
            <v>3PTY</v>
          </cell>
          <cell r="H577" t="str">
            <v>Active</v>
          </cell>
          <cell r="I577" t="str">
            <v>Scaria,Varghese</v>
          </cell>
          <cell r="J577" t="str">
            <v>DULS</v>
          </cell>
        </row>
        <row r="578">
          <cell r="A578">
            <v>206873881</v>
          </cell>
          <cell r="B578" t="str">
            <v>mugwanas</v>
          </cell>
          <cell r="C578" t="str">
            <v>MUGWANA,SALIMU</v>
          </cell>
          <cell r="D578">
            <v>11595541</v>
          </cell>
          <cell r="E578">
            <v>1299</v>
          </cell>
          <cell r="F578" t="str">
            <v>Mon Dec 29 00:00:00 UTC 2025</v>
          </cell>
          <cell r="G578" t="str">
            <v>3PTY</v>
          </cell>
          <cell r="H578" t="str">
            <v>Active</v>
          </cell>
          <cell r="I578" t="str">
            <v>Meera,Bava Bahrudeen</v>
          </cell>
          <cell r="J578" t="str">
            <v>DULS</v>
          </cell>
        </row>
        <row r="579">
          <cell r="A579">
            <v>204072305</v>
          </cell>
          <cell r="B579" t="str">
            <v>shrehpra</v>
          </cell>
          <cell r="C579" t="str">
            <v>SHRESTHA,PRADHUMNA</v>
          </cell>
          <cell r="D579">
            <v>13543895</v>
          </cell>
          <cell r="E579">
            <v>1299</v>
          </cell>
          <cell r="F579" t="str">
            <v>Mon Sep 23 00:00:00 UTC 2024</v>
          </cell>
          <cell r="G579" t="str">
            <v>3PTY</v>
          </cell>
          <cell r="H579" t="str">
            <v>Active</v>
          </cell>
          <cell r="I579" t="str">
            <v>Ansari,Ammar Abdullah</v>
          </cell>
          <cell r="J579" t="str">
            <v>DULS</v>
          </cell>
        </row>
        <row r="580">
          <cell r="A580">
            <v>206868288</v>
          </cell>
          <cell r="B580" t="str">
            <v>margdufi</v>
          </cell>
          <cell r="C580" t="str">
            <v>MARY,DUFIE</v>
          </cell>
          <cell r="D580">
            <v>15320843</v>
          </cell>
          <cell r="E580">
            <v>1299</v>
          </cell>
          <cell r="F580" t="str">
            <v>Tue Aug 04 00:00:00 UTC 2026</v>
          </cell>
          <cell r="G580" t="str">
            <v>3PTY</v>
          </cell>
          <cell r="H580" t="str">
            <v>Active</v>
          </cell>
          <cell r="I580" t="str">
            <v>Scaria,Varghese</v>
          </cell>
          <cell r="J580" t="str">
            <v>FLO</v>
          </cell>
        </row>
        <row r="581">
          <cell r="A581">
            <v>205786045</v>
          </cell>
          <cell r="B581" t="str">
            <v>ferozrau</v>
          </cell>
          <cell r="C581" t="str">
            <v>Rahman,Feroz</v>
          </cell>
          <cell r="D581">
            <v>11771919</v>
          </cell>
          <cell r="E581">
            <v>1712</v>
          </cell>
          <cell r="F581" t="str">
            <v>Sat Aug 09 00:00:00 UTC 2025</v>
          </cell>
          <cell r="G581" t="str">
            <v>3PTY</v>
          </cell>
          <cell r="H581" t="str">
            <v>Active</v>
          </cell>
          <cell r="I581" t="str">
            <v>POGALA,HAREESH</v>
          </cell>
          <cell r="J581" t="str">
            <v>KBTS</v>
          </cell>
        </row>
        <row r="582">
          <cell r="A582">
            <v>205301874</v>
          </cell>
          <cell r="B582" t="str">
            <v>opariyar</v>
          </cell>
          <cell r="C582" t="str">
            <v>Pariyar,Sabina</v>
          </cell>
          <cell r="D582">
            <v>12883729</v>
          </cell>
          <cell r="E582">
            <v>1299</v>
          </cell>
          <cell r="F582" t="str">
            <v>Mon Oct 20 00:00:00 UTC 2025</v>
          </cell>
          <cell r="G582" t="str">
            <v>3PTY</v>
          </cell>
          <cell r="H582" t="str">
            <v>Active</v>
          </cell>
          <cell r="I582" t="str">
            <v>Meera,Bava Bahrudeen</v>
          </cell>
          <cell r="J582" t="str">
            <v>EFSV</v>
          </cell>
        </row>
        <row r="583">
          <cell r="A583">
            <v>204009351</v>
          </cell>
          <cell r="B583" t="str">
            <v>drabimah</v>
          </cell>
          <cell r="C583" t="str">
            <v>MAHARJAN,RABIN</v>
          </cell>
          <cell r="D583">
            <v>14830784</v>
          </cell>
          <cell r="E583">
            <v>1299</v>
          </cell>
          <cell r="F583" t="str">
            <v>Mon Sep 16 00:00:00 UTC 2024</v>
          </cell>
          <cell r="G583" t="str">
            <v>3PTY</v>
          </cell>
          <cell r="H583" t="str">
            <v>Active</v>
          </cell>
          <cell r="I583" t="str">
            <v>Ansari,Ammar Abdullah</v>
          </cell>
          <cell r="J583" t="str">
            <v>DULS</v>
          </cell>
        </row>
        <row r="584">
          <cell r="A584">
            <v>203469072</v>
          </cell>
          <cell r="B584" t="str">
            <v>aliallaf</v>
          </cell>
          <cell r="C584" t="str">
            <v>Ali,Allafha</v>
          </cell>
          <cell r="D584">
            <v>11815931</v>
          </cell>
          <cell r="E584">
            <v>1299</v>
          </cell>
          <cell r="F584" t="str">
            <v>Thu Jun 13 00:00:00 UTC 2024</v>
          </cell>
          <cell r="G584" t="str">
            <v>3PTY</v>
          </cell>
          <cell r="H584" t="str">
            <v>Active</v>
          </cell>
          <cell r="I584" t="str">
            <v>Sohail,Anis</v>
          </cell>
          <cell r="J584" t="str">
            <v>FLO</v>
          </cell>
        </row>
        <row r="585">
          <cell r="A585">
            <v>204009916</v>
          </cell>
          <cell r="B585" t="str">
            <v>biseswak</v>
          </cell>
          <cell r="C585" t="str">
            <v>KUMAR THAKUR,BISESWAR</v>
          </cell>
          <cell r="D585">
            <v>11717554</v>
          </cell>
          <cell r="E585">
            <v>1299</v>
          </cell>
          <cell r="F585" t="str">
            <v>Mon Sep 16 00:00:00 UTC 2024</v>
          </cell>
          <cell r="G585" t="str">
            <v>3PTY</v>
          </cell>
          <cell r="H585" t="str">
            <v>Active</v>
          </cell>
          <cell r="I585" t="str">
            <v>Lakkireddy,Sai Raghavendra Reddy</v>
          </cell>
          <cell r="J585" t="str">
            <v>DULS</v>
          </cell>
        </row>
        <row r="586">
          <cell r="A586">
            <v>206949312</v>
          </cell>
          <cell r="B586" t="str">
            <v>odekjohn</v>
          </cell>
          <cell r="C586" t="str">
            <v>ODEKE,JOHN</v>
          </cell>
          <cell r="D586">
            <v>352310</v>
          </cell>
          <cell r="E586">
            <v>1299</v>
          </cell>
          <cell r="F586" t="str">
            <v>Mon Jan 26 00:00:00 UTC 2026</v>
          </cell>
          <cell r="G586" t="str">
            <v>3PTY</v>
          </cell>
          <cell r="H586" t="str">
            <v>Active</v>
          </cell>
          <cell r="I586" t="str">
            <v>Sohail,Anis</v>
          </cell>
          <cell r="J586" t="str">
            <v>DULS</v>
          </cell>
        </row>
        <row r="587">
          <cell r="A587">
            <v>206192268</v>
          </cell>
          <cell r="B587" t="str">
            <v>janewanm</v>
          </cell>
          <cell r="C587" t="str">
            <v>wambui,Jane wangui</v>
          </cell>
          <cell r="D587">
            <v>12789389</v>
          </cell>
          <cell r="E587">
            <v>1299</v>
          </cell>
          <cell r="F587" t="str">
            <v>Mon Oct 06 00:00:00 UTC 2025</v>
          </cell>
          <cell r="G587" t="str">
            <v>3PTY</v>
          </cell>
          <cell r="H587" t="str">
            <v>Active</v>
          </cell>
          <cell r="I587" t="str">
            <v>Sohail,Anis</v>
          </cell>
          <cell r="J587" t="str">
            <v>EFSV</v>
          </cell>
        </row>
        <row r="588">
          <cell r="A588">
            <v>208024058</v>
          </cell>
          <cell r="B588" t="str">
            <v>libanvav</v>
          </cell>
          <cell r="C588" t="str">
            <v>Varghese George,Liban Varghese</v>
          </cell>
          <cell r="D588">
            <v>350247</v>
          </cell>
          <cell r="E588">
            <v>1200</v>
          </cell>
          <cell r="F588" t="str">
            <v>Thu Jul 16 00:00:00 UTC 2026</v>
          </cell>
          <cell r="G588" t="str">
            <v>3PTY</v>
          </cell>
          <cell r="H588" t="str">
            <v>Active</v>
          </cell>
          <cell r="I588" t="str">
            <v>Alhashmi,Abdulla</v>
          </cell>
          <cell r="J588" t="str">
            <v>SNTC</v>
          </cell>
        </row>
        <row r="589">
          <cell r="A589">
            <v>203736754</v>
          </cell>
          <cell r="B589" t="str">
            <v>myasaung</v>
          </cell>
          <cell r="C589" t="str">
            <v>Myat,Aung Kaung</v>
          </cell>
          <cell r="D589">
            <v>13886754</v>
          </cell>
          <cell r="E589">
            <v>1299</v>
          </cell>
          <cell r="F589" t="str">
            <v>Mon Jul 29 00:00:00 UTC 2024</v>
          </cell>
          <cell r="G589" t="str">
            <v>3PTY</v>
          </cell>
          <cell r="H589" t="str">
            <v>Active</v>
          </cell>
          <cell r="I589" t="str">
            <v>Katyal,Varun</v>
          </cell>
          <cell r="J589" t="str">
            <v>ADEC</v>
          </cell>
        </row>
        <row r="590">
          <cell r="A590">
            <v>206129597</v>
          </cell>
          <cell r="B590" t="str">
            <v>rtinoten</v>
          </cell>
          <cell r="C590" t="str">
            <v>Tinotenda Maindidze,Ralph</v>
          </cell>
          <cell r="D590">
            <v>11833912</v>
          </cell>
          <cell r="E590">
            <v>1299</v>
          </cell>
          <cell r="F590" t="str">
            <v>Mon Sep 29 00:00:00 UTC 2025</v>
          </cell>
          <cell r="G590" t="str">
            <v>3PTY</v>
          </cell>
          <cell r="H590" t="str">
            <v>Active</v>
          </cell>
          <cell r="I590" t="str">
            <v>Ansari,Ammar Abdullah</v>
          </cell>
          <cell r="J590" t="str">
            <v>FLO</v>
          </cell>
        </row>
        <row r="591">
          <cell r="A591">
            <v>206212366</v>
          </cell>
          <cell r="B591" t="str">
            <v>shakooeh</v>
          </cell>
          <cell r="C591" t="str">
            <v>Shakoor Bhatti,Hassan Shakoor Abdul</v>
          </cell>
          <cell r="D591">
            <v>12195267</v>
          </cell>
          <cell r="E591">
            <v>1299</v>
          </cell>
          <cell r="F591" t="str">
            <v>Thu Oct 09 00:00:00 UTC 2025</v>
          </cell>
          <cell r="G591" t="str">
            <v>3PTY</v>
          </cell>
          <cell r="H591" t="str">
            <v>Active</v>
          </cell>
          <cell r="I591" t="str">
            <v>Parungao,Priscila Montejo</v>
          </cell>
          <cell r="J591" t="str">
            <v>VSTG</v>
          </cell>
        </row>
        <row r="592">
          <cell r="A592">
            <v>206926473</v>
          </cell>
          <cell r="B592" t="str">
            <v>kwailaga</v>
          </cell>
          <cell r="C592" t="str">
            <v>WAILAGALA,ALI</v>
          </cell>
          <cell r="D592">
            <v>11002959</v>
          </cell>
          <cell r="E592">
            <v>1299</v>
          </cell>
          <cell r="F592" t="str">
            <v>Mon Jan 26 00:00:00 UTC 2026</v>
          </cell>
          <cell r="G592" t="str">
            <v>3PTY</v>
          </cell>
          <cell r="H592" t="str">
            <v>Active</v>
          </cell>
          <cell r="I592" t="str">
            <v>Sohail,Anis</v>
          </cell>
          <cell r="J592" t="str">
            <v>DULS</v>
          </cell>
        </row>
        <row r="593">
          <cell r="A593">
            <v>204299542</v>
          </cell>
          <cell r="B593" t="str">
            <v>ahmeumef</v>
          </cell>
          <cell r="C593" t="str">
            <v>Mefire Nchankou,Ahmed Tidjan</v>
          </cell>
          <cell r="D593">
            <v>12665361</v>
          </cell>
          <cell r="E593">
            <v>1299</v>
          </cell>
          <cell r="F593" t="str">
            <v>Mon Oct 21 00:00:00 UTC 2024</v>
          </cell>
          <cell r="G593" t="str">
            <v>3PTY</v>
          </cell>
          <cell r="H593" t="str">
            <v>Active</v>
          </cell>
          <cell r="I593" t="str">
            <v>Sohail,Anis</v>
          </cell>
          <cell r="J593" t="str">
            <v>QUES</v>
          </cell>
        </row>
        <row r="594">
          <cell r="A594">
            <v>207867355</v>
          </cell>
          <cell r="B594" t="str">
            <v>paudelnk</v>
          </cell>
          <cell r="C594" t="str">
            <v>Paudel,Krishna</v>
          </cell>
          <cell r="D594">
            <v>14872340</v>
          </cell>
          <cell r="E594">
            <v>1200</v>
          </cell>
          <cell r="F594" t="str">
            <v>Fri Jul 03 00:00:00 UTC 2026</v>
          </cell>
          <cell r="G594" t="str">
            <v>3PTY</v>
          </cell>
          <cell r="H594" t="str">
            <v>Active</v>
          </cell>
          <cell r="I594" t="str">
            <v>Alhashmi,Abdulla</v>
          </cell>
          <cell r="J594" t="str">
            <v>SSIS</v>
          </cell>
        </row>
        <row r="595">
          <cell r="A595">
            <v>205647825</v>
          </cell>
          <cell r="B595" t="str">
            <v>psharonc</v>
          </cell>
          <cell r="C595" t="str">
            <v>Psaima,Sharon Cherono</v>
          </cell>
          <cell r="D595">
            <v>12629895</v>
          </cell>
          <cell r="E595">
            <v>1299</v>
          </cell>
          <cell r="F595" t="str">
            <v>Mon Jul 14 00:00:00 UTC 2025</v>
          </cell>
          <cell r="G595" t="str">
            <v>3PTY</v>
          </cell>
          <cell r="H595" t="str">
            <v>Active</v>
          </cell>
          <cell r="I595" t="str">
            <v>Meera,Bava Bahrudeen</v>
          </cell>
          <cell r="J595" t="str">
            <v>EFSV</v>
          </cell>
        </row>
        <row r="596">
          <cell r="A596">
            <v>203993306</v>
          </cell>
          <cell r="B596" t="str">
            <v>ucoasant</v>
          </cell>
          <cell r="C596" t="str">
            <v>Asante,Comfort</v>
          </cell>
          <cell r="D596">
            <v>14448982</v>
          </cell>
          <cell r="E596">
            <v>1299</v>
          </cell>
          <cell r="F596" t="str">
            <v>Thu Sep 12 00:00:00 UTC 2024</v>
          </cell>
          <cell r="G596" t="str">
            <v>3PTY</v>
          </cell>
          <cell r="H596" t="str">
            <v>Active</v>
          </cell>
          <cell r="I596" t="str">
            <v>Narshad,Muhammad Ashik</v>
          </cell>
          <cell r="J596" t="str">
            <v>FLO</v>
          </cell>
        </row>
        <row r="597">
          <cell r="A597">
            <v>205280267</v>
          </cell>
          <cell r="B597" t="str">
            <v>violjepk</v>
          </cell>
          <cell r="C597" t="str">
            <v>Jepkemei,Violah</v>
          </cell>
          <cell r="D597">
            <v>14781969</v>
          </cell>
          <cell r="E597">
            <v>1299</v>
          </cell>
          <cell r="F597" t="str">
            <v>Thu Jan 15 00:00:00 UTC 2026</v>
          </cell>
          <cell r="G597" t="str">
            <v>3PTY</v>
          </cell>
          <cell r="H597" t="str">
            <v>Active</v>
          </cell>
          <cell r="I597" t="str">
            <v>Scaria,Varghese</v>
          </cell>
          <cell r="J597" t="str">
            <v>EFSV</v>
          </cell>
        </row>
        <row r="598">
          <cell r="A598">
            <v>203850775</v>
          </cell>
          <cell r="B598" t="str">
            <v>abwlinda</v>
          </cell>
          <cell r="C598" t="str">
            <v>Abit,Linda Sally</v>
          </cell>
          <cell r="D598">
            <v>12729494</v>
          </cell>
          <cell r="E598">
            <v>1299</v>
          </cell>
          <cell r="F598" t="str">
            <v>Tue Aug 20 00:00:00 UTC 2024</v>
          </cell>
          <cell r="G598" t="str">
            <v>3PTY</v>
          </cell>
          <cell r="H598" t="str">
            <v>Active</v>
          </cell>
          <cell r="I598" t="str">
            <v>Meera,Bava Bahrudeen</v>
          </cell>
          <cell r="J598" t="str">
            <v>FLO</v>
          </cell>
        </row>
        <row r="599">
          <cell r="A599">
            <v>205608627</v>
          </cell>
          <cell r="B599" t="str">
            <v>aglagopr</v>
          </cell>
          <cell r="C599" t="str">
            <v>AGLAGOVI,PRINCE</v>
          </cell>
          <cell r="D599">
            <v>326103</v>
          </cell>
          <cell r="E599">
            <v>1299</v>
          </cell>
          <cell r="F599" t="str">
            <v>Mon Jul 07 00:00:00 UTC 2025</v>
          </cell>
          <cell r="G599" t="str">
            <v>3PTY</v>
          </cell>
          <cell r="H599" t="str">
            <v>Active</v>
          </cell>
          <cell r="I599" t="str">
            <v>Katyal,Varun</v>
          </cell>
          <cell r="J599" t="str">
            <v>DULS</v>
          </cell>
        </row>
        <row r="600">
          <cell r="A600">
            <v>206949308</v>
          </cell>
          <cell r="B600" t="str">
            <v>dxogwang</v>
          </cell>
          <cell r="C600" t="str">
            <v>OGWANG,DAVID</v>
          </cell>
          <cell r="D600">
            <v>14629019</v>
          </cell>
          <cell r="E600">
            <v>1299</v>
          </cell>
          <cell r="F600" t="str">
            <v>Mon Jan 26 00:00:00 UTC 2026</v>
          </cell>
          <cell r="G600" t="str">
            <v>3PTY</v>
          </cell>
          <cell r="H600" t="str">
            <v>Active</v>
          </cell>
          <cell r="I600" t="str">
            <v>Sohail,Anis</v>
          </cell>
          <cell r="J600" t="str">
            <v>DULS</v>
          </cell>
        </row>
        <row r="601">
          <cell r="A601">
            <v>206192264</v>
          </cell>
          <cell r="B601" t="str">
            <v>ericaffg</v>
          </cell>
          <cell r="C601" t="str">
            <v>Afful,Erica</v>
          </cell>
          <cell r="D601">
            <v>11667692</v>
          </cell>
          <cell r="E601">
            <v>1299</v>
          </cell>
          <cell r="F601" t="str">
            <v>Mon Oct 06 00:00:00 UTC 2025</v>
          </cell>
          <cell r="G601" t="str">
            <v>3PTY</v>
          </cell>
          <cell r="H601" t="str">
            <v>Active</v>
          </cell>
          <cell r="I601" t="str">
            <v>Thomas,Binil</v>
          </cell>
          <cell r="J601" t="str">
            <v>EFSV</v>
          </cell>
        </row>
        <row r="602">
          <cell r="A602">
            <v>203469114</v>
          </cell>
          <cell r="B602" t="str">
            <v>owususol</v>
          </cell>
          <cell r="C602" t="str">
            <v>Owusu,Solomon</v>
          </cell>
          <cell r="D602">
            <v>14117703</v>
          </cell>
          <cell r="E602">
            <v>1299</v>
          </cell>
          <cell r="F602" t="str">
            <v>Thu Jun 13 00:00:00 UTC 2024</v>
          </cell>
          <cell r="G602" t="str">
            <v>3PTY</v>
          </cell>
          <cell r="H602" t="str">
            <v>Active</v>
          </cell>
          <cell r="I602" t="str">
            <v>Meera,Bava Bahrudeen</v>
          </cell>
          <cell r="J602" t="str">
            <v>FLO</v>
          </cell>
        </row>
        <row r="603">
          <cell r="A603">
            <v>203964991</v>
          </cell>
          <cell r="B603" t="str">
            <v>piraviki</v>
          </cell>
          <cell r="C603" t="str">
            <v>Pidatala,Ravi Kiran</v>
          </cell>
          <cell r="D603">
            <v>12991613</v>
          </cell>
          <cell r="E603">
            <v>1299</v>
          </cell>
          <cell r="F603" t="str">
            <v>Mon Sep 09 00:00:00 UTC 2024</v>
          </cell>
          <cell r="G603" t="str">
            <v>3PTY</v>
          </cell>
          <cell r="H603" t="str">
            <v>Active</v>
          </cell>
          <cell r="I603" t="str">
            <v>Ansari,Ammar Abdullah</v>
          </cell>
          <cell r="J603" t="str">
            <v>ADEC</v>
          </cell>
        </row>
        <row r="604">
          <cell r="A604">
            <v>203965523</v>
          </cell>
          <cell r="B604" t="str">
            <v>proskwak</v>
          </cell>
          <cell r="C604" t="str">
            <v>Kwaku Boateng,Prosper</v>
          </cell>
          <cell r="D604">
            <v>2367</v>
          </cell>
          <cell r="E604">
            <v>1299</v>
          </cell>
          <cell r="F604" t="str">
            <v>Mon Sep 09 00:00:00 UTC 2024</v>
          </cell>
          <cell r="G604" t="str">
            <v>3PTY</v>
          </cell>
          <cell r="H604" t="str">
            <v>Active</v>
          </cell>
          <cell r="I604" t="str">
            <v>Katyal,Varun</v>
          </cell>
          <cell r="J604" t="str">
            <v>FLO</v>
          </cell>
        </row>
        <row r="605">
          <cell r="A605">
            <v>204406416</v>
          </cell>
          <cell r="B605" t="str">
            <v>frgontra</v>
          </cell>
          <cell r="C605" t="str">
            <v>Gontran Gbekonsi,Francois C</v>
          </cell>
          <cell r="D605">
            <v>13288543</v>
          </cell>
          <cell r="E605">
            <v>1299</v>
          </cell>
          <cell r="F605" t="str">
            <v>Thu Oct 31 00:00:00 UTC 2024</v>
          </cell>
          <cell r="G605" t="str">
            <v>3PTY</v>
          </cell>
          <cell r="H605" t="str">
            <v>Active</v>
          </cell>
          <cell r="I605" t="str">
            <v>Katyal,Varun</v>
          </cell>
          <cell r="J605" t="str">
            <v>QUES</v>
          </cell>
        </row>
        <row r="606">
          <cell r="A606">
            <v>204013733</v>
          </cell>
          <cell r="B606" t="str">
            <v>geoppong</v>
          </cell>
          <cell r="C606" t="str">
            <v>Oppong,Enoch</v>
          </cell>
          <cell r="D606">
            <v>13247476</v>
          </cell>
          <cell r="E606">
            <v>1299</v>
          </cell>
          <cell r="F606" t="str">
            <v>Mon Sep 16 00:00:00 UTC 2024</v>
          </cell>
          <cell r="G606" t="str">
            <v>3PTY</v>
          </cell>
          <cell r="H606" t="str">
            <v>Active</v>
          </cell>
          <cell r="I606" t="str">
            <v>Katyal,Varun</v>
          </cell>
          <cell r="J606" t="str">
            <v>FLO</v>
          </cell>
        </row>
        <row r="607">
          <cell r="A607">
            <v>202516581</v>
          </cell>
          <cell r="B607" t="str">
            <v>mensdorc</v>
          </cell>
          <cell r="C607" t="str">
            <v>Mensah,Dorcas</v>
          </cell>
          <cell r="D607">
            <v>13647110</v>
          </cell>
          <cell r="E607">
            <v>1299</v>
          </cell>
          <cell r="F607" t="str">
            <v>Mon Aug 26 00:00:00 UTC 2024</v>
          </cell>
          <cell r="G607" t="str">
            <v>3PTY</v>
          </cell>
          <cell r="H607" t="str">
            <v>Active</v>
          </cell>
          <cell r="I607" t="str">
            <v>Lakkireddy,Sai Raghavendra Reddy</v>
          </cell>
          <cell r="J607" t="str">
            <v>FLO</v>
          </cell>
        </row>
        <row r="608">
          <cell r="A608">
            <v>206513292</v>
          </cell>
          <cell r="B608" t="str">
            <v>tumufran</v>
          </cell>
          <cell r="C608" t="str">
            <v>FRANK,TUMUSIIME</v>
          </cell>
          <cell r="D608">
            <v>11601572</v>
          </cell>
          <cell r="E608">
            <v>1299</v>
          </cell>
          <cell r="F608" t="str">
            <v>Mon Nov 10 00:00:00 UTC 2025</v>
          </cell>
          <cell r="G608" t="str">
            <v>3PTY</v>
          </cell>
          <cell r="H608" t="str">
            <v>Active</v>
          </cell>
          <cell r="I608" t="str">
            <v>Katyal,Varun</v>
          </cell>
          <cell r="J608" t="str">
            <v>DULS</v>
          </cell>
        </row>
        <row r="609">
          <cell r="A609">
            <v>204319808</v>
          </cell>
          <cell r="B609" t="str">
            <v>gemmanua</v>
          </cell>
          <cell r="C609" t="str">
            <v>Arthur,Emmanuel Kobina</v>
          </cell>
          <cell r="D609">
            <v>14644676</v>
          </cell>
          <cell r="E609">
            <v>1299</v>
          </cell>
          <cell r="F609" t="str">
            <v>Thu Oct 24 00:00:00 UTC 2024</v>
          </cell>
          <cell r="G609" t="str">
            <v>3PTY</v>
          </cell>
          <cell r="H609" t="str">
            <v>Active</v>
          </cell>
          <cell r="I609" t="str">
            <v>Scaria,Varghese</v>
          </cell>
          <cell r="J609" t="str">
            <v>QUES</v>
          </cell>
        </row>
        <row r="610">
          <cell r="A610">
            <v>203993303</v>
          </cell>
          <cell r="B610" t="str">
            <v>aetelahf</v>
          </cell>
          <cell r="C610" t="str">
            <v>Etelah Fru,Ngwemah</v>
          </cell>
          <cell r="D610">
            <v>13096376</v>
          </cell>
          <cell r="E610">
            <v>1299</v>
          </cell>
          <cell r="F610" t="str">
            <v>Thu Sep 12 00:00:00 UTC 2024</v>
          </cell>
          <cell r="G610" t="str">
            <v>3PTY</v>
          </cell>
          <cell r="H610" t="str">
            <v>Active</v>
          </cell>
          <cell r="I610" t="str">
            <v>Thomas,Binil</v>
          </cell>
          <cell r="J610" t="str">
            <v>FLO</v>
          </cell>
        </row>
        <row r="611">
          <cell r="A611">
            <v>203555843</v>
          </cell>
          <cell r="B611" t="str">
            <v>darelall</v>
          </cell>
          <cell r="C611" t="str">
            <v>D. Arellano,Allen Andrey</v>
          </cell>
          <cell r="D611">
            <v>11074780</v>
          </cell>
          <cell r="E611">
            <v>1299</v>
          </cell>
          <cell r="F611" t="str">
            <v>Thu Jun 27 00:00:00 UTC 2024</v>
          </cell>
          <cell r="G611" t="str">
            <v>3PTY</v>
          </cell>
          <cell r="H611" t="str">
            <v>Active</v>
          </cell>
          <cell r="I611" t="str">
            <v>Narshad,Muhammad Ashik</v>
          </cell>
          <cell r="J611" t="str">
            <v>ADEC</v>
          </cell>
        </row>
        <row r="612">
          <cell r="A612">
            <v>206296194</v>
          </cell>
          <cell r="B612" t="str">
            <v>bwalhell</v>
          </cell>
          <cell r="C612" t="str">
            <v>BWALYA,HELLEN tanasho</v>
          </cell>
          <cell r="D612">
            <v>14635150</v>
          </cell>
          <cell r="E612">
            <v>1299</v>
          </cell>
          <cell r="F612" t="str">
            <v>Mon Oct 20 00:00:00 UTC 2025</v>
          </cell>
          <cell r="G612" t="str">
            <v>3PTY</v>
          </cell>
          <cell r="H612" t="str">
            <v>Active</v>
          </cell>
          <cell r="I612" t="str">
            <v>Sohail,Anis</v>
          </cell>
          <cell r="J612" t="str">
            <v>EFSV</v>
          </cell>
        </row>
        <row r="613">
          <cell r="A613">
            <v>203469400</v>
          </cell>
          <cell r="B613" t="str">
            <v>jglakuma</v>
          </cell>
          <cell r="C613" t="str">
            <v>AKUMAWAH,GLORY</v>
          </cell>
          <cell r="D613">
            <v>14749266</v>
          </cell>
          <cell r="E613">
            <v>1299</v>
          </cell>
          <cell r="F613" t="str">
            <v>Thu Jun 13 00:00:00 UTC 2024</v>
          </cell>
          <cell r="G613" t="str">
            <v>3PTY</v>
          </cell>
          <cell r="H613" t="str">
            <v>Active</v>
          </cell>
          <cell r="I613" t="str">
            <v>Sohail,Anis</v>
          </cell>
          <cell r="J613" t="str">
            <v>ADEC</v>
          </cell>
        </row>
        <row r="614">
          <cell r="A614">
            <v>206953815</v>
          </cell>
          <cell r="B614" t="str">
            <v>muhbrigh</v>
          </cell>
          <cell r="C614" t="str">
            <v>MUHEREZA,BRIGHTON</v>
          </cell>
          <cell r="D614">
            <v>11119098</v>
          </cell>
          <cell r="E614">
            <v>1299</v>
          </cell>
          <cell r="F614" t="str">
            <v>Mon Jan 26 00:00:00 UTC 2026</v>
          </cell>
          <cell r="G614" t="str">
            <v>3PTY</v>
          </cell>
          <cell r="H614" t="str">
            <v>Active</v>
          </cell>
          <cell r="I614" t="str">
            <v>Sohail,Anis</v>
          </cell>
          <cell r="J614" t="str">
            <v>DULS</v>
          </cell>
        </row>
        <row r="615">
          <cell r="A615">
            <v>206239212</v>
          </cell>
          <cell r="B615" t="str">
            <v>cecchish</v>
          </cell>
          <cell r="C615" t="str">
            <v>CHISHIMBA,CECILIA</v>
          </cell>
          <cell r="D615">
            <v>13945330</v>
          </cell>
          <cell r="E615">
            <v>1299</v>
          </cell>
          <cell r="F615" t="str">
            <v>Mon Oct 13 00:00:00 UTC 2025</v>
          </cell>
          <cell r="G615" t="str">
            <v>3PTY</v>
          </cell>
          <cell r="H615" t="str">
            <v>Active</v>
          </cell>
          <cell r="I615" t="str">
            <v>Narshad,Muhammad Ashik</v>
          </cell>
          <cell r="J615" t="str">
            <v>FLO</v>
          </cell>
        </row>
        <row r="616">
          <cell r="A616">
            <v>205236902</v>
          </cell>
          <cell r="B616" t="str">
            <v>yawunsam</v>
          </cell>
          <cell r="C616" t="str">
            <v>AWUNI,SAMUEL</v>
          </cell>
          <cell r="D616">
            <v>12796138</v>
          </cell>
          <cell r="E616">
            <v>1299</v>
          </cell>
          <cell r="F616" t="str">
            <v>Mon May 12 00:00:00 UTC 2025</v>
          </cell>
          <cell r="G616" t="str">
            <v>3PTY</v>
          </cell>
          <cell r="H616" t="str">
            <v>Active</v>
          </cell>
          <cell r="I616" t="str">
            <v>Scaria,Varghese</v>
          </cell>
          <cell r="J616" t="str">
            <v>DULS</v>
          </cell>
        </row>
        <row r="617">
          <cell r="A617">
            <v>206875150</v>
          </cell>
          <cell r="B617" t="str">
            <v>emmanajo</v>
          </cell>
          <cell r="C617" t="str">
            <v>JOSEPH KALEMBO,EMMANUEL</v>
          </cell>
          <cell r="D617">
            <v>14957294</v>
          </cell>
          <cell r="E617">
            <v>1299</v>
          </cell>
          <cell r="F617" t="str">
            <v>Mon Dec 29 00:00:00 UTC 2025</v>
          </cell>
          <cell r="G617" t="str">
            <v>3PTY</v>
          </cell>
          <cell r="H617" t="str">
            <v>Active</v>
          </cell>
          <cell r="I617" t="str">
            <v>Sohail,Anis</v>
          </cell>
          <cell r="J617" t="str">
            <v>DULS</v>
          </cell>
        </row>
        <row r="618">
          <cell r="A618">
            <v>203800780</v>
          </cell>
          <cell r="B618" t="str">
            <v>pradegug</v>
          </cell>
          <cell r="C618" t="str">
            <v>GUPTA,PRADEEP KUMAR</v>
          </cell>
          <cell r="D618">
            <v>14995692</v>
          </cell>
          <cell r="E618">
            <v>1299</v>
          </cell>
          <cell r="F618" t="str">
            <v>Mon Jan 27 00:00:00 UTC 2025</v>
          </cell>
          <cell r="G618" t="str">
            <v>3PTY</v>
          </cell>
          <cell r="H618" t="str">
            <v>Active</v>
          </cell>
          <cell r="I618" t="str">
            <v>Ansari,Ammar Abdullah</v>
          </cell>
          <cell r="J618" t="str">
            <v>DULS</v>
          </cell>
        </row>
        <row r="619">
          <cell r="A619">
            <v>206136720</v>
          </cell>
          <cell r="B619" t="str">
            <v>chancink</v>
          </cell>
          <cell r="C619" t="str">
            <v>INKIE MBI,CHANCELINE</v>
          </cell>
          <cell r="D619">
            <v>317628</v>
          </cell>
          <cell r="E619">
            <v>1299</v>
          </cell>
          <cell r="F619" t="str">
            <v>Mon Sep 29 00:00:00 UTC 2025</v>
          </cell>
          <cell r="G619" t="str">
            <v>3PTY</v>
          </cell>
          <cell r="H619" t="str">
            <v>Active</v>
          </cell>
          <cell r="I619" t="str">
            <v>Scaria,Varghese</v>
          </cell>
          <cell r="J619" t="str">
            <v>FLO</v>
          </cell>
        </row>
        <row r="620">
          <cell r="A620">
            <v>204869087</v>
          </cell>
          <cell r="B620" t="str">
            <v>seugrace</v>
          </cell>
          <cell r="C620" t="str">
            <v>Serwaa,Grace</v>
          </cell>
          <cell r="D620">
            <v>15004318</v>
          </cell>
          <cell r="E620">
            <v>1299</v>
          </cell>
          <cell r="F620" t="str">
            <v>Mon Feb 03 00:00:00 UTC 2025</v>
          </cell>
          <cell r="G620" t="str">
            <v>3PTY</v>
          </cell>
          <cell r="H620" t="str">
            <v>Active</v>
          </cell>
          <cell r="I620" t="str">
            <v>Katyal,Varun</v>
          </cell>
          <cell r="J620" t="str">
            <v>QUES</v>
          </cell>
        </row>
        <row r="621">
          <cell r="A621">
            <v>203851106</v>
          </cell>
          <cell r="B621" t="str">
            <v>amoelish</v>
          </cell>
          <cell r="C621" t="str">
            <v>Amoako,Elisha Kena</v>
          </cell>
          <cell r="D621">
            <v>13514270</v>
          </cell>
          <cell r="E621">
            <v>1299</v>
          </cell>
          <cell r="F621" t="str">
            <v>Tue Aug 20 00:00:00 UTC 2024</v>
          </cell>
          <cell r="G621" t="str">
            <v>3PTY</v>
          </cell>
          <cell r="H621" t="str">
            <v>Active</v>
          </cell>
          <cell r="I621" t="str">
            <v>Lakkireddy,Sai Raghavendra Reddy</v>
          </cell>
          <cell r="J621" t="str">
            <v>FLO</v>
          </cell>
        </row>
        <row r="622">
          <cell r="A622">
            <v>205199830</v>
          </cell>
          <cell r="B622" t="str">
            <v>shadraat</v>
          </cell>
          <cell r="C622" t="str">
            <v>Atela,Shadrack</v>
          </cell>
          <cell r="D622">
            <v>13931956</v>
          </cell>
          <cell r="E622">
            <v>1299</v>
          </cell>
          <cell r="F622" t="str">
            <v>Mon Apr 28 00:00:00 UTC 2025</v>
          </cell>
          <cell r="G622" t="str">
            <v>3PTY</v>
          </cell>
          <cell r="H622" t="str">
            <v>Active</v>
          </cell>
          <cell r="I622" t="str">
            <v>Ansari,Ammar Abdullah</v>
          </cell>
          <cell r="J622" t="str">
            <v>EFSV</v>
          </cell>
        </row>
        <row r="623">
          <cell r="A623">
            <v>206513285</v>
          </cell>
          <cell r="B623" t="str">
            <v>keizokre</v>
          </cell>
          <cell r="C623" t="str">
            <v>KEIZO KISEMBO,REUBEN</v>
          </cell>
          <cell r="D623">
            <v>14881023</v>
          </cell>
          <cell r="E623">
            <v>1299</v>
          </cell>
          <cell r="F623" t="str">
            <v>Mon Nov 10 00:00:00 UTC 2025</v>
          </cell>
          <cell r="G623" t="str">
            <v>3PTY</v>
          </cell>
          <cell r="H623" t="str">
            <v>Active</v>
          </cell>
          <cell r="I623" t="str">
            <v>Katyal,Varun</v>
          </cell>
          <cell r="J623" t="str">
            <v>DULS</v>
          </cell>
        </row>
        <row r="624">
          <cell r="A624">
            <v>206513281</v>
          </cell>
          <cell r="B624" t="str">
            <v>adebugar</v>
          </cell>
          <cell r="C624" t="str">
            <v>ADEBUGA,RAHUMATA</v>
          </cell>
          <cell r="D624">
            <v>13901194</v>
          </cell>
          <cell r="E624">
            <v>1299</v>
          </cell>
          <cell r="F624" t="str">
            <v>Mon Nov 10 00:00:00 UTC 2025</v>
          </cell>
          <cell r="G624" t="str">
            <v>3PTY</v>
          </cell>
          <cell r="H624" t="str">
            <v>Active</v>
          </cell>
          <cell r="I624" t="str">
            <v>Katyal,Varun</v>
          </cell>
          <cell r="J624" t="str">
            <v>DULS</v>
          </cell>
        </row>
        <row r="625">
          <cell r="A625">
            <v>206015628</v>
          </cell>
          <cell r="B625" t="str">
            <v>ssjonatm</v>
          </cell>
          <cell r="C625" t="str">
            <v>Ssali,Jonathan</v>
          </cell>
          <cell r="D625">
            <v>13322518</v>
          </cell>
          <cell r="E625">
            <v>1299</v>
          </cell>
          <cell r="F625" t="str">
            <v>Mon Sep 22 00:00:00 UTC 2025</v>
          </cell>
          <cell r="G625" t="str">
            <v>3PTY</v>
          </cell>
          <cell r="H625" t="str">
            <v>Active</v>
          </cell>
          <cell r="I625" t="str">
            <v>Lakkireddy,Sai Raghavendra Reddy</v>
          </cell>
          <cell r="J625" t="str">
            <v>FLO</v>
          </cell>
        </row>
        <row r="626">
          <cell r="A626">
            <v>203850924</v>
          </cell>
          <cell r="B626" t="str">
            <v>dronkate</v>
          </cell>
          <cell r="C626" t="str">
            <v>Katende,Ronald</v>
          </cell>
          <cell r="D626">
            <v>11451056</v>
          </cell>
          <cell r="E626">
            <v>1299</v>
          </cell>
          <cell r="F626" t="str">
            <v>Tue Aug 20 00:00:00 UTC 2024</v>
          </cell>
          <cell r="G626" t="str">
            <v>3PTY</v>
          </cell>
          <cell r="H626" t="str">
            <v>Active</v>
          </cell>
          <cell r="I626" t="str">
            <v>Ansari,Ammar Abdullah</v>
          </cell>
          <cell r="J626" t="str">
            <v>DULS</v>
          </cell>
        </row>
        <row r="627">
          <cell r="A627">
            <v>204864420</v>
          </cell>
          <cell r="B627" t="str">
            <v>jsamuean</v>
          </cell>
          <cell r="C627" t="str">
            <v>ANNOR BOAITEY,SAMUEL</v>
          </cell>
          <cell r="D627">
            <v>15044313</v>
          </cell>
          <cell r="E627">
            <v>1299</v>
          </cell>
          <cell r="F627" t="str">
            <v>Mon Jan 27 00:00:00 UTC 2025</v>
          </cell>
          <cell r="G627" t="str">
            <v>3PTY</v>
          </cell>
          <cell r="H627" t="str">
            <v>Active</v>
          </cell>
          <cell r="I627" t="str">
            <v>Katyal,Varun</v>
          </cell>
          <cell r="J627" t="str">
            <v>DULS</v>
          </cell>
        </row>
        <row r="628">
          <cell r="A628">
            <v>203813037</v>
          </cell>
          <cell r="B628" t="str">
            <v>hbabuaru</v>
          </cell>
          <cell r="C628" t="str">
            <v>BABU,ARUN</v>
          </cell>
          <cell r="D628">
            <v>11605849</v>
          </cell>
          <cell r="E628">
            <v>1299</v>
          </cell>
          <cell r="F628" t="str">
            <v>Tue Aug 13 00:00:00 UTC 2024</v>
          </cell>
          <cell r="G628" t="str">
            <v>3PTY</v>
          </cell>
          <cell r="H628" t="str">
            <v>Active</v>
          </cell>
          <cell r="I628" t="str">
            <v>Katyal,Varun</v>
          </cell>
          <cell r="J628" t="str">
            <v>ADEC</v>
          </cell>
        </row>
        <row r="629">
          <cell r="A629">
            <v>201857481</v>
          </cell>
          <cell r="B629" t="str">
            <v>memercyo</v>
          </cell>
          <cell r="C629" t="str">
            <v>Ofori,Mercy</v>
          </cell>
          <cell r="D629">
            <v>15092015</v>
          </cell>
          <cell r="E629">
            <v>1299</v>
          </cell>
          <cell r="F629" t="str">
            <v>Mon Oct 21 00:00:00 UTC 2024</v>
          </cell>
          <cell r="G629" t="str">
            <v>3PTY</v>
          </cell>
          <cell r="H629" t="str">
            <v>Active</v>
          </cell>
          <cell r="I629" t="str">
            <v>Thomas,Binil</v>
          </cell>
          <cell r="J629" t="str">
            <v>QUES</v>
          </cell>
        </row>
        <row r="630">
          <cell r="A630">
            <v>204469338</v>
          </cell>
          <cell r="B630" t="str">
            <v>anasomoh</v>
          </cell>
          <cell r="C630" t="str">
            <v>Anas Mohammad Habeeb,Mohammad</v>
          </cell>
          <cell r="D630">
            <v>271325</v>
          </cell>
          <cell r="E630">
            <v>1299</v>
          </cell>
          <cell r="F630" t="str">
            <v>Thu Nov 07 00:00:00 UTC 2024</v>
          </cell>
          <cell r="G630" t="str">
            <v>3PTY</v>
          </cell>
          <cell r="H630" t="str">
            <v>Active</v>
          </cell>
          <cell r="I630" t="str">
            <v>Joshi,Anirudh</v>
          </cell>
          <cell r="J630" t="str">
            <v>FLO</v>
          </cell>
        </row>
        <row r="631">
          <cell r="A631">
            <v>204138121</v>
          </cell>
          <cell r="B631" t="str">
            <v>jarrahad</v>
          </cell>
          <cell r="C631" t="str">
            <v>Jarra,Haddijatou</v>
          </cell>
          <cell r="D631">
            <v>339416</v>
          </cell>
          <cell r="E631">
            <v>1299</v>
          </cell>
          <cell r="F631" t="str">
            <v>Mon Sep 30 00:00:00 UTC 2024</v>
          </cell>
          <cell r="G631" t="str">
            <v>3PTY</v>
          </cell>
          <cell r="H631" t="str">
            <v>Active</v>
          </cell>
          <cell r="I631" t="str">
            <v>Narshad,Muhammad Ashik</v>
          </cell>
          <cell r="J631" t="str">
            <v>QUES</v>
          </cell>
        </row>
        <row r="632">
          <cell r="A632">
            <v>206006412</v>
          </cell>
          <cell r="B632" t="str">
            <v>cathprom</v>
          </cell>
          <cell r="C632" t="str">
            <v>PROMISE NAMALE,CATHERINE</v>
          </cell>
          <cell r="D632">
            <v>15379138</v>
          </cell>
          <cell r="E632">
            <v>1299</v>
          </cell>
          <cell r="F632" t="str">
            <v>Mon Sep 15 00:00:00 UTC 2025</v>
          </cell>
          <cell r="G632" t="str">
            <v>3PTY</v>
          </cell>
          <cell r="H632" t="str">
            <v>Active</v>
          </cell>
          <cell r="I632" t="str">
            <v>Katyal,Varun</v>
          </cell>
          <cell r="J632" t="str">
            <v>FLO</v>
          </cell>
        </row>
        <row r="633">
          <cell r="A633">
            <v>205961667</v>
          </cell>
          <cell r="B633" t="str">
            <v>zhasanab</v>
          </cell>
          <cell r="C633" t="str">
            <v>Hasan,Abu</v>
          </cell>
          <cell r="D633">
            <v>14969225</v>
          </cell>
          <cell r="E633">
            <v>1712</v>
          </cell>
          <cell r="F633" t="str">
            <v>Fri Sep 05 00:00:00 UTC 2025</v>
          </cell>
          <cell r="G633" t="str">
            <v>3PTY</v>
          </cell>
          <cell r="H633" t="str">
            <v>Active</v>
          </cell>
          <cell r="I633" t="str">
            <v>Rizvan,Mohamed</v>
          </cell>
          <cell r="J633" t="str">
            <v>TDTS</v>
          </cell>
        </row>
        <row r="634">
          <cell r="A634">
            <v>204883245</v>
          </cell>
          <cell r="B634" t="str">
            <v>wgracech</v>
          </cell>
          <cell r="C634" t="str">
            <v>Nhau,Grace Chido</v>
          </cell>
          <cell r="D634">
            <v>13283609</v>
          </cell>
          <cell r="E634">
            <v>1299</v>
          </cell>
          <cell r="F634" t="str">
            <v>Mon Feb 03 00:00:00 UTC 2025</v>
          </cell>
          <cell r="G634" t="str">
            <v>3PTY</v>
          </cell>
          <cell r="H634" t="str">
            <v>Active</v>
          </cell>
          <cell r="I634" t="str">
            <v>Katyal,Varun</v>
          </cell>
          <cell r="J634" t="str">
            <v>QUES</v>
          </cell>
        </row>
        <row r="635">
          <cell r="A635">
            <v>206239523</v>
          </cell>
          <cell r="B635" t="str">
            <v>hannmuru</v>
          </cell>
          <cell r="C635" t="str">
            <v>Mwaura,Ann Murugi</v>
          </cell>
          <cell r="D635">
            <v>11417737</v>
          </cell>
          <cell r="E635">
            <v>1299</v>
          </cell>
          <cell r="F635" t="str">
            <v>Mon Oct 13 00:00:00 UTC 2025</v>
          </cell>
          <cell r="G635" t="str">
            <v>3PTY</v>
          </cell>
          <cell r="H635" t="str">
            <v>Active</v>
          </cell>
          <cell r="I635" t="str">
            <v>Ansari,Ammar Abdullah</v>
          </cell>
          <cell r="J635" t="str">
            <v>EFSV</v>
          </cell>
        </row>
        <row r="636">
          <cell r="A636">
            <v>207471000</v>
          </cell>
          <cell r="B636" t="str">
            <v>robehaug</v>
          </cell>
          <cell r="C636" t="str">
            <v>Augustus Sunney,Robert</v>
          </cell>
          <cell r="D636">
            <v>13484843</v>
          </cell>
          <cell r="E636">
            <v>1712</v>
          </cell>
          <cell r="F636" t="str">
            <v>Sun May 10 00:00:00 UTC 2026</v>
          </cell>
          <cell r="G636" t="str">
            <v>3PTY</v>
          </cell>
          <cell r="H636" t="str">
            <v>Active</v>
          </cell>
          <cell r="I636" t="str">
            <v>ramadoss,vadivel</v>
          </cell>
          <cell r="J636" t="str">
            <v>KBTS</v>
          </cell>
        </row>
        <row r="637">
          <cell r="A637">
            <v>205495596</v>
          </cell>
          <cell r="B637" t="str">
            <v>cokipchu</v>
          </cell>
          <cell r="C637" t="str">
            <v>KIPCHUMBA,COSMAS</v>
          </cell>
          <cell r="D637">
            <v>11811315</v>
          </cell>
          <cell r="E637">
            <v>1299</v>
          </cell>
          <cell r="F637" t="str">
            <v>Mon Jun 23 00:00:00 UTC 2025</v>
          </cell>
          <cell r="G637" t="str">
            <v>3PTY</v>
          </cell>
          <cell r="H637" t="str">
            <v>Active</v>
          </cell>
          <cell r="I637" t="str">
            <v>Katyal,Varun</v>
          </cell>
          <cell r="J637" t="str">
            <v>EFSV</v>
          </cell>
        </row>
        <row r="638">
          <cell r="A638">
            <v>203800283</v>
          </cell>
          <cell r="B638" t="str">
            <v>basnafsu</v>
          </cell>
          <cell r="C638" t="str">
            <v>BASNAT,SUNDAR</v>
          </cell>
          <cell r="D638">
            <v>14989530</v>
          </cell>
          <cell r="E638">
            <v>1299</v>
          </cell>
          <cell r="F638" t="str">
            <v>Fri Aug 09 00:00:00 UTC 2024</v>
          </cell>
          <cell r="G638" t="str">
            <v>3PTY</v>
          </cell>
          <cell r="H638" t="str">
            <v>Active</v>
          </cell>
          <cell r="I638" t="str">
            <v>Rajendran,Ajith Kumar</v>
          </cell>
          <cell r="J638" t="str">
            <v>KBTS</v>
          </cell>
        </row>
        <row r="639">
          <cell r="A639">
            <v>203850776</v>
          </cell>
          <cell r="B639" t="str">
            <v>folisuzw</v>
          </cell>
          <cell r="C639" t="str">
            <v>Foli,Suzzy</v>
          </cell>
          <cell r="D639">
            <v>12205668</v>
          </cell>
          <cell r="E639">
            <v>1299</v>
          </cell>
          <cell r="F639" t="str">
            <v>Tue Aug 20 00:00:00 UTC 2024</v>
          </cell>
          <cell r="G639" t="str">
            <v>3PTY</v>
          </cell>
          <cell r="H639" t="str">
            <v>Active</v>
          </cell>
          <cell r="I639" t="str">
            <v>Meera,Bava Bahrudeen</v>
          </cell>
          <cell r="J639" t="str">
            <v>FLO</v>
          </cell>
        </row>
        <row r="640">
          <cell r="A640">
            <v>204869090</v>
          </cell>
          <cell r="B640" t="str">
            <v>noeliayo</v>
          </cell>
          <cell r="C640" t="str">
            <v>Ayong,Noeline Nuck</v>
          </cell>
          <cell r="D640">
            <v>13827892</v>
          </cell>
          <cell r="E640">
            <v>1299</v>
          </cell>
          <cell r="F640" t="str">
            <v>Mon Feb 03 00:00:00 UTC 2025</v>
          </cell>
          <cell r="G640" t="str">
            <v>3PTY</v>
          </cell>
          <cell r="H640" t="str">
            <v>Active</v>
          </cell>
          <cell r="I640" t="str">
            <v>Katyal,Varun</v>
          </cell>
          <cell r="J640" t="str">
            <v>QUES</v>
          </cell>
        </row>
        <row r="641">
          <cell r="A641">
            <v>205845546</v>
          </cell>
          <cell r="B641" t="str">
            <v>aijsimoj</v>
          </cell>
          <cell r="C641" t="str">
            <v>AIJUKA,SIMON</v>
          </cell>
          <cell r="D641">
            <v>12300869</v>
          </cell>
          <cell r="E641">
            <v>1299</v>
          </cell>
          <cell r="F641" t="str">
            <v>Mon Aug 25 00:00:00 UTC 2025</v>
          </cell>
          <cell r="G641" t="str">
            <v>3PTY</v>
          </cell>
          <cell r="H641" t="str">
            <v>Active</v>
          </cell>
          <cell r="I641" t="str">
            <v>Ansari,Ammar Abdullah</v>
          </cell>
          <cell r="J641" t="str">
            <v>DULS</v>
          </cell>
        </row>
        <row r="642">
          <cell r="A642">
            <v>203881698</v>
          </cell>
          <cell r="B642" t="str">
            <v>gbenclem</v>
          </cell>
          <cell r="C642" t="str">
            <v>Gbenatey,Clement Kwetey</v>
          </cell>
          <cell r="D642">
            <v>14054048</v>
          </cell>
          <cell r="E642">
            <v>1299</v>
          </cell>
          <cell r="F642" t="str">
            <v>Mon Aug 26 00:00:00 UTC 2024</v>
          </cell>
          <cell r="G642" t="str">
            <v>3PTY</v>
          </cell>
          <cell r="H642" t="str">
            <v>Active</v>
          </cell>
          <cell r="I642" t="str">
            <v>Thomas,Binil</v>
          </cell>
          <cell r="J642" t="str">
            <v>FLO</v>
          </cell>
        </row>
        <row r="643">
          <cell r="A643">
            <v>205786039</v>
          </cell>
          <cell r="B643" t="str">
            <v>jitckum</v>
          </cell>
          <cell r="C643" t="str">
            <v>KUMAR RAM,JITENDRA KUMAR RAM</v>
          </cell>
          <cell r="D643">
            <v>14328424</v>
          </cell>
          <cell r="E643">
            <v>1712</v>
          </cell>
          <cell r="F643" t="str">
            <v>Sat Aug 09 00:00:00 UTC 2025</v>
          </cell>
          <cell r="G643" t="str">
            <v>3PTY</v>
          </cell>
          <cell r="H643" t="str">
            <v>Active</v>
          </cell>
          <cell r="I643" t="str">
            <v>POGALA,HAREESH</v>
          </cell>
          <cell r="J643" t="str">
            <v>KBTS</v>
          </cell>
        </row>
        <row r="644">
          <cell r="A644">
            <v>205133783</v>
          </cell>
          <cell r="B644" t="str">
            <v>hossamdj</v>
          </cell>
          <cell r="C644" t="str">
            <v>Hossain,MD Monir</v>
          </cell>
          <cell r="D644">
            <v>13724130</v>
          </cell>
          <cell r="E644">
            <v>1299</v>
          </cell>
          <cell r="F644" t="str">
            <v>Thu Apr 10 00:00:00 UTC 2025</v>
          </cell>
          <cell r="G644" t="str">
            <v>3PTY</v>
          </cell>
          <cell r="H644" t="str">
            <v>Active</v>
          </cell>
          <cell r="I644" t="str">
            <v>elrashid,Hassan</v>
          </cell>
          <cell r="J644" t="str">
            <v>EFSV</v>
          </cell>
        </row>
        <row r="645">
          <cell r="A645">
            <v>207834325</v>
          </cell>
          <cell r="B645" t="str">
            <v>farokodu</v>
          </cell>
          <cell r="C645" t="str">
            <v>Koduah,Farouk Koduah</v>
          </cell>
          <cell r="D645">
            <v>14230405</v>
          </cell>
          <cell r="E645">
            <v>1712</v>
          </cell>
          <cell r="F645" t="str">
            <v>Sat Jun 27 00:00:00 UTC 2026</v>
          </cell>
          <cell r="G645" t="str">
            <v>3PTY</v>
          </cell>
          <cell r="H645" t="str">
            <v>Active</v>
          </cell>
          <cell r="I645" t="str">
            <v>Raynold,Shine</v>
          </cell>
          <cell r="J645" t="str">
            <v>KBTS</v>
          </cell>
        </row>
        <row r="646">
          <cell r="A646">
            <v>206250876</v>
          </cell>
          <cell r="B646" t="str">
            <v>joycamaa</v>
          </cell>
          <cell r="C646" t="str">
            <v>AMA ABBAN,JOYCE</v>
          </cell>
          <cell r="D646">
            <v>14053814</v>
          </cell>
          <cell r="E646">
            <v>1299</v>
          </cell>
          <cell r="F646" t="str">
            <v>Mon Oct 13 00:00:00 UTC 2025</v>
          </cell>
          <cell r="G646" t="str">
            <v>3PTY</v>
          </cell>
          <cell r="H646" t="str">
            <v>Active</v>
          </cell>
          <cell r="I646" t="str">
            <v>Narshad,Muhammad Ashik</v>
          </cell>
          <cell r="J646" t="str">
            <v>FLO</v>
          </cell>
        </row>
        <row r="647">
          <cell r="A647">
            <v>203908342</v>
          </cell>
          <cell r="B647" t="str">
            <v>kintuyac</v>
          </cell>
          <cell r="C647" t="str">
            <v>KINTU,YAHAYA</v>
          </cell>
          <cell r="D647">
            <v>14686079</v>
          </cell>
          <cell r="E647">
            <v>1299</v>
          </cell>
          <cell r="F647" t="str">
            <v>Mon Sep 02 00:00:00 UTC 2024</v>
          </cell>
          <cell r="G647" t="str">
            <v>3PTY</v>
          </cell>
          <cell r="H647" t="str">
            <v>Active</v>
          </cell>
          <cell r="I647" t="str">
            <v>Narshad,Muhammad Ashik</v>
          </cell>
          <cell r="J647" t="str">
            <v>DULS</v>
          </cell>
        </row>
        <row r="648">
          <cell r="A648">
            <v>206858475</v>
          </cell>
          <cell r="B648" t="str">
            <v>kadumbul</v>
          </cell>
          <cell r="C648" t="str">
            <v>KADUMBULA,WILLIAM</v>
          </cell>
          <cell r="D648">
            <v>12708519</v>
          </cell>
          <cell r="E648">
            <v>1299</v>
          </cell>
          <cell r="F648" t="str">
            <v>Mon Dec 22 00:00:00 UTC 2025</v>
          </cell>
          <cell r="G648" t="str">
            <v>3PTY</v>
          </cell>
          <cell r="H648" t="str">
            <v>Active</v>
          </cell>
          <cell r="I648" t="str">
            <v>Katyal,Varun</v>
          </cell>
          <cell r="J648" t="str">
            <v>DULS</v>
          </cell>
        </row>
        <row r="649">
          <cell r="A649">
            <v>203470082</v>
          </cell>
          <cell r="B649" t="str">
            <v>pyaeomau</v>
          </cell>
          <cell r="C649" t="str">
            <v>Maung,Pyae Phyo</v>
          </cell>
          <cell r="D649">
            <v>15116517</v>
          </cell>
          <cell r="E649">
            <v>1299</v>
          </cell>
          <cell r="F649" t="str">
            <v>Thu Jun 13 00:00:00 UTC 2024</v>
          </cell>
          <cell r="G649" t="str">
            <v>3PTY</v>
          </cell>
          <cell r="H649" t="str">
            <v>Active</v>
          </cell>
          <cell r="I649" t="str">
            <v>Dinberu,Eden</v>
          </cell>
          <cell r="J649" t="str">
            <v>ADEC</v>
          </cell>
        </row>
        <row r="650">
          <cell r="A650">
            <v>206874046</v>
          </cell>
          <cell r="B650" t="str">
            <v>zluwunge</v>
          </cell>
          <cell r="C650" t="str">
            <v>JAMES,LUWUNGE</v>
          </cell>
          <cell r="D650">
            <v>12945920</v>
          </cell>
          <cell r="E650">
            <v>1299</v>
          </cell>
          <cell r="F650" t="str">
            <v>Mon Dec 29 00:00:00 UTC 2025</v>
          </cell>
          <cell r="G650" t="str">
            <v>3PTY</v>
          </cell>
          <cell r="H650" t="str">
            <v>Active</v>
          </cell>
          <cell r="I650" t="str">
            <v>Katyal,Varun</v>
          </cell>
          <cell r="J650" t="str">
            <v>DULS</v>
          </cell>
        </row>
        <row r="651">
          <cell r="A651">
            <v>206875332</v>
          </cell>
          <cell r="B651" t="str">
            <v>jkaboggo</v>
          </cell>
          <cell r="C651" t="str">
            <v>JORAM,KABOGGOZA</v>
          </cell>
          <cell r="D651">
            <v>11065452</v>
          </cell>
          <cell r="E651">
            <v>1299</v>
          </cell>
          <cell r="F651" t="str">
            <v>Mon Dec 29 00:00:00 UTC 2025</v>
          </cell>
          <cell r="G651" t="str">
            <v>3PTY</v>
          </cell>
          <cell r="H651" t="str">
            <v>Active</v>
          </cell>
          <cell r="I651" t="str">
            <v>Meera,Bava Bahrudeen</v>
          </cell>
          <cell r="J651" t="str">
            <v>DULS</v>
          </cell>
        </row>
        <row r="652">
          <cell r="A652">
            <v>203737250</v>
          </cell>
          <cell r="B652" t="str">
            <v>murssesa</v>
          </cell>
          <cell r="C652" t="str">
            <v>SSESANGA,MURSHID</v>
          </cell>
          <cell r="D652">
            <v>14306317</v>
          </cell>
          <cell r="E652">
            <v>1299</v>
          </cell>
          <cell r="F652" t="str">
            <v>Mon Jul 29 00:00:00 UTC 2024</v>
          </cell>
          <cell r="G652" t="str">
            <v>3PTY</v>
          </cell>
          <cell r="H652" t="str">
            <v>Active</v>
          </cell>
          <cell r="I652" t="str">
            <v>Katyal,Varun</v>
          </cell>
          <cell r="J652" t="str">
            <v>DULS</v>
          </cell>
        </row>
        <row r="653">
          <cell r="A653">
            <v>203555407</v>
          </cell>
          <cell r="B653" t="str">
            <v>leeyntem</v>
          </cell>
          <cell r="C653" t="str">
            <v>Marienette,Leeynteng</v>
          </cell>
          <cell r="D653">
            <v>13257989</v>
          </cell>
          <cell r="E653">
            <v>1299</v>
          </cell>
          <cell r="F653" t="str">
            <v>Thu Jun 27 00:00:00 UTC 2024</v>
          </cell>
          <cell r="G653" t="str">
            <v>3PTY</v>
          </cell>
          <cell r="H653" t="str">
            <v>Active</v>
          </cell>
          <cell r="I653" t="str">
            <v>Meera,Bava Bahrudeen</v>
          </cell>
          <cell r="J653" t="str">
            <v>FLO</v>
          </cell>
        </row>
        <row r="654">
          <cell r="A654">
            <v>206914994</v>
          </cell>
          <cell r="B654" t="str">
            <v>vbulawre</v>
          </cell>
          <cell r="C654" t="str">
            <v>LAWRENCE,BUGGO</v>
          </cell>
          <cell r="D654">
            <v>160825</v>
          </cell>
          <cell r="E654">
            <v>1299</v>
          </cell>
          <cell r="F654" t="str">
            <v>Mon Jan 12 00:00:00 UTC 2026</v>
          </cell>
          <cell r="G654" t="str">
            <v>3PTY</v>
          </cell>
          <cell r="H654" t="str">
            <v>Active</v>
          </cell>
          <cell r="I654" t="str">
            <v>Lakkireddy,Sai Raghavendra Reddy</v>
          </cell>
          <cell r="J654" t="str">
            <v>DULS</v>
          </cell>
        </row>
        <row r="655">
          <cell r="A655">
            <v>203469168</v>
          </cell>
          <cell r="B655" t="str">
            <v>tabtabi</v>
          </cell>
          <cell r="C655" t="str">
            <v>Tabi,Tabi Peter</v>
          </cell>
          <cell r="D655">
            <v>11900819</v>
          </cell>
          <cell r="E655">
            <v>1299</v>
          </cell>
          <cell r="F655" t="str">
            <v>Thu Jun 13 00:00:00 UTC 2024</v>
          </cell>
          <cell r="G655" t="str">
            <v>3PTY</v>
          </cell>
          <cell r="H655" t="str">
            <v>Active</v>
          </cell>
          <cell r="I655" t="str">
            <v>Meera,Bava Bahrudeen</v>
          </cell>
          <cell r="J655" t="str">
            <v>FLO</v>
          </cell>
        </row>
        <row r="656">
          <cell r="A656">
            <v>203965180</v>
          </cell>
          <cell r="B656" t="str">
            <v>enyanvbe</v>
          </cell>
          <cell r="C656" t="str">
            <v>Enyan,Benjamin</v>
          </cell>
          <cell r="D656">
            <v>12064240</v>
          </cell>
          <cell r="E656">
            <v>1299</v>
          </cell>
          <cell r="F656" t="str">
            <v>Mon Sep 09 00:00:00 UTC 2024</v>
          </cell>
          <cell r="G656" t="str">
            <v>3PTY</v>
          </cell>
          <cell r="H656" t="str">
            <v>Active</v>
          </cell>
          <cell r="I656" t="str">
            <v>Scaria,Varghese</v>
          </cell>
          <cell r="J656" t="str">
            <v>FLO</v>
          </cell>
        </row>
        <row r="657">
          <cell r="A657">
            <v>203816300</v>
          </cell>
          <cell r="B657" t="str">
            <v>tugumemo</v>
          </cell>
          <cell r="C657" t="str">
            <v>Tugume,Morris</v>
          </cell>
          <cell r="D657">
            <v>11217835</v>
          </cell>
          <cell r="E657">
            <v>1299</v>
          </cell>
          <cell r="F657" t="str">
            <v>Tue Aug 20 00:00:00 UTC 2024</v>
          </cell>
          <cell r="G657" t="str">
            <v>3PTY</v>
          </cell>
          <cell r="H657" t="str">
            <v>Active</v>
          </cell>
          <cell r="I657" t="str">
            <v>Katyal,Varun</v>
          </cell>
          <cell r="J657" t="str">
            <v>DULS</v>
          </cell>
        </row>
        <row r="658">
          <cell r="A658">
            <v>206072869</v>
          </cell>
          <cell r="B658" t="str">
            <v>erameng</v>
          </cell>
          <cell r="C658" t="str">
            <v>Amengor,Eric</v>
          </cell>
          <cell r="D658">
            <v>12006252</v>
          </cell>
          <cell r="E658">
            <v>1299</v>
          </cell>
          <cell r="F658" t="str">
            <v>Mon Sep 22 00:00:00 UTC 2025</v>
          </cell>
          <cell r="G658" t="str">
            <v>3PTY</v>
          </cell>
          <cell r="H658" t="str">
            <v>Active</v>
          </cell>
          <cell r="I658" t="str">
            <v>Sohail,Anis</v>
          </cell>
          <cell r="J658" t="str">
            <v>FLO</v>
          </cell>
        </row>
        <row r="659">
          <cell r="A659">
            <v>201633155</v>
          </cell>
          <cell r="B659" t="str">
            <v>oafmuham</v>
          </cell>
          <cell r="C659" t="str">
            <v>Afzal,Muhammad Farhan</v>
          </cell>
          <cell r="D659">
            <v>13616140</v>
          </cell>
          <cell r="E659">
            <v>1299</v>
          </cell>
          <cell r="F659" t="str">
            <v>Wed Oct 16 00:00:00 UTC 2024</v>
          </cell>
          <cell r="G659" t="str">
            <v>3PTY</v>
          </cell>
          <cell r="H659" t="str">
            <v>Active</v>
          </cell>
          <cell r="I659" t="str">
            <v>Katyal,Varun</v>
          </cell>
          <cell r="J659" t="str">
            <v>QUES</v>
          </cell>
        </row>
        <row r="660">
          <cell r="A660">
            <v>207820216</v>
          </cell>
          <cell r="B660" t="str">
            <v>vorhaber</v>
          </cell>
          <cell r="C660" t="str">
            <v>Vorhaber,Hannes</v>
          </cell>
          <cell r="D660">
            <v>15121767</v>
          </cell>
          <cell r="E660">
            <v>1200</v>
          </cell>
          <cell r="F660" t="str">
            <v>Wed Jul 01 00:00:00 UTC 2026</v>
          </cell>
          <cell r="G660" t="str">
            <v>3PTY</v>
          </cell>
          <cell r="H660" t="str">
            <v>Active</v>
          </cell>
          <cell r="I660" t="str">
            <v>Alhashmi,Abdulla</v>
          </cell>
          <cell r="J660" t="str">
            <v>SSIS</v>
          </cell>
        </row>
        <row r="661">
          <cell r="A661">
            <v>203800377</v>
          </cell>
          <cell r="B661" t="str">
            <v>totuhais</v>
          </cell>
          <cell r="C661" t="str">
            <v>TUHAISE,TOM</v>
          </cell>
          <cell r="D661">
            <v>12695220</v>
          </cell>
          <cell r="E661">
            <v>1299</v>
          </cell>
          <cell r="F661" t="str">
            <v>Mon Aug 12 00:00:00 UTC 2024</v>
          </cell>
          <cell r="G661" t="str">
            <v>3PTY</v>
          </cell>
          <cell r="H661" t="str">
            <v>Active</v>
          </cell>
          <cell r="I661" t="str">
            <v>Meera,Bava Bahrudeen</v>
          </cell>
          <cell r="J661" t="str">
            <v>DULS</v>
          </cell>
        </row>
        <row r="662">
          <cell r="A662">
            <v>203881694</v>
          </cell>
          <cell r="B662" t="str">
            <v>poifrimp</v>
          </cell>
          <cell r="C662" t="str">
            <v>Frimpong,Polycarp Junior</v>
          </cell>
          <cell r="D662">
            <v>12995604</v>
          </cell>
          <cell r="E662">
            <v>1299</v>
          </cell>
          <cell r="F662" t="str">
            <v>Mon Aug 26 00:00:00 UTC 2024</v>
          </cell>
          <cell r="G662" t="str">
            <v>3PTY</v>
          </cell>
          <cell r="H662" t="str">
            <v>Active</v>
          </cell>
          <cell r="I662" t="str">
            <v>Ansari,Ammar Abdullah</v>
          </cell>
          <cell r="J662" t="str">
            <v>FLO</v>
          </cell>
        </row>
        <row r="663">
          <cell r="A663">
            <v>203850772</v>
          </cell>
          <cell r="B663" t="str">
            <v>andssema</v>
          </cell>
          <cell r="C663" t="str">
            <v>Ssemanda,Andrew Dasilver</v>
          </cell>
          <cell r="D663">
            <v>12795884</v>
          </cell>
          <cell r="E663">
            <v>1299</v>
          </cell>
          <cell r="F663" t="str">
            <v>Tue Aug 20 00:00:00 UTC 2024</v>
          </cell>
          <cell r="G663" t="str">
            <v>3PTY</v>
          </cell>
          <cell r="H663" t="str">
            <v>Active</v>
          </cell>
          <cell r="I663" t="str">
            <v>Ansari,Ammar Abdullah</v>
          </cell>
          <cell r="J663" t="str">
            <v>DULS</v>
          </cell>
        </row>
        <row r="664">
          <cell r="A664">
            <v>112549647</v>
          </cell>
          <cell r="B664" t="str">
            <v>bashsaql</v>
          </cell>
          <cell r="C664" t="str">
            <v>Bashir,Saqlain</v>
          </cell>
          <cell r="D664">
            <v>345566</v>
          </cell>
          <cell r="E664">
            <v>1299</v>
          </cell>
          <cell r="F664" t="str">
            <v>Mon Oct 21 00:00:00 UTC 2024</v>
          </cell>
          <cell r="G664" t="str">
            <v>3PTY</v>
          </cell>
          <cell r="H664" t="str">
            <v>Active</v>
          </cell>
          <cell r="I664" t="str">
            <v>Ansari,Ammar Abdullah</v>
          </cell>
          <cell r="J664" t="str">
            <v>QUES</v>
          </cell>
        </row>
        <row r="665">
          <cell r="A665">
            <v>203736259</v>
          </cell>
          <cell r="B665" t="str">
            <v>tysnabas</v>
          </cell>
          <cell r="C665" t="str">
            <v>NABASA,TYSON</v>
          </cell>
          <cell r="D665">
            <v>11565434</v>
          </cell>
          <cell r="E665">
            <v>1299</v>
          </cell>
          <cell r="F665" t="str">
            <v>Mon Jul 29 00:00:00 UTC 2024</v>
          </cell>
          <cell r="G665" t="str">
            <v>3PTY</v>
          </cell>
          <cell r="H665" t="str">
            <v>Active</v>
          </cell>
          <cell r="I665" t="str">
            <v>Katyal,Varun</v>
          </cell>
          <cell r="J665" t="str">
            <v>DULS</v>
          </cell>
        </row>
        <row r="666">
          <cell r="A666">
            <v>206136724</v>
          </cell>
          <cell r="B666" t="str">
            <v>musahrap</v>
          </cell>
          <cell r="C666" t="str">
            <v>Musah,Raphael</v>
          </cell>
          <cell r="D666">
            <v>12542093</v>
          </cell>
          <cell r="E666">
            <v>1299</v>
          </cell>
          <cell r="F666" t="str">
            <v>Thu Oct 02 00:00:00 UTC 2025</v>
          </cell>
          <cell r="G666" t="str">
            <v>3PTY</v>
          </cell>
          <cell r="H666" t="str">
            <v>Active</v>
          </cell>
          <cell r="I666" t="str">
            <v>Meera,Bava Bahrudeen</v>
          </cell>
          <cell r="J666" t="str">
            <v>FLO</v>
          </cell>
        </row>
        <row r="667">
          <cell r="A667">
            <v>205280684</v>
          </cell>
          <cell r="B667" t="str">
            <v>briaglil</v>
          </cell>
          <cell r="C667" t="str">
            <v>Lilan,Brian Kiptoo</v>
          </cell>
          <cell r="D667">
            <v>14117228</v>
          </cell>
          <cell r="E667">
            <v>1299</v>
          </cell>
          <cell r="F667" t="str">
            <v>Thu May 15 00:00:00 UTC 2025</v>
          </cell>
          <cell r="G667" t="str">
            <v>3PTY</v>
          </cell>
          <cell r="H667" t="str">
            <v>Active</v>
          </cell>
          <cell r="I667" t="str">
            <v>Lakkireddy,Sai Raghavendra Reddy</v>
          </cell>
          <cell r="J667" t="str">
            <v>EFSV</v>
          </cell>
        </row>
        <row r="668">
          <cell r="A668">
            <v>203160801</v>
          </cell>
          <cell r="B668" t="str">
            <v>roneymam</v>
          </cell>
          <cell r="C668" t="str">
            <v>MATHEW THOMAS,RONEY MATHEW THOMAS</v>
          </cell>
          <cell r="D668">
            <v>14428041</v>
          </cell>
          <cell r="E668">
            <v>1299</v>
          </cell>
          <cell r="F668" t="str">
            <v>Sun Mar 31 00:00:00 UTC 2024</v>
          </cell>
          <cell r="G668" t="str">
            <v>3PTY</v>
          </cell>
          <cell r="H668" t="str">
            <v>Active</v>
          </cell>
          <cell r="I668" t="str">
            <v>Akhtar,Muhammad Zohaib</v>
          </cell>
          <cell r="J668" t="str">
            <v>WOFZ</v>
          </cell>
        </row>
        <row r="669">
          <cell r="A669">
            <v>206953967</v>
          </cell>
          <cell r="B669" t="str">
            <v>chijosua</v>
          </cell>
          <cell r="C669" t="str">
            <v>CHISAMBA,JOSUA</v>
          </cell>
          <cell r="D669">
            <v>13507706</v>
          </cell>
          <cell r="E669">
            <v>1299</v>
          </cell>
          <cell r="F669" t="str">
            <v>Mon Jan 26 00:00:00 UTC 2026</v>
          </cell>
          <cell r="G669" t="str">
            <v>3PTY</v>
          </cell>
          <cell r="H669" t="str">
            <v>Active</v>
          </cell>
          <cell r="I669" t="str">
            <v>Meera,Bava Bahrudeen</v>
          </cell>
          <cell r="J669" t="str">
            <v>DULS</v>
          </cell>
        </row>
        <row r="670">
          <cell r="A670">
            <v>203555408</v>
          </cell>
          <cell r="B670" t="str">
            <v>ngwesola</v>
          </cell>
          <cell r="C670" t="str">
            <v>Ngwemukum,Solange Sombong</v>
          </cell>
          <cell r="D670">
            <v>15005850</v>
          </cell>
          <cell r="E670">
            <v>1299</v>
          </cell>
          <cell r="F670" t="str">
            <v>Thu Jun 27 00:00:00 UTC 2024</v>
          </cell>
          <cell r="G670" t="str">
            <v>3PTY</v>
          </cell>
          <cell r="H670" t="str">
            <v>Active</v>
          </cell>
          <cell r="I670" t="str">
            <v>Meera,Bava Bahrudeen</v>
          </cell>
          <cell r="J670" t="str">
            <v>FLO</v>
          </cell>
        </row>
        <row r="671">
          <cell r="A671">
            <v>204494314</v>
          </cell>
          <cell r="B671" t="str">
            <v>sathrupa</v>
          </cell>
          <cell r="C671" t="str">
            <v>Sathyaseelan,Rupak Sathyaseelan</v>
          </cell>
          <cell r="D671">
            <v>13953466</v>
          </cell>
          <cell r="E671">
            <v>1299</v>
          </cell>
          <cell r="F671" t="str">
            <v>Mon Nov 11 00:00:00 UTC 2024</v>
          </cell>
          <cell r="G671" t="str">
            <v>3PTY</v>
          </cell>
          <cell r="H671" t="str">
            <v>Active</v>
          </cell>
          <cell r="I671" t="str">
            <v>Parungao,Priscila Montejo</v>
          </cell>
          <cell r="J671" t="str">
            <v>VSTG</v>
          </cell>
        </row>
        <row r="672">
          <cell r="A672">
            <v>204868850</v>
          </cell>
          <cell r="B672" t="str">
            <v>kkecarls</v>
          </cell>
          <cell r="C672" t="str">
            <v>Kendang,Carlson Esah</v>
          </cell>
          <cell r="D672">
            <v>11746877</v>
          </cell>
          <cell r="E672">
            <v>1299</v>
          </cell>
          <cell r="F672" t="str">
            <v>Mon Feb 03 00:00:00 UTC 2025</v>
          </cell>
          <cell r="G672" t="str">
            <v>3PTY</v>
          </cell>
          <cell r="H672" t="str">
            <v>Active</v>
          </cell>
          <cell r="I672" t="str">
            <v>Katyal,Varun</v>
          </cell>
          <cell r="J672" t="str">
            <v>QUES</v>
          </cell>
        </row>
        <row r="673">
          <cell r="A673">
            <v>204299913</v>
          </cell>
          <cell r="B673" t="str">
            <v>bericyaw</v>
          </cell>
          <cell r="C673" t="str">
            <v>Bruku,Eric Yaw</v>
          </cell>
          <cell r="D673">
            <v>12424896</v>
          </cell>
          <cell r="E673">
            <v>1299</v>
          </cell>
          <cell r="F673" t="str">
            <v>Mon Oct 21 00:00:00 UTC 2024</v>
          </cell>
          <cell r="G673" t="str">
            <v>3PTY</v>
          </cell>
          <cell r="H673" t="str">
            <v>Active</v>
          </cell>
          <cell r="I673" t="str">
            <v>Sohail,Anis</v>
          </cell>
          <cell r="J673" t="str">
            <v>QUES</v>
          </cell>
        </row>
        <row r="674">
          <cell r="A674">
            <v>205227534</v>
          </cell>
          <cell r="B674" t="str">
            <v>rzcolema</v>
          </cell>
          <cell r="C674" t="str">
            <v>COLEMAN,ROBERT</v>
          </cell>
          <cell r="D674">
            <v>11413451</v>
          </cell>
          <cell r="E674">
            <v>1299</v>
          </cell>
          <cell r="F674" t="str">
            <v>Mon May 12 00:00:00 UTC 2025</v>
          </cell>
          <cell r="G674" t="str">
            <v>3PTY</v>
          </cell>
          <cell r="H674" t="str">
            <v>Active</v>
          </cell>
          <cell r="I674" t="str">
            <v>Narshad,Muhammad Ashik</v>
          </cell>
          <cell r="J674" t="str">
            <v>DULS</v>
          </cell>
        </row>
        <row r="675">
          <cell r="A675">
            <v>204829908</v>
          </cell>
          <cell r="B675" t="str">
            <v>rrajamut</v>
          </cell>
          <cell r="C675" t="str">
            <v>Raja Munir Ahmed Khan,Raja Abdul Haseeb</v>
          </cell>
          <cell r="D675">
            <v>14668519</v>
          </cell>
          <cell r="E675">
            <v>1712</v>
          </cell>
          <cell r="F675" t="str">
            <v>Fri Jan 10 00:00:00 UTC 2025</v>
          </cell>
          <cell r="G675" t="str">
            <v>3PTY</v>
          </cell>
          <cell r="H675" t="str">
            <v>Active</v>
          </cell>
          <cell r="I675" t="str">
            <v>Rizvan,Mohamed</v>
          </cell>
          <cell r="J675" t="str">
            <v>KBTS</v>
          </cell>
        </row>
        <row r="676">
          <cell r="A676">
            <v>206873871</v>
          </cell>
          <cell r="B676" t="str">
            <v>ramugeny</v>
          </cell>
          <cell r="C676" t="str">
            <v>RAYMOND,MUGENYI</v>
          </cell>
          <cell r="D676">
            <v>13175279</v>
          </cell>
          <cell r="E676">
            <v>1299</v>
          </cell>
          <cell r="F676" t="str">
            <v>Mon Dec 29 00:00:00 UTC 2025</v>
          </cell>
          <cell r="G676" t="str">
            <v>3PTY</v>
          </cell>
          <cell r="H676" t="str">
            <v>Active</v>
          </cell>
          <cell r="I676" t="str">
            <v>Katyal,Varun</v>
          </cell>
          <cell r="J676" t="str">
            <v>DULS</v>
          </cell>
        </row>
        <row r="677">
          <cell r="A677">
            <v>203800584</v>
          </cell>
          <cell r="B677" t="str">
            <v>jkubahad</v>
          </cell>
          <cell r="C677" t="str">
            <v>BAHADUR,KUL</v>
          </cell>
          <cell r="D677">
            <v>15212300</v>
          </cell>
          <cell r="E677">
            <v>1299</v>
          </cell>
          <cell r="F677" t="str">
            <v>Fri Aug 09 00:00:00 UTC 2024</v>
          </cell>
          <cell r="G677" t="str">
            <v>3PTY</v>
          </cell>
          <cell r="H677" t="str">
            <v>Active</v>
          </cell>
          <cell r="I677" t="str">
            <v>POGALA,HAREESH</v>
          </cell>
          <cell r="J677" t="str">
            <v>KBTS</v>
          </cell>
        </row>
        <row r="678">
          <cell r="A678">
            <v>204246161</v>
          </cell>
          <cell r="B678" t="str">
            <v>diclklin</v>
          </cell>
          <cell r="C678" t="str">
            <v>Klinogo,Dickson Kojo</v>
          </cell>
          <cell r="D678">
            <v>11758819</v>
          </cell>
          <cell r="E678">
            <v>1299</v>
          </cell>
          <cell r="F678" t="str">
            <v>Mon Oct 14 00:00:00 UTC 2024</v>
          </cell>
          <cell r="G678" t="str">
            <v>3PTY</v>
          </cell>
          <cell r="H678" t="str">
            <v>Active</v>
          </cell>
          <cell r="I678" t="str">
            <v>Katyal,Varun</v>
          </cell>
          <cell r="J678" t="str">
            <v>QUES</v>
          </cell>
        </row>
        <row r="679">
          <cell r="A679">
            <v>206902845</v>
          </cell>
          <cell r="B679" t="str">
            <v>tchilemb</v>
          </cell>
          <cell r="C679" t="str">
            <v>CHILEMBA,JOSEPH</v>
          </cell>
          <cell r="D679">
            <v>12096566</v>
          </cell>
          <cell r="E679">
            <v>1299</v>
          </cell>
          <cell r="F679" t="str">
            <v>Thu Jan 08 00:00:00 UTC 2026</v>
          </cell>
          <cell r="G679" t="str">
            <v>3PTY</v>
          </cell>
          <cell r="H679" t="str">
            <v>Active</v>
          </cell>
          <cell r="I679" t="str">
            <v>Lakkireddy,Sai Raghavendra Reddy</v>
          </cell>
          <cell r="J679" t="str">
            <v>DULS</v>
          </cell>
        </row>
        <row r="680">
          <cell r="A680">
            <v>204967046</v>
          </cell>
          <cell r="B680" t="str">
            <v>anniipro</v>
          </cell>
          <cell r="C680" t="str">
            <v>ANNI,PROSPER</v>
          </cell>
          <cell r="D680">
            <v>12698326</v>
          </cell>
          <cell r="E680">
            <v>1299</v>
          </cell>
          <cell r="F680" t="str">
            <v>Wed Jun 18 00:00:00 UTC 2025</v>
          </cell>
          <cell r="G680" t="str">
            <v>3PTY</v>
          </cell>
          <cell r="H680" t="str">
            <v>Active</v>
          </cell>
          <cell r="I680" t="str">
            <v>Katyal,Varun</v>
          </cell>
          <cell r="J680" t="str">
            <v>DULS</v>
          </cell>
        </row>
        <row r="681">
          <cell r="A681">
            <v>205852635</v>
          </cell>
          <cell r="B681" t="str">
            <v>aloielia</v>
          </cell>
          <cell r="C681" t="str">
            <v>ALOI,ELIAS</v>
          </cell>
          <cell r="D681">
            <v>14876457</v>
          </cell>
          <cell r="E681">
            <v>1299</v>
          </cell>
          <cell r="F681" t="str">
            <v>Tue Aug 04 00:00:00 UTC 2026</v>
          </cell>
          <cell r="G681" t="str">
            <v>3PTY</v>
          </cell>
          <cell r="H681" t="str">
            <v>Active</v>
          </cell>
          <cell r="I681" t="str">
            <v>Narshad,Muhammad Ashik</v>
          </cell>
          <cell r="J681" t="str">
            <v>EFSV</v>
          </cell>
        </row>
        <row r="682">
          <cell r="A682">
            <v>204246157</v>
          </cell>
          <cell r="B682" t="str">
            <v>dhobhada</v>
          </cell>
          <cell r="C682" t="str">
            <v>Dhobha,Dadirai</v>
          </cell>
          <cell r="D682">
            <v>11706235</v>
          </cell>
          <cell r="E682">
            <v>1299</v>
          </cell>
          <cell r="F682" t="str">
            <v>Mon Oct 14 00:00:00 UTC 2024</v>
          </cell>
          <cell r="G682" t="str">
            <v>3PTY</v>
          </cell>
          <cell r="H682" t="str">
            <v>Active</v>
          </cell>
          <cell r="I682" t="str">
            <v>Katyal,Varun</v>
          </cell>
          <cell r="J682" t="str">
            <v>QUES</v>
          </cell>
        </row>
        <row r="683">
          <cell r="A683">
            <v>206174652</v>
          </cell>
          <cell r="B683" t="str">
            <v>fnjuliet</v>
          </cell>
          <cell r="C683" t="str">
            <v>Nanyombi,Juliet</v>
          </cell>
          <cell r="D683">
            <v>14413470</v>
          </cell>
          <cell r="E683">
            <v>1299</v>
          </cell>
          <cell r="F683" t="str">
            <v>Thu Oct 02 00:00:00 UTC 2025</v>
          </cell>
          <cell r="G683" t="str">
            <v>3PTY</v>
          </cell>
          <cell r="H683" t="str">
            <v>Active</v>
          </cell>
          <cell r="I683" t="str">
            <v>Meera,Bava Bahrudeen</v>
          </cell>
          <cell r="J683" t="str">
            <v>FLO</v>
          </cell>
        </row>
        <row r="684">
          <cell r="A684">
            <v>206953795</v>
          </cell>
          <cell r="B684" t="str">
            <v>nalhaudr</v>
          </cell>
          <cell r="C684" t="str">
            <v>Naliaka,Audrey Rael</v>
          </cell>
          <cell r="D684">
            <v>13135825</v>
          </cell>
          <cell r="E684">
            <v>1299</v>
          </cell>
          <cell r="F684" t="str">
            <v>Mon Jan 26 00:00:00 UTC 2026</v>
          </cell>
          <cell r="G684" t="str">
            <v>3PTY</v>
          </cell>
          <cell r="H684" t="str">
            <v>Active</v>
          </cell>
          <cell r="I684" t="str">
            <v>Dinberu,Eden</v>
          </cell>
          <cell r="J684" t="str">
            <v>EFSV</v>
          </cell>
        </row>
        <row r="685">
          <cell r="A685">
            <v>206884037</v>
          </cell>
          <cell r="B685" t="str">
            <v>jepkemby</v>
          </cell>
          <cell r="C685" t="str">
            <v>JEPKEMBOI,JUDITH</v>
          </cell>
          <cell r="D685">
            <v>62977</v>
          </cell>
          <cell r="E685">
            <v>1299</v>
          </cell>
          <cell r="F685" t="str">
            <v>Tue Aug 04 00:00:00 UTC 2026</v>
          </cell>
          <cell r="G685" t="str">
            <v>3PTY</v>
          </cell>
          <cell r="H685" t="str">
            <v>Active</v>
          </cell>
          <cell r="I685" t="str">
            <v>Narshad,Muhammad Ashik</v>
          </cell>
          <cell r="J685" t="str">
            <v>EFSV</v>
          </cell>
        </row>
        <row r="686">
          <cell r="A686">
            <v>207021669</v>
          </cell>
          <cell r="B686" t="str">
            <v>henbekel</v>
          </cell>
          <cell r="C686" t="str">
            <v>bekele,henok bekele</v>
          </cell>
          <cell r="D686">
            <v>14795274</v>
          </cell>
          <cell r="E686">
            <v>1712</v>
          </cell>
          <cell r="F686" t="str">
            <v>Tue Feb 10 00:00:00 UTC 2026</v>
          </cell>
          <cell r="G686" t="str">
            <v>3PTY</v>
          </cell>
          <cell r="H686" t="str">
            <v>Active</v>
          </cell>
          <cell r="I686" t="str">
            <v>Raynold,Shine</v>
          </cell>
          <cell r="J686" t="str">
            <v>KBTS</v>
          </cell>
        </row>
        <row r="687">
          <cell r="A687">
            <v>205647826</v>
          </cell>
          <cell r="B687" t="str">
            <v>bjemuasc</v>
          </cell>
          <cell r="C687" t="str">
            <v>Jemutai,Asca</v>
          </cell>
          <cell r="D687">
            <v>13957121</v>
          </cell>
          <cell r="E687">
            <v>1299</v>
          </cell>
          <cell r="F687" t="str">
            <v>Mon Jul 14 00:00:00 UTC 2025</v>
          </cell>
          <cell r="G687" t="str">
            <v>3PTY</v>
          </cell>
          <cell r="H687" t="str">
            <v>Active</v>
          </cell>
          <cell r="I687" t="str">
            <v>Sohail,Anis</v>
          </cell>
          <cell r="J687" t="str">
            <v>EFSV</v>
          </cell>
        </row>
        <row r="688">
          <cell r="A688">
            <v>204299547</v>
          </cell>
          <cell r="B688" t="str">
            <v>hamzmohp</v>
          </cell>
          <cell r="C688" t="str">
            <v>Mohammed,Hamza</v>
          </cell>
          <cell r="D688">
            <v>13821800</v>
          </cell>
          <cell r="E688">
            <v>1299</v>
          </cell>
          <cell r="F688" t="str">
            <v>Mon Oct 21 00:00:00 UTC 2024</v>
          </cell>
          <cell r="G688" t="str">
            <v>3PTY</v>
          </cell>
          <cell r="H688" t="str">
            <v>Active</v>
          </cell>
          <cell r="I688" t="str">
            <v>Scaria,Varghese</v>
          </cell>
          <cell r="J688" t="str">
            <v>QUES</v>
          </cell>
        </row>
        <row r="689">
          <cell r="A689">
            <v>203813034</v>
          </cell>
          <cell r="B689" t="str">
            <v>manoajay</v>
          </cell>
          <cell r="C689" t="str">
            <v>MANOHAR,AJAY AJAY</v>
          </cell>
          <cell r="D689">
            <v>11237629</v>
          </cell>
          <cell r="E689">
            <v>1299</v>
          </cell>
          <cell r="F689" t="str">
            <v>Tue Aug 13 00:00:00 UTC 2024</v>
          </cell>
          <cell r="G689" t="str">
            <v>3PTY</v>
          </cell>
          <cell r="H689" t="str">
            <v>Active</v>
          </cell>
          <cell r="I689" t="str">
            <v>Katyal,Varun</v>
          </cell>
          <cell r="J689" t="str">
            <v>ADEC</v>
          </cell>
        </row>
        <row r="690">
          <cell r="A690">
            <v>204868506</v>
          </cell>
          <cell r="B690" t="str">
            <v>annojust</v>
          </cell>
          <cell r="C690" t="str">
            <v>ANNOBIL,JUSTICE</v>
          </cell>
          <cell r="D690">
            <v>13898099</v>
          </cell>
          <cell r="E690">
            <v>1299</v>
          </cell>
          <cell r="F690" t="str">
            <v>Mon May 12 00:00:00 UTC 2025</v>
          </cell>
          <cell r="G690" t="str">
            <v>3PTY</v>
          </cell>
          <cell r="H690" t="str">
            <v>Active</v>
          </cell>
          <cell r="I690" t="str">
            <v>Narshad,Muhammad Ashik</v>
          </cell>
          <cell r="J690" t="str">
            <v>DULS</v>
          </cell>
        </row>
        <row r="691">
          <cell r="A691">
            <v>203965176</v>
          </cell>
          <cell r="B691" t="str">
            <v>agyemafy</v>
          </cell>
          <cell r="C691" t="str">
            <v>Agyemang,Freduah</v>
          </cell>
          <cell r="D691">
            <v>11073256</v>
          </cell>
          <cell r="E691">
            <v>1299</v>
          </cell>
          <cell r="F691" t="str">
            <v>Mon Sep 09 00:00:00 UTC 2024</v>
          </cell>
          <cell r="G691" t="str">
            <v>3PTY</v>
          </cell>
          <cell r="H691" t="str">
            <v>Active</v>
          </cell>
          <cell r="I691" t="str">
            <v>Lakkireddy,Sai Raghavendra Reddy</v>
          </cell>
          <cell r="J691" t="str">
            <v>FLO</v>
          </cell>
        </row>
        <row r="692">
          <cell r="A692">
            <v>203965009</v>
          </cell>
          <cell r="B692" t="str">
            <v>wmohshak</v>
          </cell>
          <cell r="C692" t="str">
            <v>Shakir,Mohamed</v>
          </cell>
          <cell r="D692">
            <v>11938924</v>
          </cell>
          <cell r="E692">
            <v>1299</v>
          </cell>
          <cell r="F692" t="str">
            <v>Mon Sep 09 00:00:00 UTC 2024</v>
          </cell>
          <cell r="G692" t="str">
            <v>3PTY</v>
          </cell>
          <cell r="H692" t="str">
            <v>Active</v>
          </cell>
          <cell r="I692" t="str">
            <v>Thomas,Binil</v>
          </cell>
          <cell r="J692" t="str">
            <v>ADEC</v>
          </cell>
        </row>
        <row r="693">
          <cell r="A693">
            <v>204403653</v>
          </cell>
          <cell r="B693" t="str">
            <v>muhathod</v>
          </cell>
          <cell r="C693" t="str">
            <v>THODIKALATHEEF HAMZA,MUHAMMED FAYIS PATER</v>
          </cell>
          <cell r="D693">
            <v>11945003</v>
          </cell>
          <cell r="E693">
            <v>1299</v>
          </cell>
          <cell r="F693" t="str">
            <v>Thu Oct 31 00:00:00 UTC 2024</v>
          </cell>
          <cell r="G693" t="str">
            <v>3PTY</v>
          </cell>
          <cell r="H693" t="str">
            <v>Active</v>
          </cell>
          <cell r="I693" t="str">
            <v>Katyal,Varun</v>
          </cell>
          <cell r="J693" t="str">
            <v>ADEC</v>
          </cell>
        </row>
        <row r="694">
          <cell r="A694">
            <v>205236897</v>
          </cell>
          <cell r="B694" t="str">
            <v>babismar</v>
          </cell>
          <cell r="C694" t="str">
            <v>BAAH,BISMARK</v>
          </cell>
          <cell r="D694">
            <v>12569522</v>
          </cell>
          <cell r="E694">
            <v>1299</v>
          </cell>
          <cell r="F694" t="str">
            <v>Mon May 12 00:00:00 UTC 2025</v>
          </cell>
          <cell r="G694" t="str">
            <v>3PTY</v>
          </cell>
          <cell r="H694" t="str">
            <v>Active</v>
          </cell>
          <cell r="I694" t="str">
            <v>Scaria,Varghese</v>
          </cell>
          <cell r="J694" t="str">
            <v>DULS</v>
          </cell>
        </row>
        <row r="695">
          <cell r="A695">
            <v>203800279</v>
          </cell>
          <cell r="B695" t="str">
            <v>shthapae</v>
          </cell>
          <cell r="C695" t="str">
            <v>THAPA,SHIVA</v>
          </cell>
          <cell r="D695">
            <v>14982594</v>
          </cell>
          <cell r="E695">
            <v>1299</v>
          </cell>
          <cell r="F695" t="str">
            <v>Fri Aug 09 00:00:00 UTC 2024</v>
          </cell>
          <cell r="G695" t="str">
            <v>3PTY</v>
          </cell>
          <cell r="H695" t="str">
            <v>Active</v>
          </cell>
          <cell r="I695" t="str">
            <v>Rajendran,Ajith Kumar</v>
          </cell>
          <cell r="J695" t="str">
            <v>KBTS</v>
          </cell>
        </row>
        <row r="696">
          <cell r="A696">
            <v>204951503</v>
          </cell>
          <cell r="B696" t="str">
            <v>isaackwa</v>
          </cell>
          <cell r="C696" t="str">
            <v>YEBOAH,ISAAC KWADWO</v>
          </cell>
          <cell r="D696">
            <v>13146550</v>
          </cell>
          <cell r="E696">
            <v>1299</v>
          </cell>
          <cell r="F696" t="str">
            <v>Mon Mar 03 00:00:00 UTC 2025</v>
          </cell>
          <cell r="G696" t="str">
            <v>3PTY</v>
          </cell>
          <cell r="H696" t="str">
            <v>Active</v>
          </cell>
          <cell r="I696" t="str">
            <v>Lakkireddy,Sai Raghavendra Reddy</v>
          </cell>
          <cell r="J696" t="str">
            <v>DULS</v>
          </cell>
        </row>
        <row r="697">
          <cell r="A697">
            <v>207019300</v>
          </cell>
          <cell r="B697" t="str">
            <v>mdmofizm</v>
          </cell>
          <cell r="C697" t="str">
            <v>Md Mofiz Ullah,Md Sujan Md Mofiz Ullah</v>
          </cell>
          <cell r="D697">
            <v>12550822</v>
          </cell>
          <cell r="E697">
            <v>1712</v>
          </cell>
          <cell r="F697" t="str">
            <v>Tue Feb 10 00:00:00 UTC 2026</v>
          </cell>
          <cell r="G697" t="str">
            <v>3PTY</v>
          </cell>
          <cell r="H697" t="str">
            <v>Active</v>
          </cell>
          <cell r="I697" t="str">
            <v>Raynold,Shine</v>
          </cell>
          <cell r="J697" t="str">
            <v>KBTS</v>
          </cell>
        </row>
        <row r="698">
          <cell r="A698">
            <v>202199036</v>
          </cell>
          <cell r="B698" t="str">
            <v>sadubeas</v>
          </cell>
          <cell r="C698" t="str">
            <v>Adubea,Sarah</v>
          </cell>
          <cell r="D698">
            <v>11942205</v>
          </cell>
          <cell r="E698">
            <v>1299</v>
          </cell>
          <cell r="F698" t="str">
            <v>Thu Sep 26 00:00:00 UTC 2024</v>
          </cell>
          <cell r="G698" t="str">
            <v>3PTY</v>
          </cell>
          <cell r="H698" t="str">
            <v>Active</v>
          </cell>
          <cell r="I698" t="str">
            <v>Ansari,Ammar Abdullah</v>
          </cell>
          <cell r="J698" t="str">
            <v>QUES</v>
          </cell>
        </row>
        <row r="699">
          <cell r="A699">
            <v>206128855</v>
          </cell>
          <cell r="B699" t="str">
            <v>frsagyem</v>
          </cell>
          <cell r="C699" t="str">
            <v>Agyemang,Freda</v>
          </cell>
          <cell r="D699">
            <v>12010457</v>
          </cell>
          <cell r="E699">
            <v>1299</v>
          </cell>
          <cell r="F699" t="str">
            <v>Mon Sep 29 00:00:00 UTC 2025</v>
          </cell>
          <cell r="G699" t="str">
            <v>3PTY</v>
          </cell>
          <cell r="H699" t="str">
            <v>Active</v>
          </cell>
          <cell r="I699" t="str">
            <v>Ansari,Ammar Abdullah</v>
          </cell>
          <cell r="J699" t="str">
            <v>FLO</v>
          </cell>
        </row>
        <row r="700">
          <cell r="A700">
            <v>204967051</v>
          </cell>
          <cell r="B700" t="str">
            <v>selaryea</v>
          </cell>
          <cell r="C700" t="str">
            <v>LARYEA,SETH</v>
          </cell>
          <cell r="D700">
            <v>13570213</v>
          </cell>
          <cell r="E700">
            <v>1299</v>
          </cell>
          <cell r="F700" t="str">
            <v>Wed Jun 18 00:00:00 UTC 2025</v>
          </cell>
          <cell r="G700" t="str">
            <v>3PTY</v>
          </cell>
          <cell r="H700" t="str">
            <v>Active</v>
          </cell>
          <cell r="I700" t="str">
            <v>Katyal,Varun</v>
          </cell>
          <cell r="J700" t="str">
            <v>DULS</v>
          </cell>
        </row>
        <row r="701">
          <cell r="A701">
            <v>202199024</v>
          </cell>
          <cell r="B701" t="str">
            <v>josdohmo</v>
          </cell>
          <cell r="C701" t="str">
            <v>Dohmovat,Joseph Gana</v>
          </cell>
          <cell r="D701">
            <v>15044084</v>
          </cell>
          <cell r="E701">
            <v>1299</v>
          </cell>
          <cell r="F701" t="str">
            <v>Thu Oct 24 00:00:00 UTC 2024</v>
          </cell>
          <cell r="G701" t="str">
            <v>3PTY</v>
          </cell>
          <cell r="H701" t="str">
            <v>Active</v>
          </cell>
          <cell r="I701" t="str">
            <v>Sohail,Anis</v>
          </cell>
          <cell r="J701" t="str">
            <v>QUES</v>
          </cell>
        </row>
        <row r="702">
          <cell r="A702">
            <v>203964995</v>
          </cell>
          <cell r="B702" t="str">
            <v>agthanka</v>
          </cell>
          <cell r="C702" t="str">
            <v>Thankachan,Ashil</v>
          </cell>
          <cell r="D702">
            <v>11663227</v>
          </cell>
          <cell r="E702">
            <v>1299</v>
          </cell>
          <cell r="F702" t="str">
            <v>Mon Sep 09 00:00:00 UTC 2024</v>
          </cell>
          <cell r="G702" t="str">
            <v>3PTY</v>
          </cell>
          <cell r="H702" t="str">
            <v>Active</v>
          </cell>
          <cell r="I702" t="str">
            <v>Narshad,Muhammad Ashik</v>
          </cell>
          <cell r="J702" t="str">
            <v>ADEC</v>
          </cell>
        </row>
        <row r="703">
          <cell r="A703">
            <v>205627233</v>
          </cell>
          <cell r="B703" t="str">
            <v>efhayfor</v>
          </cell>
          <cell r="C703" t="str">
            <v>Effah,Hayford</v>
          </cell>
          <cell r="D703">
            <v>261182</v>
          </cell>
          <cell r="E703">
            <v>1299</v>
          </cell>
          <cell r="F703" t="str">
            <v>Mon Jul 14 00:00:00 UTC 2025</v>
          </cell>
          <cell r="G703" t="str">
            <v>3PTY</v>
          </cell>
          <cell r="H703" t="str">
            <v>Active</v>
          </cell>
          <cell r="I703" t="str">
            <v>Lakkireddy,Sai Raghavendra Reddy</v>
          </cell>
          <cell r="J703" t="str">
            <v>EFSV</v>
          </cell>
        </row>
        <row r="704">
          <cell r="A704">
            <v>203405014</v>
          </cell>
          <cell r="B704" t="str">
            <v>selvansn</v>
          </cell>
          <cell r="C704" t="str">
            <v>Selvan,Subin Jose</v>
          </cell>
          <cell r="D704">
            <v>15048063</v>
          </cell>
          <cell r="E704">
            <v>1299</v>
          </cell>
          <cell r="F704" t="str">
            <v>Thu May 30 00:00:00 UTC 2024</v>
          </cell>
          <cell r="G704" t="str">
            <v>3PTY</v>
          </cell>
          <cell r="H704" t="str">
            <v>Active</v>
          </cell>
          <cell r="I704" t="str">
            <v>Akhtar,Muhammad Zohaib</v>
          </cell>
          <cell r="J704" t="str">
            <v>WOFZ</v>
          </cell>
        </row>
        <row r="705">
          <cell r="A705">
            <v>206491328</v>
          </cell>
          <cell r="B705" t="str">
            <v>catelenw</v>
          </cell>
          <cell r="C705" t="str">
            <v>MUCHERU,CATELEN WANJIRA</v>
          </cell>
          <cell r="D705">
            <v>11780508</v>
          </cell>
          <cell r="E705">
            <v>1299</v>
          </cell>
          <cell r="F705" t="str">
            <v>Tue Aug 04 00:00:00 UTC 2026</v>
          </cell>
          <cell r="G705" t="str">
            <v>3PTY</v>
          </cell>
          <cell r="H705" t="str">
            <v>Active</v>
          </cell>
          <cell r="I705" t="str">
            <v>Narshad,Muhammad Ashik</v>
          </cell>
          <cell r="J705" t="str">
            <v>EFSV</v>
          </cell>
        </row>
        <row r="706">
          <cell r="A706">
            <v>206957724</v>
          </cell>
          <cell r="B706" t="str">
            <v>elizmunu</v>
          </cell>
          <cell r="C706" t="str">
            <v>Mungai,Elizabeth Njeri</v>
          </cell>
          <cell r="D706">
            <v>12445126</v>
          </cell>
          <cell r="E706">
            <v>1299</v>
          </cell>
          <cell r="F706" t="str">
            <v>Mon Jan 26 00:00:00 UTC 2026</v>
          </cell>
          <cell r="G706" t="str">
            <v>3PTY</v>
          </cell>
          <cell r="H706" t="str">
            <v>Active</v>
          </cell>
          <cell r="I706" t="str">
            <v>Sohail,Anis</v>
          </cell>
          <cell r="J706" t="str">
            <v>EFSV</v>
          </cell>
        </row>
        <row r="707">
          <cell r="A707">
            <v>206953819</v>
          </cell>
          <cell r="B707" t="str">
            <v>suwanjik</v>
          </cell>
          <cell r="C707" t="str">
            <v>WANJIKU,SUSAN RUGURU</v>
          </cell>
          <cell r="D707">
            <v>13564769</v>
          </cell>
          <cell r="E707">
            <v>1299</v>
          </cell>
          <cell r="F707" t="str">
            <v>Mon Jan 26 00:00:00 UTC 2026</v>
          </cell>
          <cell r="G707" t="str">
            <v>3PTY</v>
          </cell>
          <cell r="H707" t="str">
            <v>Active</v>
          </cell>
          <cell r="I707" t="str">
            <v>Dinberu,Eden</v>
          </cell>
          <cell r="J707" t="str">
            <v>EFSV</v>
          </cell>
        </row>
        <row r="708">
          <cell r="A708">
            <v>204084640</v>
          </cell>
          <cell r="B708" t="str">
            <v>yazoriza</v>
          </cell>
          <cell r="C708" t="str">
            <v>Yazon,Riza Liza</v>
          </cell>
          <cell r="D708">
            <v>13815933</v>
          </cell>
          <cell r="E708">
            <v>1290</v>
          </cell>
          <cell r="F708" t="str">
            <v>Fri Sep 20 00:00:00 UTC 2024</v>
          </cell>
          <cell r="G708" t="str">
            <v>3PTY</v>
          </cell>
          <cell r="H708" t="str">
            <v>Active</v>
          </cell>
          <cell r="I708" t="str">
            <v>Kumar,Arun</v>
          </cell>
          <cell r="J708" t="str">
            <v>EMIR</v>
          </cell>
        </row>
        <row r="709">
          <cell r="A709">
            <v>206239531</v>
          </cell>
          <cell r="B709" t="str">
            <v>ellvicen</v>
          </cell>
          <cell r="C709" t="str">
            <v>ELLEN IDUN,VICENTIA</v>
          </cell>
          <cell r="D709">
            <v>13013479</v>
          </cell>
          <cell r="E709">
            <v>1299</v>
          </cell>
          <cell r="F709" t="str">
            <v>Mon Oct 13 00:00:00 UTC 2025</v>
          </cell>
          <cell r="G709" t="str">
            <v>3PTY</v>
          </cell>
          <cell r="H709" t="str">
            <v>Active</v>
          </cell>
          <cell r="I709" t="str">
            <v>elrashid,Hassan</v>
          </cell>
          <cell r="J709" t="str">
            <v>FLO</v>
          </cell>
        </row>
        <row r="710">
          <cell r="A710">
            <v>206850965</v>
          </cell>
          <cell r="B710" t="str">
            <v>imkinobe</v>
          </cell>
          <cell r="C710" t="str">
            <v>KINOBE,MUHAMMAD</v>
          </cell>
          <cell r="D710">
            <v>344108</v>
          </cell>
          <cell r="E710">
            <v>1299</v>
          </cell>
          <cell r="F710" t="str">
            <v>Mon Dec 22 00:00:00 UTC 2025</v>
          </cell>
          <cell r="G710" t="str">
            <v>3PTY</v>
          </cell>
          <cell r="H710" t="str">
            <v>Active</v>
          </cell>
          <cell r="I710" t="str">
            <v>Ansari,Ammar Abdullah</v>
          </cell>
          <cell r="J710" t="str">
            <v>DULS</v>
          </cell>
        </row>
        <row r="711">
          <cell r="A711">
            <v>205638325</v>
          </cell>
          <cell r="B711" t="str">
            <v>tamangrv</v>
          </cell>
          <cell r="C711" t="str">
            <v>Tamang,Rupesh</v>
          </cell>
          <cell r="D711">
            <v>12113282</v>
          </cell>
          <cell r="E711">
            <v>1712</v>
          </cell>
          <cell r="F711" t="str">
            <v>Tue Jul 08 00:00:00 UTC 2025</v>
          </cell>
          <cell r="G711" t="str">
            <v>3PTY</v>
          </cell>
          <cell r="H711" t="str">
            <v>Active</v>
          </cell>
          <cell r="I711" t="str">
            <v>Rizvan,Mohamed</v>
          </cell>
          <cell r="J711" t="str">
            <v>KBTS</v>
          </cell>
        </row>
        <row r="712">
          <cell r="A712">
            <v>203469396</v>
          </cell>
          <cell r="B712" t="str">
            <v>namutmar</v>
          </cell>
          <cell r="C712" t="str">
            <v>NAMUTEBI,MARY</v>
          </cell>
          <cell r="D712">
            <v>11965665</v>
          </cell>
          <cell r="E712">
            <v>1299</v>
          </cell>
          <cell r="F712" t="str">
            <v>Thu Jun 13 00:00:00 UTC 2024</v>
          </cell>
          <cell r="G712" t="str">
            <v>3PTY</v>
          </cell>
          <cell r="H712" t="str">
            <v>Active</v>
          </cell>
          <cell r="I712" t="str">
            <v>Meera,Bava Bahrudeen</v>
          </cell>
          <cell r="J712" t="str">
            <v>ADEC</v>
          </cell>
        </row>
        <row r="713">
          <cell r="A713">
            <v>206897556</v>
          </cell>
          <cell r="B713" t="str">
            <v>echubobo</v>
          </cell>
          <cell r="C713" t="str">
            <v>ECHUBOU NANA,BORIS</v>
          </cell>
          <cell r="D713">
            <v>12631953</v>
          </cell>
          <cell r="E713">
            <v>1299</v>
          </cell>
          <cell r="F713" t="str">
            <v>Thu Jan 08 00:00:00 UTC 2026</v>
          </cell>
          <cell r="G713" t="str">
            <v>3PTY</v>
          </cell>
          <cell r="H713" t="str">
            <v>Active</v>
          </cell>
          <cell r="I713" t="str">
            <v>Narshad,Muhammad Ashik</v>
          </cell>
          <cell r="J713" t="str">
            <v>FLO</v>
          </cell>
        </row>
        <row r="714">
          <cell r="A714">
            <v>204155451</v>
          </cell>
          <cell r="B714" t="str">
            <v>amnajami</v>
          </cell>
          <cell r="C714" t="str">
            <v>JAMIL,AMNA JAMIL</v>
          </cell>
          <cell r="D714">
            <v>11685023</v>
          </cell>
          <cell r="E714">
            <v>1299</v>
          </cell>
          <cell r="F714" t="str">
            <v>Tue Oct 01 00:00:00 UTC 2024</v>
          </cell>
          <cell r="G714" t="str">
            <v>3PTY</v>
          </cell>
          <cell r="H714" t="str">
            <v>Active</v>
          </cell>
          <cell r="I714" t="str">
            <v>Joshi,Anirudh</v>
          </cell>
          <cell r="J714" t="str">
            <v>DULS</v>
          </cell>
        </row>
        <row r="715">
          <cell r="A715">
            <v>207871330</v>
          </cell>
          <cell r="B715" t="str">
            <v>eissahaz</v>
          </cell>
          <cell r="C715" t="str">
            <v>Eissa,Hazem Ahmed</v>
          </cell>
          <cell r="D715">
            <v>13890079</v>
          </cell>
          <cell r="E715">
            <v>1316</v>
          </cell>
          <cell r="F715" t="str">
            <v>Sat Jul 04 00:00:00 UTC 2026</v>
          </cell>
          <cell r="G715" t="str">
            <v>3PTY</v>
          </cell>
          <cell r="H715" t="str">
            <v>Active</v>
          </cell>
          <cell r="I715" t="str">
            <v>Akhtar,Muhammad Zohaib</v>
          </cell>
          <cell r="J715" t="str">
            <v>WOFZ</v>
          </cell>
        </row>
        <row r="716">
          <cell r="A716">
            <v>206016551</v>
          </cell>
          <cell r="B716" t="str">
            <v>brigtawu</v>
          </cell>
          <cell r="C716" t="str">
            <v>TAWUYANARGWO,BRIGHTON</v>
          </cell>
          <cell r="D716">
            <v>11000409</v>
          </cell>
          <cell r="E716">
            <v>1299</v>
          </cell>
          <cell r="F716" t="str">
            <v>Mon Sep 15 00:00:00 UTC 2025</v>
          </cell>
          <cell r="G716" t="str">
            <v>3PTY</v>
          </cell>
          <cell r="H716" t="str">
            <v>Active</v>
          </cell>
          <cell r="I716" t="str">
            <v>Sohail,Anis</v>
          </cell>
          <cell r="J716" t="str">
            <v>FLO</v>
          </cell>
        </row>
        <row r="717">
          <cell r="A717">
            <v>206131236</v>
          </cell>
          <cell r="B717" t="str">
            <v>anoorsal</v>
          </cell>
          <cell r="C717" t="str">
            <v>Abdul Bareque,Noor Salam</v>
          </cell>
          <cell r="D717">
            <v>13962048</v>
          </cell>
          <cell r="E717">
            <v>1712</v>
          </cell>
          <cell r="F717" t="str">
            <v>Wed Sep 24 00:00:00 UTC 2025</v>
          </cell>
          <cell r="G717" t="str">
            <v>3PTY</v>
          </cell>
          <cell r="H717" t="str">
            <v>Active</v>
          </cell>
          <cell r="I717" t="str">
            <v>Rizvan,Mohamed</v>
          </cell>
          <cell r="J717" t="str">
            <v>KBTS</v>
          </cell>
        </row>
        <row r="718">
          <cell r="A718">
            <v>203709743</v>
          </cell>
          <cell r="B718" t="str">
            <v>nardsa</v>
          </cell>
          <cell r="C718" t="str">
            <v>Nar,Saw lwe</v>
          </cell>
          <cell r="D718">
            <v>14110689</v>
          </cell>
          <cell r="E718">
            <v>1299</v>
          </cell>
          <cell r="F718" t="str">
            <v>Mon Jul 22 00:00:00 UTC 2024</v>
          </cell>
          <cell r="G718" t="str">
            <v>3PTY</v>
          </cell>
          <cell r="H718" t="str">
            <v>Active</v>
          </cell>
          <cell r="I718" t="str">
            <v>Katyal,Varun</v>
          </cell>
          <cell r="J718" t="str">
            <v>ADEC</v>
          </cell>
        </row>
        <row r="719">
          <cell r="A719">
            <v>206875144</v>
          </cell>
          <cell r="B719" t="str">
            <v>ramaafid</v>
          </cell>
          <cell r="C719" t="str">
            <v>RAMADHANI,AFIDHU SWAMADU</v>
          </cell>
          <cell r="D719">
            <v>13243737</v>
          </cell>
          <cell r="E719">
            <v>1299</v>
          </cell>
          <cell r="F719" t="str">
            <v>Mon Dec 29 00:00:00 UTC 2025</v>
          </cell>
          <cell r="G719" t="str">
            <v>3PTY</v>
          </cell>
          <cell r="H719" t="str">
            <v>Active</v>
          </cell>
          <cell r="I719" t="str">
            <v>Sohail,Anis</v>
          </cell>
          <cell r="J719" t="str">
            <v>DULS</v>
          </cell>
        </row>
        <row r="720">
          <cell r="A720">
            <v>203469053</v>
          </cell>
          <cell r="B720" t="str">
            <v>joaagyek</v>
          </cell>
          <cell r="C720" t="str">
            <v>Agyekum,Joana Alice</v>
          </cell>
          <cell r="D720">
            <v>14426715</v>
          </cell>
          <cell r="E720">
            <v>1299</v>
          </cell>
          <cell r="F720" t="str">
            <v>Thu Jun 13 00:00:00 UTC 2024</v>
          </cell>
          <cell r="G720" t="str">
            <v>3PTY</v>
          </cell>
          <cell r="H720" t="str">
            <v>Active</v>
          </cell>
          <cell r="I720" t="str">
            <v>Sohail,Anis</v>
          </cell>
          <cell r="J720" t="str">
            <v>FLO</v>
          </cell>
        </row>
        <row r="721">
          <cell r="A721">
            <v>204072300</v>
          </cell>
          <cell r="B721" t="str">
            <v>weermich</v>
          </cell>
          <cell r="C721" t="str">
            <v>WEERE,MICHEAL</v>
          </cell>
          <cell r="D721">
            <v>13349469</v>
          </cell>
          <cell r="E721">
            <v>1299</v>
          </cell>
          <cell r="F721" t="str">
            <v>Mon Sep 23 00:00:00 UTC 2024</v>
          </cell>
          <cell r="G721" t="str">
            <v>3PTY</v>
          </cell>
          <cell r="H721" t="str">
            <v>Active</v>
          </cell>
          <cell r="I721" t="str">
            <v>Ansari,Ammar Abdullah</v>
          </cell>
          <cell r="J721" t="str">
            <v>DULS</v>
          </cell>
        </row>
        <row r="722">
          <cell r="A722">
            <v>206886635</v>
          </cell>
          <cell r="B722" t="str">
            <v>bittorut</v>
          </cell>
          <cell r="C722" t="str">
            <v>BITTOK,RUTH JEMUTAI</v>
          </cell>
          <cell r="D722">
            <v>11377617</v>
          </cell>
          <cell r="E722">
            <v>1299</v>
          </cell>
          <cell r="F722" t="str">
            <v>Mon Jan 05 00:00:00 UTC 2026</v>
          </cell>
          <cell r="G722" t="str">
            <v>3PTY</v>
          </cell>
          <cell r="H722" t="str">
            <v>Active</v>
          </cell>
          <cell r="I722" t="str">
            <v>Katyal,Varun</v>
          </cell>
          <cell r="J722" t="str">
            <v>EFSV</v>
          </cell>
        </row>
        <row r="723">
          <cell r="A723">
            <v>203736775</v>
          </cell>
          <cell r="B723" t="str">
            <v>sakuttan</v>
          </cell>
          <cell r="C723" t="str">
            <v>Kuttan,Sanoj</v>
          </cell>
          <cell r="D723">
            <v>107276</v>
          </cell>
          <cell r="E723">
            <v>1299</v>
          </cell>
          <cell r="F723" t="str">
            <v>Mon Jul 29 00:00:00 UTC 2024</v>
          </cell>
          <cell r="G723" t="str">
            <v>3PTY</v>
          </cell>
          <cell r="H723" t="str">
            <v>Active</v>
          </cell>
          <cell r="I723" t="str">
            <v>Ansari,Ammar Abdullah</v>
          </cell>
          <cell r="J723" t="str">
            <v>ADEC</v>
          </cell>
        </row>
        <row r="724">
          <cell r="A724">
            <v>203160758</v>
          </cell>
          <cell r="B724" t="str">
            <v>hshashar</v>
          </cell>
          <cell r="C724" t="str">
            <v>SHAJAHAN,SHAROOKHAN</v>
          </cell>
          <cell r="D724">
            <v>14391380</v>
          </cell>
          <cell r="E724">
            <v>1299</v>
          </cell>
          <cell r="F724" t="str">
            <v>Sun Mar 31 00:00:00 UTC 2024</v>
          </cell>
          <cell r="G724" t="str">
            <v>3PTY</v>
          </cell>
          <cell r="H724" t="str">
            <v>Active</v>
          </cell>
          <cell r="I724" t="str">
            <v>Akhtar,Muhammad Zohaib</v>
          </cell>
          <cell r="J724" t="str">
            <v>WOFZ</v>
          </cell>
        </row>
        <row r="725">
          <cell r="A725">
            <v>203817155</v>
          </cell>
          <cell r="B725" t="str">
            <v>ananjosp</v>
          </cell>
          <cell r="C725" t="str">
            <v>ANANG,JOSEPH OBLIE</v>
          </cell>
          <cell r="D725">
            <v>13704182</v>
          </cell>
          <cell r="E725">
            <v>1299</v>
          </cell>
          <cell r="F725" t="str">
            <v>Tue Aug 13 00:00:00 UTC 2024</v>
          </cell>
          <cell r="G725" t="str">
            <v>3PTY</v>
          </cell>
          <cell r="H725" t="str">
            <v>Active</v>
          </cell>
          <cell r="I725" t="str">
            <v>Meera,Bava Bahrudeen</v>
          </cell>
          <cell r="J725" t="str">
            <v>FLO</v>
          </cell>
        </row>
        <row r="726">
          <cell r="A726">
            <v>203521133</v>
          </cell>
          <cell r="B726" t="str">
            <v>agyeieem</v>
          </cell>
          <cell r="C726" t="str">
            <v>Agyei,Emmanuel Yeboah</v>
          </cell>
          <cell r="D726">
            <v>15308079</v>
          </cell>
          <cell r="E726">
            <v>1299</v>
          </cell>
          <cell r="F726" t="str">
            <v>Thu Jun 20 00:00:00 UTC 2024</v>
          </cell>
          <cell r="G726" t="str">
            <v>3PTY</v>
          </cell>
          <cell r="H726" t="str">
            <v>Active</v>
          </cell>
          <cell r="I726" t="str">
            <v>Katyal,Varun</v>
          </cell>
          <cell r="J726" t="str">
            <v>FLO</v>
          </cell>
        </row>
        <row r="727">
          <cell r="A727">
            <v>204299912</v>
          </cell>
          <cell r="B727" t="str">
            <v>awagagod</v>
          </cell>
          <cell r="C727" t="str">
            <v>Awagah,Godwin</v>
          </cell>
          <cell r="D727">
            <v>11326318</v>
          </cell>
          <cell r="E727">
            <v>1299</v>
          </cell>
          <cell r="F727" t="str">
            <v>Thu Oct 24 00:00:00 UTC 2024</v>
          </cell>
          <cell r="G727" t="str">
            <v>3PTY</v>
          </cell>
          <cell r="H727" t="str">
            <v>Active</v>
          </cell>
          <cell r="I727" t="str">
            <v>Katyal,Varun</v>
          </cell>
          <cell r="J727" t="str">
            <v>QUES</v>
          </cell>
        </row>
        <row r="728">
          <cell r="A728">
            <v>203555400</v>
          </cell>
          <cell r="B728" t="str">
            <v>asiamahb</v>
          </cell>
          <cell r="C728" t="str">
            <v>Asiamah,Georgina</v>
          </cell>
          <cell r="D728">
            <v>13412074</v>
          </cell>
          <cell r="E728">
            <v>1299</v>
          </cell>
          <cell r="F728" t="str">
            <v>Thu Jun 27 00:00:00 UTC 2024</v>
          </cell>
          <cell r="G728" t="str">
            <v>3PTY</v>
          </cell>
          <cell r="H728" t="str">
            <v>Active</v>
          </cell>
          <cell r="I728" t="str">
            <v>Sohail,Anis</v>
          </cell>
          <cell r="J728" t="str">
            <v>FLO</v>
          </cell>
        </row>
        <row r="729">
          <cell r="A729">
            <v>205276100</v>
          </cell>
          <cell r="B729" t="str">
            <v>stepheof</v>
          </cell>
          <cell r="C729" t="str">
            <v>OFORI,STEPHEN NYADU</v>
          </cell>
          <cell r="D729">
            <v>137113</v>
          </cell>
          <cell r="E729">
            <v>1299</v>
          </cell>
          <cell r="F729" t="str">
            <v>Mon May 19 00:00:00 UTC 2025</v>
          </cell>
          <cell r="G729" t="str">
            <v>3PTY</v>
          </cell>
          <cell r="H729" t="str">
            <v>Active</v>
          </cell>
          <cell r="I729" t="str">
            <v>Meera,Bava Bahrudeen</v>
          </cell>
          <cell r="J729" t="str">
            <v>DULS</v>
          </cell>
        </row>
        <row r="730">
          <cell r="A730">
            <v>205147668</v>
          </cell>
          <cell r="B730" t="str">
            <v>adshahad</v>
          </cell>
          <cell r="C730" t="str">
            <v>Abdul Sattar Khan,Shahadat Hossain Khan</v>
          </cell>
          <cell r="D730">
            <v>14593165</v>
          </cell>
          <cell r="E730">
            <v>1712</v>
          </cell>
          <cell r="F730" t="str">
            <v>Fri Apr 11 00:00:00 UTC 2025</v>
          </cell>
          <cell r="G730" t="str">
            <v>3PTY</v>
          </cell>
          <cell r="H730" t="str">
            <v>Active</v>
          </cell>
          <cell r="I730" t="str">
            <v>POGALA,HAREESH</v>
          </cell>
          <cell r="J730" t="str">
            <v>KBTS</v>
          </cell>
        </row>
        <row r="731">
          <cell r="A731">
            <v>203521129</v>
          </cell>
          <cell r="B731" t="str">
            <v>bismopok</v>
          </cell>
          <cell r="C731" t="str">
            <v>Opoku,Bismark</v>
          </cell>
          <cell r="D731">
            <v>14390779</v>
          </cell>
          <cell r="E731">
            <v>1299</v>
          </cell>
          <cell r="F731" t="str">
            <v>Thu Jun 20 00:00:00 UTC 2024</v>
          </cell>
          <cell r="G731" t="str">
            <v>3PTY</v>
          </cell>
          <cell r="H731" t="str">
            <v>Active</v>
          </cell>
          <cell r="I731" t="str">
            <v>Katyal,Varun</v>
          </cell>
          <cell r="J731" t="str">
            <v>FLO</v>
          </cell>
        </row>
        <row r="732">
          <cell r="A732">
            <v>201461708</v>
          </cell>
          <cell r="B732" t="str">
            <v>pveeradd</v>
          </cell>
          <cell r="C732" t="str">
            <v>Veeradevan Veeradevan,Pradeep</v>
          </cell>
          <cell r="D732">
            <v>13240989</v>
          </cell>
          <cell r="E732">
            <v>1299</v>
          </cell>
          <cell r="F732" t="str">
            <v>Wed Sep 25 00:00:00 UTC 2024</v>
          </cell>
          <cell r="G732" t="str">
            <v>3PTY</v>
          </cell>
          <cell r="H732" t="str">
            <v>Active</v>
          </cell>
          <cell r="I732" t="str">
            <v>Rizvan,Mohamed</v>
          </cell>
          <cell r="J732" t="str">
            <v>KBTS</v>
          </cell>
        </row>
        <row r="733">
          <cell r="A733">
            <v>204095809</v>
          </cell>
          <cell r="B733" t="str">
            <v>nawahbes</v>
          </cell>
          <cell r="C733" t="str">
            <v>Saye,Nawah Bestman</v>
          </cell>
          <cell r="D733">
            <v>13019493</v>
          </cell>
          <cell r="E733">
            <v>1299</v>
          </cell>
          <cell r="F733" t="str">
            <v>Thu Sep 26 00:00:00 UTC 2024</v>
          </cell>
          <cell r="G733" t="str">
            <v>3PTY</v>
          </cell>
          <cell r="H733" t="str">
            <v>Active</v>
          </cell>
          <cell r="I733" t="str">
            <v>Scaria,Varghese</v>
          </cell>
          <cell r="J733" t="str">
            <v>QUES</v>
          </cell>
        </row>
        <row r="734">
          <cell r="A734">
            <v>205608629</v>
          </cell>
          <cell r="B734" t="str">
            <v>thembjos</v>
          </cell>
          <cell r="C734" t="str">
            <v>THEMBO,JOSEPH MUNEYI</v>
          </cell>
          <cell r="D734">
            <v>53473</v>
          </cell>
          <cell r="E734">
            <v>1299</v>
          </cell>
          <cell r="F734" t="str">
            <v>Mon Jul 07 00:00:00 UTC 2025</v>
          </cell>
          <cell r="G734" t="str">
            <v>3PTY</v>
          </cell>
          <cell r="H734" t="str">
            <v>Active</v>
          </cell>
          <cell r="I734" t="str">
            <v>Katyal,Varun</v>
          </cell>
          <cell r="J734" t="str">
            <v>DULS</v>
          </cell>
        </row>
        <row r="735">
          <cell r="A735">
            <v>203965521</v>
          </cell>
          <cell r="B735" t="str">
            <v>sunashir</v>
          </cell>
          <cell r="C735" t="str">
            <v>Nashiru,Samsudeen</v>
          </cell>
          <cell r="D735">
            <v>11606222</v>
          </cell>
          <cell r="E735">
            <v>1299</v>
          </cell>
          <cell r="F735" t="str">
            <v>Mon Sep 09 00:00:00 UTC 2024</v>
          </cell>
          <cell r="G735" t="str">
            <v>3PTY</v>
          </cell>
          <cell r="H735" t="str">
            <v>Active</v>
          </cell>
          <cell r="I735" t="str">
            <v>Katyal,Varun</v>
          </cell>
          <cell r="J735" t="str">
            <v>FLO</v>
          </cell>
        </row>
        <row r="736">
          <cell r="A736">
            <v>203679309</v>
          </cell>
          <cell r="B736" t="str">
            <v>njitaria</v>
          </cell>
          <cell r="C736" t="str">
            <v>abdel,koudous</v>
          </cell>
          <cell r="D736">
            <v>11331507</v>
          </cell>
          <cell r="E736">
            <v>1299</v>
          </cell>
          <cell r="F736" t="str">
            <v>Mon Jul 15 00:00:00 UTC 2024</v>
          </cell>
          <cell r="G736" t="str">
            <v>3PTY</v>
          </cell>
          <cell r="H736" t="str">
            <v>Active</v>
          </cell>
          <cell r="I736" t="str">
            <v>Sohail,Anis</v>
          </cell>
          <cell r="J736" t="str">
            <v>FLO</v>
          </cell>
        </row>
        <row r="737">
          <cell r="A737">
            <v>203918123</v>
          </cell>
          <cell r="B737" t="str">
            <v>chashaav</v>
          </cell>
          <cell r="C737" t="str">
            <v>Chauhan,Shaavan</v>
          </cell>
          <cell r="D737">
            <v>11650837</v>
          </cell>
          <cell r="E737">
            <v>1299</v>
          </cell>
          <cell r="F737" t="str">
            <v>Mon Sep 02 00:00:00 UTC 2024</v>
          </cell>
          <cell r="G737" t="str">
            <v>3PTY</v>
          </cell>
          <cell r="H737" t="str">
            <v>Active</v>
          </cell>
          <cell r="I737" t="str">
            <v>Ansari,Ammar Abdullah</v>
          </cell>
          <cell r="J737" t="str">
            <v>ADEC</v>
          </cell>
        </row>
        <row r="738">
          <cell r="A738">
            <v>203800376</v>
          </cell>
          <cell r="B738" t="str">
            <v>kiwanuab</v>
          </cell>
          <cell r="C738" t="str">
            <v>KIWANUKA,ABDU RASHID</v>
          </cell>
          <cell r="D738">
            <v>15398729</v>
          </cell>
          <cell r="E738">
            <v>1299</v>
          </cell>
          <cell r="F738" t="str">
            <v>Mon Aug 12 00:00:00 UTC 2024</v>
          </cell>
          <cell r="G738" t="str">
            <v>3PTY</v>
          </cell>
          <cell r="H738" t="str">
            <v>Active</v>
          </cell>
          <cell r="I738" t="str">
            <v>Sohail,Anis</v>
          </cell>
          <cell r="J738" t="str">
            <v>DULS</v>
          </cell>
        </row>
        <row r="739">
          <cell r="A739">
            <v>201456034</v>
          </cell>
          <cell r="B739" t="str">
            <v>sessijam</v>
          </cell>
          <cell r="C739" t="str">
            <v>Sessie,Jamilatu</v>
          </cell>
          <cell r="D739">
            <v>13573383</v>
          </cell>
          <cell r="E739">
            <v>1299</v>
          </cell>
          <cell r="F739" t="str">
            <v>Mon Nov 04 00:00:00 UTC 2024</v>
          </cell>
          <cell r="G739" t="str">
            <v>3PTY</v>
          </cell>
          <cell r="H739" t="str">
            <v>Active</v>
          </cell>
          <cell r="I739" t="str">
            <v>Sohail,Anis</v>
          </cell>
          <cell r="J739" t="str">
            <v>FLO</v>
          </cell>
        </row>
        <row r="740">
          <cell r="A740">
            <v>207419487</v>
          </cell>
          <cell r="B740" t="str">
            <v>khadkshy</v>
          </cell>
          <cell r="C740" t="str">
            <v>KHADKA,SHYAM</v>
          </cell>
          <cell r="D740">
            <v>12192723</v>
          </cell>
          <cell r="E740">
            <v>1712</v>
          </cell>
          <cell r="F740" t="str">
            <v>Sat May 02 00:00:00 UTC 2026</v>
          </cell>
          <cell r="G740" t="str">
            <v>3PTY</v>
          </cell>
          <cell r="H740" t="str">
            <v>Active</v>
          </cell>
          <cell r="I740" t="str">
            <v>Rizvan,Mohamed</v>
          </cell>
          <cell r="J740" t="str">
            <v>KBTS</v>
          </cell>
        </row>
        <row r="741">
          <cell r="A741">
            <v>207419489</v>
          </cell>
          <cell r="B741" t="str">
            <v>wedamusa</v>
          </cell>
          <cell r="C741" t="str">
            <v>WEDAMUHANDIRAMALAGE,SAMEERA SADARUWAN</v>
          </cell>
          <cell r="D741">
            <v>13466462</v>
          </cell>
          <cell r="E741">
            <v>1712</v>
          </cell>
          <cell r="F741" t="str">
            <v>Sat May 02 00:00:00 UTC 2026</v>
          </cell>
          <cell r="G741" t="str">
            <v>3PTY</v>
          </cell>
          <cell r="H741" t="str">
            <v>Active</v>
          </cell>
          <cell r="I741" t="str">
            <v>Rizvan,Mohamed</v>
          </cell>
          <cell r="J741" t="str">
            <v>KBTS</v>
          </cell>
        </row>
        <row r="742">
          <cell r="A742">
            <v>205854275</v>
          </cell>
          <cell r="B742" t="str">
            <v>addevely</v>
          </cell>
          <cell r="C742" t="str">
            <v>Addo,Evelyn</v>
          </cell>
          <cell r="D742">
            <v>14270867</v>
          </cell>
          <cell r="E742">
            <v>1299</v>
          </cell>
          <cell r="F742" t="str">
            <v>Mon Aug 25 00:00:00 UTC 2025</v>
          </cell>
          <cell r="G742" t="str">
            <v>3PTY</v>
          </cell>
          <cell r="H742" t="str">
            <v>Active</v>
          </cell>
          <cell r="I742" t="str">
            <v>Scaria,Varghese</v>
          </cell>
          <cell r="J742" t="str">
            <v>EFSV</v>
          </cell>
        </row>
        <row r="743">
          <cell r="A743">
            <v>204246160</v>
          </cell>
          <cell r="B743" t="str">
            <v>danjuali</v>
          </cell>
          <cell r="C743" t="str">
            <v>Ali Muhammad,Danjuma</v>
          </cell>
          <cell r="D743">
            <v>13290080</v>
          </cell>
          <cell r="E743">
            <v>1299</v>
          </cell>
          <cell r="F743" t="str">
            <v>Mon Oct 14 00:00:00 UTC 2024</v>
          </cell>
          <cell r="G743" t="str">
            <v>3PTY</v>
          </cell>
          <cell r="H743" t="str">
            <v>Active</v>
          </cell>
          <cell r="I743" t="str">
            <v>Dinberu,Eden</v>
          </cell>
          <cell r="J743" t="str">
            <v>QUES</v>
          </cell>
        </row>
        <row r="744">
          <cell r="A744">
            <v>206886514</v>
          </cell>
          <cell r="B744" t="str">
            <v>nkrfelix</v>
          </cell>
          <cell r="C744" t="str">
            <v>NKRUMAH,FELIX MENSAH</v>
          </cell>
          <cell r="D744">
            <v>12350896</v>
          </cell>
          <cell r="E744">
            <v>1299</v>
          </cell>
          <cell r="F744" t="str">
            <v>Mon Jan 05 00:00:00 UTC 2026</v>
          </cell>
          <cell r="G744" t="str">
            <v>3PTY</v>
          </cell>
          <cell r="H744" t="str">
            <v>Active</v>
          </cell>
          <cell r="I744" t="str">
            <v>Ansari,Ammar Abdullah</v>
          </cell>
          <cell r="J744" t="str">
            <v>EFSV</v>
          </cell>
        </row>
        <row r="745">
          <cell r="A745">
            <v>206873639</v>
          </cell>
          <cell r="B745" t="str">
            <v>ganifran</v>
          </cell>
          <cell r="C745" t="str">
            <v>ANIM,FRANCIS</v>
          </cell>
          <cell r="D745">
            <v>12856623</v>
          </cell>
          <cell r="E745">
            <v>1299</v>
          </cell>
          <cell r="F745" t="str">
            <v>Mon Dec 29 00:00:00 UTC 2025</v>
          </cell>
          <cell r="G745" t="str">
            <v>3PTY</v>
          </cell>
          <cell r="H745" t="str">
            <v>Active</v>
          </cell>
          <cell r="I745" t="str">
            <v>Katyal,Varun</v>
          </cell>
          <cell r="J745" t="str">
            <v>FLO</v>
          </cell>
        </row>
        <row r="746">
          <cell r="A746">
            <v>203965496</v>
          </cell>
          <cell r="B746" t="str">
            <v>abongger</v>
          </cell>
          <cell r="C746" t="str">
            <v>Abong Ghogah,Erica</v>
          </cell>
          <cell r="D746">
            <v>12107714</v>
          </cell>
          <cell r="E746">
            <v>1299</v>
          </cell>
          <cell r="F746" t="str">
            <v>Mon Sep 09 00:00:00 UTC 2024</v>
          </cell>
          <cell r="G746" t="str">
            <v>3PTY</v>
          </cell>
          <cell r="H746" t="str">
            <v>Active</v>
          </cell>
          <cell r="I746" t="str">
            <v>Katyal,Varun</v>
          </cell>
          <cell r="J746" t="str">
            <v>FLO</v>
          </cell>
        </row>
        <row r="747">
          <cell r="A747">
            <v>206874115</v>
          </cell>
          <cell r="B747" t="str">
            <v>gumoshab</v>
          </cell>
          <cell r="C747" t="str">
            <v>JONAN,GUMOSHABE</v>
          </cell>
          <cell r="D747">
            <v>13584589</v>
          </cell>
          <cell r="E747">
            <v>1299</v>
          </cell>
          <cell r="F747" t="str">
            <v>Mon Dec 29 00:00:00 UTC 2025</v>
          </cell>
          <cell r="G747" t="str">
            <v>3PTY</v>
          </cell>
          <cell r="H747" t="str">
            <v>Active</v>
          </cell>
          <cell r="I747" t="str">
            <v>Katyal,Varun</v>
          </cell>
          <cell r="J747" t="str">
            <v>DULS</v>
          </cell>
        </row>
        <row r="748">
          <cell r="A748">
            <v>206846308</v>
          </cell>
          <cell r="B748" t="str">
            <v>gismaiki</v>
          </cell>
          <cell r="C748" t="str">
            <v>KIWEEWA,ISMAIL</v>
          </cell>
          <cell r="D748">
            <v>12208816</v>
          </cell>
          <cell r="E748">
            <v>1299</v>
          </cell>
          <cell r="F748" t="str">
            <v>Mon Dec 22 00:00:00 UTC 2025</v>
          </cell>
          <cell r="G748" t="str">
            <v>3PTY</v>
          </cell>
          <cell r="H748" t="str">
            <v>Active</v>
          </cell>
          <cell r="I748" t="str">
            <v>Lakkireddy,Sai Raghavendra Reddy</v>
          </cell>
          <cell r="J748" t="str">
            <v>DULS</v>
          </cell>
        </row>
        <row r="749">
          <cell r="A749">
            <v>206846113</v>
          </cell>
          <cell r="B749" t="str">
            <v>afrbakun</v>
          </cell>
          <cell r="C749" t="str">
            <v>BAKUNDANA,FRED</v>
          </cell>
          <cell r="D749">
            <v>15008997</v>
          </cell>
          <cell r="E749">
            <v>1299</v>
          </cell>
          <cell r="F749" t="str">
            <v>Mon Dec 29 00:00:00 UTC 2025</v>
          </cell>
          <cell r="G749" t="str">
            <v>3PTY</v>
          </cell>
          <cell r="H749" t="str">
            <v>Active</v>
          </cell>
          <cell r="I749" t="str">
            <v>Sohail,Anis</v>
          </cell>
          <cell r="J749" t="str">
            <v>DULS</v>
          </cell>
        </row>
        <row r="750">
          <cell r="A750">
            <v>204009364</v>
          </cell>
          <cell r="B750" t="str">
            <v>wimumber</v>
          </cell>
          <cell r="C750" t="str">
            <v>MUMBERE,WILSON</v>
          </cell>
          <cell r="D750">
            <v>11853770</v>
          </cell>
          <cell r="E750">
            <v>1299</v>
          </cell>
          <cell r="F750" t="str">
            <v>Mon Sep 16 00:00:00 UTC 2024</v>
          </cell>
          <cell r="G750" t="str">
            <v>3PTY</v>
          </cell>
          <cell r="H750" t="str">
            <v>Active</v>
          </cell>
          <cell r="I750" t="str">
            <v>Ansari,Ammar Abdullah</v>
          </cell>
          <cell r="J750" t="str">
            <v>DULS</v>
          </cell>
        </row>
        <row r="751">
          <cell r="A751">
            <v>207563994</v>
          </cell>
          <cell r="B751" t="str">
            <v>iwjcm</v>
          </cell>
          <cell r="C751" t="str">
            <v>Singh,Gurpreet</v>
          </cell>
          <cell r="D751">
            <v>14900054</v>
          </cell>
          <cell r="E751">
            <v>1171</v>
          </cell>
          <cell r="F751" t="str">
            <v>Wed Jul 22 00:00:00 UTC 2026</v>
          </cell>
          <cell r="G751" t="str">
            <v>3PTY</v>
          </cell>
          <cell r="H751" t="str">
            <v>Active</v>
          </cell>
          <cell r="I751" t="str">
            <v>Niazi,Mohammad Fazal</v>
          </cell>
          <cell r="J751" t="str">
            <v>GLCR</v>
          </cell>
        </row>
        <row r="752">
          <cell r="A752">
            <v>206868289</v>
          </cell>
          <cell r="B752" t="str">
            <v>mnengnfl</v>
          </cell>
          <cell r="C752" t="str">
            <v>NENG NKHAN,FLAVIN</v>
          </cell>
          <cell r="D752">
            <v>14499970</v>
          </cell>
          <cell r="E752">
            <v>1299</v>
          </cell>
          <cell r="F752" t="str">
            <v>Thu Dec 25 00:00:00 UTC 2025</v>
          </cell>
          <cell r="G752" t="str">
            <v>3PTY</v>
          </cell>
          <cell r="H752" t="str">
            <v>Active</v>
          </cell>
          <cell r="I752" t="str">
            <v>Thomas,Binil</v>
          </cell>
          <cell r="J752" t="str">
            <v>FLO</v>
          </cell>
        </row>
        <row r="753">
          <cell r="A753">
            <v>203993509</v>
          </cell>
          <cell r="B753" t="str">
            <v>nuwafrag</v>
          </cell>
          <cell r="C753" t="str">
            <v>NUWAHEREZA,FRANK</v>
          </cell>
          <cell r="D753">
            <v>12643651</v>
          </cell>
          <cell r="E753">
            <v>1299</v>
          </cell>
          <cell r="F753" t="str">
            <v>Mon Aug 25 00:00:00 UTC 2025</v>
          </cell>
          <cell r="G753" t="str">
            <v>3PTY</v>
          </cell>
          <cell r="H753" t="str">
            <v>Active</v>
          </cell>
          <cell r="I753" t="str">
            <v>Lakkireddy,Sai Raghavendra Reddy</v>
          </cell>
          <cell r="J753" t="str">
            <v>DULS</v>
          </cell>
        </row>
        <row r="754">
          <cell r="A754">
            <v>207419492</v>
          </cell>
          <cell r="B754" t="str">
            <v>yagarakc</v>
          </cell>
          <cell r="C754" t="str">
            <v>KC,YAGARAJ</v>
          </cell>
          <cell r="D754">
            <v>15104629</v>
          </cell>
          <cell r="E754">
            <v>1712</v>
          </cell>
          <cell r="F754" t="str">
            <v>Sat May 02 00:00:00 UTC 2026</v>
          </cell>
          <cell r="G754" t="str">
            <v>3PTY</v>
          </cell>
          <cell r="H754" t="str">
            <v>Active</v>
          </cell>
          <cell r="I754" t="str">
            <v>Rizvan,Mohamed</v>
          </cell>
          <cell r="J754" t="str">
            <v>KBTS</v>
          </cell>
        </row>
        <row r="755">
          <cell r="A755">
            <v>206192274</v>
          </cell>
          <cell r="B755" t="str">
            <v>johnngek</v>
          </cell>
          <cell r="C755" t="str">
            <v>Kiarie,John Ngere</v>
          </cell>
          <cell r="D755">
            <v>11910542</v>
          </cell>
          <cell r="E755">
            <v>1299</v>
          </cell>
          <cell r="F755" t="str">
            <v>Mon Oct 06 00:00:00 UTC 2025</v>
          </cell>
          <cell r="G755" t="str">
            <v>3PTY</v>
          </cell>
          <cell r="H755" t="str">
            <v>Active</v>
          </cell>
          <cell r="I755" t="str">
            <v>Sohail,Anis</v>
          </cell>
          <cell r="J755" t="str">
            <v>EFSV</v>
          </cell>
        </row>
        <row r="756">
          <cell r="A756">
            <v>206886512</v>
          </cell>
          <cell r="B756" t="str">
            <v>rutjepke</v>
          </cell>
          <cell r="C756" t="str">
            <v>JEPKEMBOI,RUTH</v>
          </cell>
          <cell r="D756">
            <v>65978</v>
          </cell>
          <cell r="E756">
            <v>1299</v>
          </cell>
          <cell r="F756" t="str">
            <v>Mon Jan 05 00:00:00 UTC 2026</v>
          </cell>
          <cell r="G756" t="str">
            <v>3PTY</v>
          </cell>
          <cell r="H756" t="str">
            <v>Active</v>
          </cell>
          <cell r="I756" t="str">
            <v>Katyal,Varun</v>
          </cell>
          <cell r="J756" t="str">
            <v>EFSV</v>
          </cell>
        </row>
        <row r="757">
          <cell r="A757">
            <v>203800469</v>
          </cell>
          <cell r="B757" t="str">
            <v>meramiyf</v>
          </cell>
          <cell r="C757" t="str">
            <v>MIYA,MERAJ</v>
          </cell>
          <cell r="D757">
            <v>12618719</v>
          </cell>
          <cell r="E757">
            <v>1299</v>
          </cell>
          <cell r="F757" t="str">
            <v>Fri Aug 09 00:00:00 UTC 2024</v>
          </cell>
          <cell r="G757" t="str">
            <v>3PTY</v>
          </cell>
          <cell r="H757" t="str">
            <v>Active</v>
          </cell>
          <cell r="I757" t="str">
            <v>Pudhoor,Jibin</v>
          </cell>
          <cell r="J757" t="str">
            <v>KBTS</v>
          </cell>
        </row>
        <row r="758">
          <cell r="A758">
            <v>206953385</v>
          </cell>
          <cell r="B758" t="str">
            <v>mueunice</v>
          </cell>
          <cell r="C758" t="str">
            <v>Muthoni,Eunice</v>
          </cell>
          <cell r="D758">
            <v>11077272</v>
          </cell>
          <cell r="E758">
            <v>1299</v>
          </cell>
          <cell r="F758" t="str">
            <v>Mon Jan 26 00:00:00 UTC 2026</v>
          </cell>
          <cell r="G758" t="str">
            <v>3PTY</v>
          </cell>
          <cell r="H758" t="str">
            <v>Active</v>
          </cell>
          <cell r="I758" t="str">
            <v>Sohail,Anis</v>
          </cell>
          <cell r="J758" t="str">
            <v>EFSV</v>
          </cell>
        </row>
        <row r="759">
          <cell r="A759">
            <v>205845295</v>
          </cell>
          <cell r="B759" t="str">
            <v>immasere</v>
          </cell>
          <cell r="C759" t="str">
            <v>MASEREKA,MORIS</v>
          </cell>
          <cell r="D759">
            <v>12612694</v>
          </cell>
          <cell r="E759">
            <v>1299</v>
          </cell>
          <cell r="F759" t="str">
            <v>Mon Aug 25 00:00:00 UTC 2025</v>
          </cell>
          <cell r="G759" t="str">
            <v>3PTY</v>
          </cell>
          <cell r="H759" t="str">
            <v>Active</v>
          </cell>
          <cell r="I759" t="str">
            <v>Thomas,Binil</v>
          </cell>
          <cell r="J759" t="str">
            <v>DULS</v>
          </cell>
        </row>
        <row r="760">
          <cell r="A760">
            <v>203800479</v>
          </cell>
          <cell r="B760" t="str">
            <v>kigsamso</v>
          </cell>
          <cell r="C760" t="str">
            <v>KIGULI,SAMSON</v>
          </cell>
          <cell r="D760">
            <v>12855261</v>
          </cell>
          <cell r="E760">
            <v>1299</v>
          </cell>
          <cell r="F760" t="str">
            <v>Mon Aug 12 00:00:00 UTC 2024</v>
          </cell>
          <cell r="G760" t="str">
            <v>3PTY</v>
          </cell>
          <cell r="H760" t="str">
            <v>Active</v>
          </cell>
          <cell r="I760" t="str">
            <v>Narshad,Muhammad Ashik</v>
          </cell>
          <cell r="J760" t="str">
            <v>DULS</v>
          </cell>
        </row>
        <row r="761">
          <cell r="A761">
            <v>200377446</v>
          </cell>
          <cell r="B761" t="str">
            <v>trowemor</v>
          </cell>
          <cell r="C761" t="str">
            <v>Moreno,Rowena Solangon</v>
          </cell>
          <cell r="D761">
            <v>14521781</v>
          </cell>
          <cell r="E761">
            <v>1168</v>
          </cell>
          <cell r="F761" t="str">
            <v>Fri Sep 23 00:00:00 UTC 2022</v>
          </cell>
          <cell r="G761" t="str">
            <v>3PTY</v>
          </cell>
          <cell r="H761" t="str">
            <v>Active</v>
          </cell>
          <cell r="I761" t="str">
            <v>Kumar,Arun</v>
          </cell>
          <cell r="J761" t="str">
            <v>EMIR</v>
          </cell>
        </row>
        <row r="762">
          <cell r="A762">
            <v>203939499</v>
          </cell>
          <cell r="B762" t="str">
            <v>chowfoye</v>
          </cell>
          <cell r="C762" t="str">
            <v>Chowdury,Foyes Ahmed Chowdury Shams Uddin</v>
          </cell>
          <cell r="D762">
            <v>13309997</v>
          </cell>
          <cell r="E762">
            <v>1287</v>
          </cell>
          <cell r="F762" t="str">
            <v>Thu Sep 05 00:00:00 UTC 2024</v>
          </cell>
          <cell r="G762" t="str">
            <v>3PTY</v>
          </cell>
          <cell r="H762" t="str">
            <v>Active</v>
          </cell>
          <cell r="I762" t="str">
            <v>Parungao,Priscila Montejo</v>
          </cell>
          <cell r="J762" t="str">
            <v>STWC</v>
          </cell>
        </row>
        <row r="763">
          <cell r="A763">
            <v>203752571</v>
          </cell>
          <cell r="B763" t="str">
            <v>samashre</v>
          </cell>
          <cell r="C763" t="str">
            <v>Shrestha,Sama</v>
          </cell>
          <cell r="D763">
            <v>12176923</v>
          </cell>
          <cell r="E763">
            <v>1299</v>
          </cell>
          <cell r="F763" t="str">
            <v>Mon Jul 29 00:00:00 UTC 2024</v>
          </cell>
          <cell r="G763" t="str">
            <v>3PTY</v>
          </cell>
          <cell r="H763" t="str">
            <v>Active</v>
          </cell>
          <cell r="I763" t="str">
            <v>Akhtar,Muhammad Zohaib</v>
          </cell>
          <cell r="J763" t="str">
            <v>WOFZ</v>
          </cell>
        </row>
        <row r="764">
          <cell r="A764">
            <v>206934198</v>
          </cell>
          <cell r="B764" t="str">
            <v>njugulil</v>
          </cell>
          <cell r="C764" t="str">
            <v>NJUGUNA,LILIAN</v>
          </cell>
          <cell r="D764">
            <v>15195075</v>
          </cell>
          <cell r="E764">
            <v>1299</v>
          </cell>
          <cell r="F764" t="str">
            <v>Mon Jan 19 00:00:00 UTC 2026</v>
          </cell>
          <cell r="G764" t="str">
            <v>3PTY</v>
          </cell>
          <cell r="H764" t="str">
            <v>Active</v>
          </cell>
          <cell r="I764" t="str">
            <v>Katyal,Varun</v>
          </cell>
          <cell r="J764" t="str">
            <v>EFSV</v>
          </cell>
        </row>
        <row r="765">
          <cell r="A765">
            <v>206136718</v>
          </cell>
          <cell r="B765" t="str">
            <v>tckinuth</v>
          </cell>
          <cell r="C765" t="str">
            <v>Kinuthia,Caroline Wachera</v>
          </cell>
          <cell r="D765">
            <v>12390524</v>
          </cell>
          <cell r="E765">
            <v>1299</v>
          </cell>
          <cell r="F765" t="str">
            <v>Tue Aug 04 00:00:00 UTC 2026</v>
          </cell>
          <cell r="G765" t="str">
            <v>3PTY</v>
          </cell>
          <cell r="H765" t="str">
            <v>Active</v>
          </cell>
          <cell r="I765" t="str">
            <v>Narshad,Muhammad Ashik</v>
          </cell>
          <cell r="J765" t="str">
            <v>EFSV</v>
          </cell>
        </row>
        <row r="766">
          <cell r="A766">
            <v>203800583</v>
          </cell>
          <cell r="B766" t="str">
            <v>dexkumal</v>
          </cell>
          <cell r="C766" t="str">
            <v>KUMAL,DEEPAK</v>
          </cell>
          <cell r="D766">
            <v>14580617</v>
          </cell>
          <cell r="E766">
            <v>1299</v>
          </cell>
          <cell r="F766" t="str">
            <v>Fri Aug 09 00:00:00 UTC 2024</v>
          </cell>
          <cell r="G766" t="str">
            <v>3PTY</v>
          </cell>
          <cell r="H766" t="str">
            <v>Active</v>
          </cell>
          <cell r="I766" t="str">
            <v>POGALA,HAREESH</v>
          </cell>
          <cell r="J766" t="str">
            <v>KBTS</v>
          </cell>
        </row>
        <row r="767">
          <cell r="A767">
            <v>203993521</v>
          </cell>
          <cell r="B767" t="str">
            <v>nuwallat</v>
          </cell>
          <cell r="C767" t="str">
            <v>NUWALIMANYA,LATIB</v>
          </cell>
          <cell r="D767">
            <v>14774842</v>
          </cell>
          <cell r="E767">
            <v>1299</v>
          </cell>
          <cell r="F767" t="str">
            <v>Thu Sep 12 00:00:00 UTC 2024</v>
          </cell>
          <cell r="G767" t="str">
            <v>3PTY</v>
          </cell>
          <cell r="H767" t="str">
            <v>Active</v>
          </cell>
          <cell r="I767" t="str">
            <v>Thomas,Binil</v>
          </cell>
          <cell r="J767" t="str">
            <v>DULS</v>
          </cell>
        </row>
        <row r="768">
          <cell r="A768">
            <v>203908334</v>
          </cell>
          <cell r="B768" t="str">
            <v>nagwsimz</v>
          </cell>
          <cell r="C768" t="str">
            <v>NAGWAKA,SIMON</v>
          </cell>
          <cell r="D768">
            <v>15299934</v>
          </cell>
          <cell r="E768">
            <v>1299</v>
          </cell>
          <cell r="F768" t="str">
            <v>Mon Sep 02 00:00:00 UTC 2024</v>
          </cell>
          <cell r="G768" t="str">
            <v>3PTY</v>
          </cell>
          <cell r="H768" t="str">
            <v>Active</v>
          </cell>
          <cell r="I768" t="str">
            <v>Scaria,Varghese</v>
          </cell>
          <cell r="J768" t="str">
            <v>DULS</v>
          </cell>
        </row>
        <row r="769">
          <cell r="A769">
            <v>207867358</v>
          </cell>
          <cell r="B769" t="str">
            <v>dammarbh</v>
          </cell>
          <cell r="C769" t="str">
            <v>Bhandari,Dammar</v>
          </cell>
          <cell r="D769">
            <v>13231276</v>
          </cell>
          <cell r="E769">
            <v>1200</v>
          </cell>
          <cell r="F769" t="str">
            <v>Fri Jul 03 00:00:00 UTC 2026</v>
          </cell>
          <cell r="G769" t="str">
            <v>3PTY</v>
          </cell>
          <cell r="H769" t="str">
            <v>Active</v>
          </cell>
          <cell r="I769" t="str">
            <v>Alhashmi,Abdulla</v>
          </cell>
          <cell r="J769" t="str">
            <v>SSIS</v>
          </cell>
        </row>
        <row r="770">
          <cell r="A770">
            <v>207740268</v>
          </cell>
          <cell r="B770" t="str">
            <v>jboaheke</v>
          </cell>
          <cell r="C770" t="str">
            <v>Boahen Appiah,Kelvin Adu</v>
          </cell>
          <cell r="D770">
            <v>12576360</v>
          </cell>
          <cell r="E770">
            <v>1712</v>
          </cell>
          <cell r="F770" t="str">
            <v>Sat Jun 13 00:00:00 UTC 2026</v>
          </cell>
          <cell r="G770" t="str">
            <v>3PTY</v>
          </cell>
          <cell r="H770" t="str">
            <v>Active</v>
          </cell>
          <cell r="I770" t="str">
            <v>ramadoss,vadivel</v>
          </cell>
          <cell r="J770" t="str">
            <v>KBTS</v>
          </cell>
        </row>
        <row r="771">
          <cell r="A771">
            <v>206175159</v>
          </cell>
          <cell r="B771" t="str">
            <v>nanziril</v>
          </cell>
          <cell r="C771" t="str">
            <v>Nanziri,Lillian</v>
          </cell>
          <cell r="D771">
            <v>12811227</v>
          </cell>
          <cell r="E771">
            <v>1299</v>
          </cell>
          <cell r="F771" t="str">
            <v>Thu Oct 02 00:00:00 UTC 2025</v>
          </cell>
          <cell r="G771" t="str">
            <v>3PTY</v>
          </cell>
          <cell r="H771" t="str">
            <v>Active</v>
          </cell>
          <cell r="I771" t="str">
            <v>Meera,Bava Bahrudeen</v>
          </cell>
          <cell r="J771" t="str">
            <v>FLO</v>
          </cell>
        </row>
        <row r="772">
          <cell r="A772">
            <v>204864408</v>
          </cell>
          <cell r="B772" t="str">
            <v>iddabdud</v>
          </cell>
          <cell r="C772" t="str">
            <v>IDDRISU,ABDUL MALIK</v>
          </cell>
          <cell r="D772">
            <v>14208599</v>
          </cell>
          <cell r="E772">
            <v>1299</v>
          </cell>
          <cell r="F772" t="str">
            <v>Mon Jan 27 00:00:00 UTC 2025</v>
          </cell>
          <cell r="G772" t="str">
            <v>3PTY</v>
          </cell>
          <cell r="H772" t="str">
            <v>Active</v>
          </cell>
          <cell r="I772" t="str">
            <v>Sohail,Anis</v>
          </cell>
          <cell r="J772" t="str">
            <v>DULS</v>
          </cell>
        </row>
        <row r="773">
          <cell r="A773">
            <v>206846689</v>
          </cell>
          <cell r="B773" t="str">
            <v>asiimwja</v>
          </cell>
          <cell r="C773" t="str">
            <v>ASIIMWE,JAMES</v>
          </cell>
          <cell r="D773">
            <v>14040291</v>
          </cell>
          <cell r="E773">
            <v>1299</v>
          </cell>
          <cell r="F773" t="str">
            <v>Mon Dec 22 00:00:00 UTC 2025</v>
          </cell>
          <cell r="G773" t="str">
            <v>3PTY</v>
          </cell>
          <cell r="H773" t="str">
            <v>Active</v>
          </cell>
          <cell r="I773" t="str">
            <v>Katyal,Varun</v>
          </cell>
          <cell r="J773" t="str">
            <v>DULS</v>
          </cell>
        </row>
        <row r="774">
          <cell r="A774">
            <v>204882798</v>
          </cell>
          <cell r="B774" t="str">
            <v>tchaosei</v>
          </cell>
          <cell r="C774" t="str">
            <v>OSEI,CHARLES</v>
          </cell>
          <cell r="D774">
            <v>14463495</v>
          </cell>
          <cell r="E774">
            <v>1299</v>
          </cell>
          <cell r="F774" t="str">
            <v>Mon Feb 03 00:00:00 UTC 2025</v>
          </cell>
          <cell r="G774" t="str">
            <v>3PTY</v>
          </cell>
          <cell r="H774" t="str">
            <v>Active</v>
          </cell>
          <cell r="I774" t="str">
            <v>Katyal,Varun</v>
          </cell>
          <cell r="J774" t="str">
            <v>DULS</v>
          </cell>
        </row>
        <row r="775">
          <cell r="A775">
            <v>202308467</v>
          </cell>
          <cell r="B775" t="str">
            <v>oppongla</v>
          </cell>
          <cell r="C775" t="str">
            <v>Oppong,Abraham</v>
          </cell>
          <cell r="D775">
            <v>12233461</v>
          </cell>
          <cell r="E775">
            <v>1299</v>
          </cell>
          <cell r="F775" t="str">
            <v>Mon Sep 15 00:00:00 UTC 2025</v>
          </cell>
          <cell r="G775" t="str">
            <v>3PTY</v>
          </cell>
          <cell r="H775" t="str">
            <v>Active</v>
          </cell>
          <cell r="I775" t="str">
            <v>Dinberu,Eden</v>
          </cell>
          <cell r="J775" t="str">
            <v>FLO</v>
          </cell>
        </row>
        <row r="776">
          <cell r="A776">
            <v>201204303</v>
          </cell>
          <cell r="B776" t="str">
            <v>samnuama</v>
          </cell>
          <cell r="C776" t="str">
            <v>Nuamah,Sampson</v>
          </cell>
          <cell r="D776">
            <v>15307419</v>
          </cell>
          <cell r="E776">
            <v>1299</v>
          </cell>
          <cell r="F776" t="str">
            <v>Mon Sep 09 00:00:00 UTC 2024</v>
          </cell>
          <cell r="G776" t="str">
            <v>3PTY</v>
          </cell>
          <cell r="H776" t="str">
            <v>Active</v>
          </cell>
          <cell r="I776" t="str">
            <v>Ansari,Ammar Abdullah</v>
          </cell>
          <cell r="J776" t="str">
            <v>FLO</v>
          </cell>
        </row>
        <row r="777">
          <cell r="A777">
            <v>203512667</v>
          </cell>
          <cell r="B777" t="str">
            <v>bimbrend</v>
          </cell>
          <cell r="C777" t="str">
            <v>Bih,Brenda Nkuo</v>
          </cell>
          <cell r="D777">
            <v>11466653</v>
          </cell>
          <cell r="E777">
            <v>1299</v>
          </cell>
          <cell r="F777" t="str">
            <v>Thu Jun 20 00:00:00 UTC 2024</v>
          </cell>
          <cell r="G777" t="str">
            <v>3PTY</v>
          </cell>
          <cell r="H777" t="str">
            <v>Active</v>
          </cell>
          <cell r="I777" t="str">
            <v>Scaria,Varghese</v>
          </cell>
          <cell r="J777" t="str">
            <v>FLO</v>
          </cell>
        </row>
        <row r="778">
          <cell r="A778">
            <v>205052165</v>
          </cell>
          <cell r="B778" t="str">
            <v>emaabusa</v>
          </cell>
          <cell r="C778" t="str">
            <v>Abu Salam,Emam Bhuiya</v>
          </cell>
          <cell r="D778">
            <v>12645059</v>
          </cell>
          <cell r="E778">
            <v>1712</v>
          </cell>
          <cell r="F778" t="str">
            <v>Wed Mar 19 00:00:00 UTC 2025</v>
          </cell>
          <cell r="G778" t="str">
            <v>3PTY</v>
          </cell>
          <cell r="H778" t="str">
            <v>Active</v>
          </cell>
          <cell r="I778" t="str">
            <v>POGALA,HAREESH</v>
          </cell>
          <cell r="J778" t="str">
            <v>KBTS</v>
          </cell>
        </row>
        <row r="779">
          <cell r="A779">
            <v>207419491</v>
          </cell>
          <cell r="B779" t="str">
            <v>thbasans</v>
          </cell>
          <cell r="C779" t="str">
            <v>THAPA,BASANTA</v>
          </cell>
          <cell r="D779">
            <v>12782393</v>
          </cell>
          <cell r="E779">
            <v>1712</v>
          </cell>
          <cell r="F779" t="str">
            <v>Sat May 02 00:00:00 UTC 2026</v>
          </cell>
          <cell r="G779" t="str">
            <v>3PTY</v>
          </cell>
          <cell r="H779" t="str">
            <v>Active</v>
          </cell>
          <cell r="I779" t="str">
            <v>Rizvan,Mohamed</v>
          </cell>
          <cell r="J779" t="str">
            <v>KBTS</v>
          </cell>
        </row>
        <row r="780">
          <cell r="A780">
            <v>203736250</v>
          </cell>
          <cell r="B780" t="str">
            <v>okisakye</v>
          </cell>
          <cell r="C780" t="str">
            <v>KISAKYE,EDWARD SSEMPIJJA</v>
          </cell>
          <cell r="D780">
            <v>15340823</v>
          </cell>
          <cell r="E780">
            <v>1299</v>
          </cell>
          <cell r="F780" t="str">
            <v>Mon Jul 29 00:00:00 UTC 2024</v>
          </cell>
          <cell r="G780" t="str">
            <v>3PTY</v>
          </cell>
          <cell r="H780" t="str">
            <v>Active</v>
          </cell>
          <cell r="I780" t="str">
            <v>Katyal,Varun</v>
          </cell>
          <cell r="J780" t="str">
            <v>DULS</v>
          </cell>
        </row>
        <row r="781">
          <cell r="A781">
            <v>203687852</v>
          </cell>
          <cell r="B781" t="str">
            <v>ivashimk</v>
          </cell>
          <cell r="C781" t="str">
            <v>Khan,Vashim Khan</v>
          </cell>
          <cell r="D781">
            <v>14805303</v>
          </cell>
          <cell r="E781">
            <v>1299</v>
          </cell>
          <cell r="F781" t="str">
            <v>Mon Jul 22 00:00:00 UTC 2024</v>
          </cell>
          <cell r="G781" t="str">
            <v>3PTY</v>
          </cell>
          <cell r="H781" t="str">
            <v>Active</v>
          </cell>
          <cell r="I781" t="str">
            <v>Katyal,Varun</v>
          </cell>
          <cell r="J781" t="str">
            <v>ADEC</v>
          </cell>
        </row>
        <row r="782">
          <cell r="A782">
            <v>204319794</v>
          </cell>
          <cell r="B782" t="str">
            <v>awaisido</v>
          </cell>
          <cell r="C782" t="str">
            <v>Kum,Awa Isidore</v>
          </cell>
          <cell r="D782">
            <v>14780009</v>
          </cell>
          <cell r="E782">
            <v>1299</v>
          </cell>
          <cell r="F782" t="str">
            <v>Thu Oct 24 00:00:00 UTC 2024</v>
          </cell>
          <cell r="G782" t="str">
            <v>3PTY</v>
          </cell>
          <cell r="H782" t="str">
            <v>Active</v>
          </cell>
          <cell r="I782" t="str">
            <v>Scaria,Varghese</v>
          </cell>
          <cell r="J782" t="str">
            <v>QUES</v>
          </cell>
        </row>
        <row r="783">
          <cell r="A783">
            <v>203816837</v>
          </cell>
          <cell r="B783" t="str">
            <v>abhiybab</v>
          </cell>
          <cell r="C783" t="str">
            <v>BABU,ABHITH KUTTI PUNATHIL THAZHA</v>
          </cell>
          <cell r="D783">
            <v>11061481</v>
          </cell>
          <cell r="E783">
            <v>1299</v>
          </cell>
          <cell r="F783" t="str">
            <v>Tue Aug 13 00:00:00 UTC 2024</v>
          </cell>
          <cell r="G783" t="str">
            <v>3PTY</v>
          </cell>
          <cell r="H783" t="str">
            <v>Active</v>
          </cell>
          <cell r="I783" t="str">
            <v>Katyal,Varun</v>
          </cell>
          <cell r="J783" t="str">
            <v>ADEC</v>
          </cell>
        </row>
        <row r="784">
          <cell r="A784">
            <v>206851163</v>
          </cell>
          <cell r="B784" t="str">
            <v>roberkig</v>
          </cell>
          <cell r="C784" t="str">
            <v>KIGGUNDU,ROBERT</v>
          </cell>
          <cell r="D784">
            <v>13757502</v>
          </cell>
          <cell r="E784">
            <v>1299</v>
          </cell>
          <cell r="F784" t="str">
            <v>Mon Dec 22 00:00:00 UTC 2025</v>
          </cell>
          <cell r="G784" t="str">
            <v>3PTY</v>
          </cell>
          <cell r="H784" t="str">
            <v>Active</v>
          </cell>
          <cell r="I784" t="str">
            <v>Meera,Bava Bahrudeen</v>
          </cell>
          <cell r="J784" t="str">
            <v>DULS</v>
          </cell>
        </row>
        <row r="785">
          <cell r="A785">
            <v>204299902</v>
          </cell>
          <cell r="B785" t="str">
            <v>opoemman</v>
          </cell>
          <cell r="C785" t="str">
            <v>Opoku,Emmanuel Gyamfi</v>
          </cell>
          <cell r="D785">
            <v>11871143</v>
          </cell>
          <cell r="E785">
            <v>1299</v>
          </cell>
          <cell r="F785" t="str">
            <v>Mon Oct 21 00:00:00 UTC 2024</v>
          </cell>
          <cell r="G785" t="str">
            <v>3PTY</v>
          </cell>
          <cell r="H785" t="str">
            <v>Active</v>
          </cell>
          <cell r="I785" t="str">
            <v>Sohail,Anis</v>
          </cell>
          <cell r="J785" t="str">
            <v>QUES</v>
          </cell>
        </row>
        <row r="786">
          <cell r="A786">
            <v>204246169</v>
          </cell>
          <cell r="B786" t="str">
            <v>eprisbmo</v>
          </cell>
          <cell r="C786" t="str">
            <v>Moyo,Prisbetty</v>
          </cell>
          <cell r="D786">
            <v>14029878</v>
          </cell>
          <cell r="E786">
            <v>1299</v>
          </cell>
          <cell r="F786" t="str">
            <v>Mon Oct 14 00:00:00 UTC 2024</v>
          </cell>
          <cell r="G786" t="str">
            <v>3PTY</v>
          </cell>
          <cell r="H786" t="str">
            <v>Active</v>
          </cell>
          <cell r="I786" t="str">
            <v>Katyal,Varun</v>
          </cell>
          <cell r="J786" t="str">
            <v>QUES</v>
          </cell>
        </row>
        <row r="787">
          <cell r="A787">
            <v>204138497</v>
          </cell>
          <cell r="B787" t="str">
            <v>daatinga</v>
          </cell>
          <cell r="C787" t="str">
            <v>ATINGA,DANIEL DOK</v>
          </cell>
          <cell r="D787">
            <v>15023922</v>
          </cell>
          <cell r="E787">
            <v>1299</v>
          </cell>
          <cell r="F787" t="str">
            <v>Mon Sep 30 00:00:00 UTC 2024</v>
          </cell>
          <cell r="G787" t="str">
            <v>3PTY</v>
          </cell>
          <cell r="H787" t="str">
            <v>Active</v>
          </cell>
          <cell r="I787" t="str">
            <v>Thomas,Binil</v>
          </cell>
          <cell r="J787" t="str">
            <v>FLO</v>
          </cell>
        </row>
        <row r="788">
          <cell r="A788">
            <v>203908343</v>
          </cell>
          <cell r="B788" t="str">
            <v>kswamadu</v>
          </cell>
          <cell r="C788" t="str">
            <v>KIRYA,SWAMADU BUKENYA</v>
          </cell>
          <cell r="D788">
            <v>11429278</v>
          </cell>
          <cell r="E788">
            <v>1299</v>
          </cell>
          <cell r="F788" t="str">
            <v>Mon Sep 02 00:00:00 UTC 2024</v>
          </cell>
          <cell r="G788" t="str">
            <v>3PTY</v>
          </cell>
          <cell r="H788" t="str">
            <v>Active</v>
          </cell>
          <cell r="I788" t="str">
            <v>Scaria,Varghese</v>
          </cell>
          <cell r="J788" t="str">
            <v>DULS</v>
          </cell>
        </row>
        <row r="789">
          <cell r="A789">
            <v>206136725</v>
          </cell>
          <cell r="B789" t="str">
            <v>prempegi</v>
          </cell>
          <cell r="C789" t="str">
            <v>Prempeh,Gifty</v>
          </cell>
          <cell r="D789">
            <v>14505756</v>
          </cell>
          <cell r="E789">
            <v>1299</v>
          </cell>
          <cell r="F789" t="str">
            <v>Mon Sep 29 00:00:00 UTC 2025</v>
          </cell>
          <cell r="G789" t="str">
            <v>3PTY</v>
          </cell>
          <cell r="H789" t="str">
            <v>Active</v>
          </cell>
          <cell r="I789" t="str">
            <v>elrashid,Hassan</v>
          </cell>
          <cell r="J789" t="str">
            <v>FLO</v>
          </cell>
        </row>
        <row r="790">
          <cell r="A790">
            <v>203796734</v>
          </cell>
          <cell r="B790" t="str">
            <v>alhaslis</v>
          </cell>
          <cell r="C790" t="str">
            <v>ISSAKA,ALHASSAN</v>
          </cell>
          <cell r="D790">
            <v>14647317</v>
          </cell>
          <cell r="E790">
            <v>1299</v>
          </cell>
          <cell r="F790" t="str">
            <v>Tue Aug 13 00:00:00 UTC 2024</v>
          </cell>
          <cell r="G790" t="str">
            <v>3PTY</v>
          </cell>
          <cell r="H790" t="str">
            <v>Active</v>
          </cell>
          <cell r="I790" t="str">
            <v>Katyal,Varun</v>
          </cell>
          <cell r="J790" t="str">
            <v>FLO</v>
          </cell>
        </row>
        <row r="791">
          <cell r="A791">
            <v>207019299</v>
          </cell>
          <cell r="B791" t="str">
            <v>tmuktanu</v>
          </cell>
          <cell r="C791" t="str">
            <v>Nuredin,Muktar Shamil Nuredin</v>
          </cell>
          <cell r="D791">
            <v>11013192</v>
          </cell>
          <cell r="E791">
            <v>1712</v>
          </cell>
          <cell r="F791" t="str">
            <v>Tue Feb 10 00:00:00 UTC 2026</v>
          </cell>
          <cell r="G791" t="str">
            <v>3PTY</v>
          </cell>
          <cell r="H791" t="str">
            <v>Active</v>
          </cell>
          <cell r="I791" t="str">
            <v>ramadoss,vadivel</v>
          </cell>
          <cell r="J791" t="str">
            <v>KBTS</v>
          </cell>
        </row>
        <row r="792">
          <cell r="A792">
            <v>206623914</v>
          </cell>
          <cell r="B792" t="str">
            <v>makhoumi</v>
          </cell>
          <cell r="C792" t="str">
            <v>MAKHOUL,MICHAEL</v>
          </cell>
          <cell r="D792">
            <v>14084447</v>
          </cell>
          <cell r="E792">
            <v>1711</v>
          </cell>
          <cell r="F792" t="str">
            <v>Fri Nov 14 00:00:00 UTC 2025</v>
          </cell>
          <cell r="G792" t="str">
            <v>3PTY</v>
          </cell>
          <cell r="H792" t="str">
            <v>Active</v>
          </cell>
          <cell r="I792" t="str">
            <v>Shershad,Ramees</v>
          </cell>
          <cell r="J792" t="str">
            <v>DUBA</v>
          </cell>
        </row>
        <row r="793">
          <cell r="A793">
            <v>206890213</v>
          </cell>
          <cell r="B793" t="str">
            <v>kipchumn</v>
          </cell>
          <cell r="C793" t="str">
            <v>KIPCHUMBA,BRIAN</v>
          </cell>
          <cell r="D793">
            <v>11266898</v>
          </cell>
          <cell r="E793">
            <v>1299</v>
          </cell>
          <cell r="F793" t="str">
            <v>Mon Jan 05 00:00:00 UTC 2026</v>
          </cell>
          <cell r="G793" t="str">
            <v>3PTY</v>
          </cell>
          <cell r="H793" t="str">
            <v>Active</v>
          </cell>
          <cell r="I793" t="str">
            <v>Ansari,Ammar Abdullah</v>
          </cell>
          <cell r="J793" t="str">
            <v>EFSV</v>
          </cell>
        </row>
        <row r="794">
          <cell r="A794">
            <v>203469401</v>
          </cell>
          <cell r="B794" t="str">
            <v>pmwauraj</v>
          </cell>
          <cell r="C794" t="str">
            <v>Mwaura,John Ndung'u</v>
          </cell>
          <cell r="D794">
            <v>12627443</v>
          </cell>
          <cell r="E794">
            <v>1299</v>
          </cell>
          <cell r="F794" t="str">
            <v>Thu Jun 13 00:00:00 UTC 2024</v>
          </cell>
          <cell r="G794" t="str">
            <v>3PTY</v>
          </cell>
          <cell r="H794" t="str">
            <v>Active</v>
          </cell>
          <cell r="I794" t="str">
            <v>Sohail,Anis</v>
          </cell>
          <cell r="J794" t="str">
            <v>ADEC</v>
          </cell>
        </row>
        <row r="795">
          <cell r="A795">
            <v>206607036</v>
          </cell>
          <cell r="B795" t="str">
            <v>ukipetej</v>
          </cell>
          <cell r="C795" t="str">
            <v>KIPETER,JORAM</v>
          </cell>
          <cell r="D795">
            <v>11237367</v>
          </cell>
          <cell r="E795">
            <v>1299</v>
          </cell>
          <cell r="F795" t="str">
            <v>Mon Nov 17 00:00:00 UTC 2025</v>
          </cell>
          <cell r="G795" t="str">
            <v>3PTY</v>
          </cell>
          <cell r="H795" t="str">
            <v>Active</v>
          </cell>
          <cell r="I795" t="str">
            <v>Thomas,Binil</v>
          </cell>
          <cell r="J795" t="str">
            <v>EFSV</v>
          </cell>
        </row>
        <row r="796">
          <cell r="A796">
            <v>204883247</v>
          </cell>
          <cell r="B796" t="str">
            <v>mdutygwe</v>
          </cell>
          <cell r="C796" t="str">
            <v>Mdutshulwa,Gwendoline</v>
          </cell>
          <cell r="D796">
            <v>311430</v>
          </cell>
          <cell r="E796">
            <v>1299</v>
          </cell>
          <cell r="F796" t="str">
            <v>Mon Feb 03 00:00:00 UTC 2025</v>
          </cell>
          <cell r="G796" t="str">
            <v>3PTY</v>
          </cell>
          <cell r="H796" t="str">
            <v>Active</v>
          </cell>
          <cell r="I796" t="str">
            <v>Katyal,Varun</v>
          </cell>
          <cell r="J796" t="str">
            <v>QUES</v>
          </cell>
        </row>
        <row r="797">
          <cell r="A797">
            <v>203679317</v>
          </cell>
          <cell r="B797" t="str">
            <v>goodeuge</v>
          </cell>
          <cell r="C797" t="str">
            <v>Eugen Shiyo,Goodluck</v>
          </cell>
          <cell r="D797">
            <v>12186721</v>
          </cell>
          <cell r="E797">
            <v>1299</v>
          </cell>
          <cell r="F797" t="str">
            <v>Mon Jul 15 00:00:00 UTC 2024</v>
          </cell>
          <cell r="G797" t="str">
            <v>3PTY</v>
          </cell>
          <cell r="H797" t="str">
            <v>Active</v>
          </cell>
          <cell r="I797" t="str">
            <v>Sohail,Anis</v>
          </cell>
          <cell r="J797" t="str">
            <v>FLO</v>
          </cell>
        </row>
        <row r="798">
          <cell r="A798">
            <v>206015637</v>
          </cell>
          <cell r="B798" t="str">
            <v>chepfanc</v>
          </cell>
          <cell r="C798" t="str">
            <v>CHEPKEMOI,FANCY</v>
          </cell>
          <cell r="D798">
            <v>13902637</v>
          </cell>
          <cell r="E798">
            <v>1299</v>
          </cell>
          <cell r="F798" t="str">
            <v>Mon Sep 15 00:00:00 UTC 2025</v>
          </cell>
          <cell r="G798" t="str">
            <v>3PTY</v>
          </cell>
          <cell r="H798" t="str">
            <v>Active</v>
          </cell>
          <cell r="I798" t="str">
            <v>Katyal,Varun</v>
          </cell>
          <cell r="J798" t="str">
            <v>FLO</v>
          </cell>
        </row>
        <row r="799">
          <cell r="A799">
            <v>206958910</v>
          </cell>
          <cell r="B799" t="str">
            <v>bredacko</v>
          </cell>
          <cell r="C799" t="str">
            <v>Koech,Breda chepkmoi</v>
          </cell>
          <cell r="D799">
            <v>13764887</v>
          </cell>
          <cell r="E799">
            <v>1299</v>
          </cell>
          <cell r="F799" t="str">
            <v>Mon Jan 26 00:00:00 UTC 2026</v>
          </cell>
          <cell r="G799" t="str">
            <v>3PTY</v>
          </cell>
          <cell r="H799" t="str">
            <v>Active</v>
          </cell>
          <cell r="I799" t="str">
            <v>Katyal,Varun</v>
          </cell>
          <cell r="J799" t="str">
            <v>EFSV</v>
          </cell>
        </row>
        <row r="800">
          <cell r="A800">
            <v>206348021</v>
          </cell>
          <cell r="B800" t="str">
            <v>getamale</v>
          </cell>
          <cell r="C800" t="str">
            <v>Tamale,Edward</v>
          </cell>
          <cell r="D800">
            <v>12368416</v>
          </cell>
          <cell r="E800">
            <v>1299</v>
          </cell>
          <cell r="F800" t="str">
            <v>Mon Oct 27 00:00:00 UTC 2025</v>
          </cell>
          <cell r="G800" t="str">
            <v>3PTY</v>
          </cell>
          <cell r="H800" t="str">
            <v>Active</v>
          </cell>
          <cell r="I800" t="str">
            <v>Sohail,Anis</v>
          </cell>
          <cell r="J800" t="str">
            <v>FLO</v>
          </cell>
        </row>
        <row r="801">
          <cell r="A801">
            <v>203800448</v>
          </cell>
          <cell r="B801" t="str">
            <v>ytamangs</v>
          </cell>
          <cell r="C801" t="str">
            <v>TAMANG,SANGE</v>
          </cell>
          <cell r="D801">
            <v>11720700</v>
          </cell>
          <cell r="E801">
            <v>1299</v>
          </cell>
          <cell r="F801" t="str">
            <v>Fri Aug 09 00:00:00 UTC 2024</v>
          </cell>
          <cell r="G801" t="str">
            <v>3PTY</v>
          </cell>
          <cell r="H801" t="str">
            <v>Active</v>
          </cell>
          <cell r="I801" t="str">
            <v>Rajendran,Ajith Kumar</v>
          </cell>
          <cell r="J801" t="str">
            <v>KBTS</v>
          </cell>
        </row>
        <row r="802">
          <cell r="A802">
            <v>206954239</v>
          </cell>
          <cell r="B802" t="str">
            <v>elviskyl</v>
          </cell>
          <cell r="C802" t="str">
            <v>KAYEMBA,ELVIS KYLE</v>
          </cell>
          <cell r="D802">
            <v>13033144</v>
          </cell>
          <cell r="E802">
            <v>1299</v>
          </cell>
          <cell r="F802" t="str">
            <v>Mon Jan 26 00:00:00 UTC 2026</v>
          </cell>
          <cell r="G802" t="str">
            <v>3PTY</v>
          </cell>
          <cell r="H802" t="str">
            <v>Active</v>
          </cell>
          <cell r="I802" t="str">
            <v>Sohail,Anis</v>
          </cell>
          <cell r="J802" t="str">
            <v>DULS</v>
          </cell>
        </row>
        <row r="803">
          <cell r="A803">
            <v>206846532</v>
          </cell>
          <cell r="B803" t="str">
            <v>mikssonk</v>
          </cell>
          <cell r="C803" t="str">
            <v>MIKE,SSONKO</v>
          </cell>
          <cell r="D803">
            <v>12797772</v>
          </cell>
          <cell r="E803">
            <v>1299</v>
          </cell>
          <cell r="F803" t="str">
            <v>Mon Dec 22 00:00:00 UTC 2025</v>
          </cell>
          <cell r="G803" t="str">
            <v>3PTY</v>
          </cell>
          <cell r="H803" t="str">
            <v>Active</v>
          </cell>
          <cell r="I803" t="str">
            <v>Lakkireddy,Sai Raghavendra Reddy</v>
          </cell>
          <cell r="J803" t="str">
            <v>DULS</v>
          </cell>
        </row>
        <row r="804">
          <cell r="A804">
            <v>206897646</v>
          </cell>
          <cell r="B804" t="str">
            <v>lngongch</v>
          </cell>
          <cell r="C804" t="str">
            <v>NGONG CHACK,LEONARD</v>
          </cell>
          <cell r="D804">
            <v>11816382</v>
          </cell>
          <cell r="E804">
            <v>1299</v>
          </cell>
          <cell r="F804" t="str">
            <v>Thu Jan 08 00:00:00 UTC 2026</v>
          </cell>
          <cell r="G804" t="str">
            <v>3PTY</v>
          </cell>
          <cell r="H804" t="str">
            <v>Active</v>
          </cell>
          <cell r="I804" t="str">
            <v>Narshad,Muhammad Ashik</v>
          </cell>
          <cell r="J804" t="str">
            <v>FLO</v>
          </cell>
        </row>
        <row r="805">
          <cell r="A805">
            <v>206073363</v>
          </cell>
          <cell r="B805" t="str">
            <v>jebenowu</v>
          </cell>
          <cell r="C805" t="str">
            <v>Owusu,Ebenezer</v>
          </cell>
          <cell r="D805">
            <v>13228897</v>
          </cell>
          <cell r="E805">
            <v>1299</v>
          </cell>
          <cell r="F805" t="str">
            <v>Mon Sep 29 00:00:00 UTC 2025</v>
          </cell>
          <cell r="G805" t="str">
            <v>3PTY</v>
          </cell>
          <cell r="H805" t="str">
            <v>Active</v>
          </cell>
          <cell r="I805" t="str">
            <v>Lakkireddy,Sai Raghavendra Reddy</v>
          </cell>
          <cell r="J805" t="str">
            <v>FLO</v>
          </cell>
        </row>
        <row r="806">
          <cell r="A806">
            <v>204029038</v>
          </cell>
          <cell r="B806" t="str">
            <v>animahbr</v>
          </cell>
          <cell r="C806" t="str">
            <v>Animah,Bright</v>
          </cell>
          <cell r="D806">
            <v>216470</v>
          </cell>
          <cell r="E806">
            <v>1299</v>
          </cell>
          <cell r="F806" t="str">
            <v>Sun Sep 15 00:00:00 UTC 2024</v>
          </cell>
          <cell r="G806" t="str">
            <v>3PTY</v>
          </cell>
          <cell r="H806" t="str">
            <v>Active</v>
          </cell>
          <cell r="I806" t="str">
            <v>Akhtar,Muhammad Zohaib</v>
          </cell>
          <cell r="J806" t="str">
            <v>WOFZ</v>
          </cell>
        </row>
        <row r="807">
          <cell r="A807">
            <v>203965409</v>
          </cell>
          <cell r="B807" t="str">
            <v>amankemq</v>
          </cell>
          <cell r="C807" t="str">
            <v>Amankwah Buabeng,Emmanuel</v>
          </cell>
          <cell r="D807">
            <v>12441477</v>
          </cell>
          <cell r="E807">
            <v>1299</v>
          </cell>
          <cell r="F807" t="str">
            <v>Mon Sep 09 00:00:00 UTC 2024</v>
          </cell>
          <cell r="G807" t="str">
            <v>3PTY</v>
          </cell>
          <cell r="H807" t="str">
            <v>Active</v>
          </cell>
          <cell r="I807" t="str">
            <v>Lakkireddy,Sai Raghavendra Reddy</v>
          </cell>
          <cell r="J807" t="str">
            <v>FLO</v>
          </cell>
        </row>
        <row r="808">
          <cell r="A808">
            <v>203850938</v>
          </cell>
          <cell r="B808" t="str">
            <v>maryabua</v>
          </cell>
          <cell r="C808" t="str">
            <v>Abudu,Mary</v>
          </cell>
          <cell r="D808">
            <v>11370885</v>
          </cell>
          <cell r="E808">
            <v>1299</v>
          </cell>
          <cell r="F808" t="str">
            <v>Tue Aug 20 00:00:00 UTC 2024</v>
          </cell>
          <cell r="G808" t="str">
            <v>3PTY</v>
          </cell>
          <cell r="H808" t="str">
            <v>Active</v>
          </cell>
          <cell r="I808" t="str">
            <v>Dinberu,Eden</v>
          </cell>
          <cell r="J808" t="str">
            <v>FLO</v>
          </cell>
        </row>
        <row r="809">
          <cell r="A809">
            <v>203850932</v>
          </cell>
          <cell r="B809" t="str">
            <v>ayumuwdo</v>
          </cell>
          <cell r="C809" t="str">
            <v>Ayumu,Doreen Demor</v>
          </cell>
          <cell r="D809">
            <v>11940277</v>
          </cell>
          <cell r="E809">
            <v>1299</v>
          </cell>
          <cell r="F809" t="str">
            <v>Tue Aug 20 00:00:00 UTC 2024</v>
          </cell>
          <cell r="G809" t="str">
            <v>3PTY</v>
          </cell>
          <cell r="H809" t="str">
            <v>Active</v>
          </cell>
          <cell r="I809" t="str">
            <v>Dinberu,Eden</v>
          </cell>
          <cell r="J809" t="str">
            <v>FLO</v>
          </cell>
        </row>
        <row r="810">
          <cell r="A810">
            <v>204029043</v>
          </cell>
          <cell r="B810" t="str">
            <v>diuqr</v>
          </cell>
          <cell r="C810" t="str">
            <v>Mohamed,Ahmed</v>
          </cell>
          <cell r="D810">
            <v>11390439</v>
          </cell>
          <cell r="E810">
            <v>1299</v>
          </cell>
          <cell r="F810" t="str">
            <v>Sun Sep 15 00:00:00 UTC 2024</v>
          </cell>
          <cell r="G810" t="str">
            <v>3PTY</v>
          </cell>
          <cell r="H810" t="str">
            <v>Active</v>
          </cell>
          <cell r="I810" t="str">
            <v>Akhtar,Muhammad Zohaib</v>
          </cell>
          <cell r="J810" t="str">
            <v>WOFZ</v>
          </cell>
        </row>
        <row r="811">
          <cell r="A811">
            <v>204246603</v>
          </cell>
          <cell r="B811" t="str">
            <v>isaankru</v>
          </cell>
          <cell r="C811" t="str">
            <v>Nkrumah,Isaac Kwame</v>
          </cell>
          <cell r="D811">
            <v>161848</v>
          </cell>
          <cell r="E811">
            <v>1299</v>
          </cell>
          <cell r="F811" t="str">
            <v>Mon Oct 14 00:00:00 UTC 2024</v>
          </cell>
          <cell r="G811" t="str">
            <v>3PTY</v>
          </cell>
          <cell r="H811" t="str">
            <v>Active</v>
          </cell>
          <cell r="I811" t="str">
            <v>Katyal,Varun</v>
          </cell>
          <cell r="J811" t="str">
            <v>QUES</v>
          </cell>
        </row>
        <row r="812">
          <cell r="A812">
            <v>206953972</v>
          </cell>
          <cell r="B812" t="str">
            <v>ukijonat</v>
          </cell>
          <cell r="C812" t="str">
            <v>KIBUYE,JONATHAN MWESIGWA</v>
          </cell>
          <cell r="D812">
            <v>208388</v>
          </cell>
          <cell r="E812">
            <v>1299</v>
          </cell>
          <cell r="F812" t="str">
            <v>Mon Jan 26 00:00:00 UTC 2026</v>
          </cell>
          <cell r="G812" t="str">
            <v>3PTY</v>
          </cell>
          <cell r="H812" t="str">
            <v>Active</v>
          </cell>
          <cell r="I812" t="str">
            <v>Sohail,Anis</v>
          </cell>
          <cell r="J812" t="str">
            <v>DULS</v>
          </cell>
        </row>
        <row r="813">
          <cell r="A813">
            <v>203851102</v>
          </cell>
          <cell r="B813" t="str">
            <v>osanpros</v>
          </cell>
          <cell r="C813" t="str">
            <v>Osang,Prosper Osang</v>
          </cell>
          <cell r="D813">
            <v>13480185</v>
          </cell>
          <cell r="E813">
            <v>1299</v>
          </cell>
          <cell r="F813" t="str">
            <v>Tue Aug 20 00:00:00 UTC 2024</v>
          </cell>
          <cell r="G813" t="str">
            <v>3PTY</v>
          </cell>
          <cell r="H813" t="str">
            <v>Active</v>
          </cell>
          <cell r="I813" t="str">
            <v>Thomas,Binil</v>
          </cell>
          <cell r="J813" t="str">
            <v>FLO</v>
          </cell>
        </row>
        <row r="814">
          <cell r="A814">
            <v>204299909</v>
          </cell>
          <cell r="B814" t="str">
            <v>bpetenti</v>
          </cell>
          <cell r="C814" t="str">
            <v>Nti,Peter</v>
          </cell>
          <cell r="D814">
            <v>14209824</v>
          </cell>
          <cell r="E814">
            <v>1299</v>
          </cell>
          <cell r="F814" t="str">
            <v>Thu Oct 24 00:00:00 UTC 2024</v>
          </cell>
          <cell r="G814" t="str">
            <v>3PTY</v>
          </cell>
          <cell r="H814" t="str">
            <v>Active</v>
          </cell>
          <cell r="I814" t="str">
            <v>Meera,Bava Bahrudeen</v>
          </cell>
          <cell r="J814" t="str">
            <v>QUES</v>
          </cell>
        </row>
        <row r="815">
          <cell r="A815">
            <v>203800480</v>
          </cell>
          <cell r="B815" t="str">
            <v>braimuha</v>
          </cell>
          <cell r="C815" t="str">
            <v>MUHUMUZA,BRAIN CHOSEN</v>
          </cell>
          <cell r="D815">
            <v>103589</v>
          </cell>
          <cell r="E815">
            <v>1299</v>
          </cell>
          <cell r="F815" t="str">
            <v>Mon Aug 12 00:00:00 UTC 2024</v>
          </cell>
          <cell r="G815" t="str">
            <v>3PTY</v>
          </cell>
          <cell r="H815" t="str">
            <v>Active</v>
          </cell>
          <cell r="I815" t="str">
            <v>Katyal,Varun</v>
          </cell>
          <cell r="J815" t="str">
            <v>DULS</v>
          </cell>
        </row>
        <row r="816">
          <cell r="A816">
            <v>203521526</v>
          </cell>
          <cell r="B816" t="str">
            <v>darkwamj</v>
          </cell>
          <cell r="C816" t="str">
            <v>Darkwah,Michael</v>
          </cell>
          <cell r="D816">
            <v>14258953</v>
          </cell>
          <cell r="E816">
            <v>1299</v>
          </cell>
          <cell r="F816" t="str">
            <v>Thu Jun 20 00:00:00 UTC 2024</v>
          </cell>
          <cell r="G816" t="str">
            <v>3PTY</v>
          </cell>
          <cell r="H816" t="str">
            <v>Active</v>
          </cell>
          <cell r="I816" t="str">
            <v>Katyal,Varun</v>
          </cell>
          <cell r="J816" t="str">
            <v>FLO</v>
          </cell>
        </row>
        <row r="817">
          <cell r="A817">
            <v>206897640</v>
          </cell>
          <cell r="B817" t="str">
            <v>eliasabu</v>
          </cell>
          <cell r="C817" t="str">
            <v>ABUBAKARI,ELIASU</v>
          </cell>
          <cell r="D817">
            <v>15281142</v>
          </cell>
          <cell r="E817">
            <v>1299</v>
          </cell>
          <cell r="F817" t="str">
            <v>Tue Aug 04 00:00:00 UTC 2026</v>
          </cell>
          <cell r="G817" t="str">
            <v>3PTY</v>
          </cell>
          <cell r="H817" t="str">
            <v>Active</v>
          </cell>
          <cell r="I817" t="str">
            <v>Scaria,Varghese</v>
          </cell>
          <cell r="J817" t="str">
            <v>FLO</v>
          </cell>
        </row>
        <row r="818">
          <cell r="A818">
            <v>205786037</v>
          </cell>
          <cell r="B818" t="str">
            <v>abuhursa</v>
          </cell>
          <cell r="C818" t="str">
            <v>Samad,Abuhurayra Abdus</v>
          </cell>
          <cell r="D818">
            <v>11501113</v>
          </cell>
          <cell r="E818">
            <v>1712</v>
          </cell>
          <cell r="F818" t="str">
            <v>Sat Aug 09 00:00:00 UTC 2025</v>
          </cell>
          <cell r="G818" t="str">
            <v>3PTY</v>
          </cell>
          <cell r="H818" t="str">
            <v>Active</v>
          </cell>
          <cell r="I818" t="str">
            <v>POGALA,HAREESH</v>
          </cell>
          <cell r="J818" t="str">
            <v>KBTS</v>
          </cell>
        </row>
        <row r="819">
          <cell r="A819">
            <v>206640500</v>
          </cell>
          <cell r="B819" t="str">
            <v>wkanyesi</v>
          </cell>
          <cell r="C819" t="str">
            <v>Kanyesigye,Gilbert</v>
          </cell>
          <cell r="D819">
            <v>12881740</v>
          </cell>
          <cell r="E819">
            <v>1712</v>
          </cell>
          <cell r="F819" t="str">
            <v>Sat Nov 15 00:00:00 UTC 2025</v>
          </cell>
          <cell r="G819" t="str">
            <v>3PTY</v>
          </cell>
          <cell r="H819" t="str">
            <v>Active</v>
          </cell>
          <cell r="I819" t="str">
            <v>POGALA,HAREESH</v>
          </cell>
          <cell r="J819" t="str">
            <v>KBTS</v>
          </cell>
        </row>
        <row r="820">
          <cell r="A820">
            <v>206136735</v>
          </cell>
          <cell r="B820" t="str">
            <v>cynttanu</v>
          </cell>
          <cell r="C820" t="str">
            <v>Tanui,Cynthia Jepkoech</v>
          </cell>
          <cell r="D820">
            <v>14920034</v>
          </cell>
          <cell r="E820">
            <v>1299</v>
          </cell>
          <cell r="F820" t="str">
            <v>Tue Aug 04 00:00:00 UTC 2026</v>
          </cell>
          <cell r="G820" t="str">
            <v>3PTY</v>
          </cell>
          <cell r="H820" t="str">
            <v>Active</v>
          </cell>
          <cell r="I820" t="str">
            <v>Narshad,Muhammad Ashik</v>
          </cell>
          <cell r="J820" t="str">
            <v>EFSV</v>
          </cell>
        </row>
        <row r="821">
          <cell r="A821">
            <v>206138682</v>
          </cell>
          <cell r="B821" t="str">
            <v>jedaisyt</v>
          </cell>
          <cell r="C821" t="str">
            <v>Jepkurui,Daisy</v>
          </cell>
          <cell r="D821">
            <v>12142420</v>
          </cell>
          <cell r="E821">
            <v>1299</v>
          </cell>
          <cell r="F821" t="str">
            <v>Mon Sep 29 00:00:00 UTC 2025</v>
          </cell>
          <cell r="G821" t="str">
            <v>3PTY</v>
          </cell>
          <cell r="H821" t="str">
            <v>Active</v>
          </cell>
          <cell r="I821" t="str">
            <v>Ansari,Ammar Abdullah</v>
          </cell>
          <cell r="J821" t="str">
            <v>EFSV</v>
          </cell>
        </row>
        <row r="822">
          <cell r="A822">
            <v>205638451</v>
          </cell>
          <cell r="B822" t="str">
            <v>rkumaabi</v>
          </cell>
          <cell r="C822" t="str">
            <v>Kumar Pandit,Abinash</v>
          </cell>
          <cell r="D822">
            <v>11421296</v>
          </cell>
          <cell r="E822">
            <v>1712</v>
          </cell>
          <cell r="F822" t="str">
            <v>Tue Jul 08 00:00:00 UTC 2025</v>
          </cell>
          <cell r="G822" t="str">
            <v>3PTY</v>
          </cell>
          <cell r="H822" t="str">
            <v>Active</v>
          </cell>
          <cell r="I822" t="str">
            <v>Rizvan,Mohamed</v>
          </cell>
          <cell r="J822" t="str">
            <v>KBTS</v>
          </cell>
        </row>
        <row r="823">
          <cell r="A823">
            <v>204009619</v>
          </cell>
          <cell r="B823" t="str">
            <v>gautaldi</v>
          </cell>
          <cell r="C823" t="str">
            <v>GAUTAM,DIPESH</v>
          </cell>
          <cell r="D823">
            <v>12822657</v>
          </cell>
          <cell r="E823">
            <v>1299</v>
          </cell>
          <cell r="F823" t="str">
            <v>Mon Sep 16 00:00:00 UTC 2024</v>
          </cell>
          <cell r="G823" t="str">
            <v>3PTY</v>
          </cell>
          <cell r="H823" t="str">
            <v>Active</v>
          </cell>
          <cell r="I823" t="str">
            <v>Lakkireddy,Sai Raghavendra Reddy</v>
          </cell>
          <cell r="J823" t="str">
            <v>DULS</v>
          </cell>
        </row>
        <row r="824">
          <cell r="A824">
            <v>205446081</v>
          </cell>
          <cell r="B824" t="str">
            <v>rhkumary</v>
          </cell>
          <cell r="C824" t="str">
            <v>Kumar Yadav,Rajesh</v>
          </cell>
          <cell r="D824">
            <v>304614</v>
          </cell>
          <cell r="E824">
            <v>1712</v>
          </cell>
          <cell r="F824" t="str">
            <v>Thu Jun 12 00:00:00 UTC 2025</v>
          </cell>
          <cell r="G824" t="str">
            <v>3PTY</v>
          </cell>
          <cell r="H824" t="str">
            <v>Active</v>
          </cell>
          <cell r="I824" t="str">
            <v>Rizvan,Mohamed</v>
          </cell>
          <cell r="J824" t="str">
            <v>KBTS</v>
          </cell>
        </row>
        <row r="825">
          <cell r="A825">
            <v>204883239</v>
          </cell>
          <cell r="B825" t="str">
            <v>oserichm</v>
          </cell>
          <cell r="C825" t="str">
            <v>Osei,Richmond</v>
          </cell>
          <cell r="D825">
            <v>12368519</v>
          </cell>
          <cell r="E825">
            <v>1299</v>
          </cell>
          <cell r="F825" t="str">
            <v>Mon Feb 03 00:00:00 UTC 2025</v>
          </cell>
          <cell r="G825" t="str">
            <v>3PTY</v>
          </cell>
          <cell r="H825" t="str">
            <v>Active</v>
          </cell>
          <cell r="I825" t="str">
            <v>Katyal,Varun</v>
          </cell>
          <cell r="J825" t="str">
            <v>QUES</v>
          </cell>
        </row>
        <row r="826">
          <cell r="A826">
            <v>206871907</v>
          </cell>
          <cell r="B826" t="str">
            <v>naralexu</v>
          </cell>
          <cell r="C826" t="str">
            <v>NARTEY KUSI,ALEXANDER</v>
          </cell>
          <cell r="D826">
            <v>13129444</v>
          </cell>
          <cell r="E826">
            <v>1299</v>
          </cell>
          <cell r="F826" t="str">
            <v>Mon Dec 29 00:00:00 UTC 2025</v>
          </cell>
          <cell r="G826" t="str">
            <v>3PTY</v>
          </cell>
          <cell r="H826" t="str">
            <v>Active</v>
          </cell>
          <cell r="I826" t="str">
            <v>Katyal,Varun</v>
          </cell>
          <cell r="J826" t="str">
            <v>FLO</v>
          </cell>
        </row>
        <row r="827">
          <cell r="A827">
            <v>204946489</v>
          </cell>
          <cell r="B827" t="str">
            <v>smabdelm</v>
          </cell>
          <cell r="C827" t="str">
            <v>Abdelmonem,Mohammed Saleh</v>
          </cell>
          <cell r="D827">
            <v>14374062</v>
          </cell>
          <cell r="E827">
            <v>1299</v>
          </cell>
          <cell r="F827" t="str">
            <v>Tue Feb 18 00:00:00 UTC 2025</v>
          </cell>
          <cell r="G827" t="str">
            <v>3PTY</v>
          </cell>
          <cell r="H827" t="str">
            <v>Active</v>
          </cell>
          <cell r="I827" t="str">
            <v>Akhtar,Muhammad Zohaib</v>
          </cell>
          <cell r="J827" t="str">
            <v>WOFZ</v>
          </cell>
        </row>
        <row r="828">
          <cell r="A828">
            <v>203555399</v>
          </cell>
          <cell r="B828" t="str">
            <v>berchimh</v>
          </cell>
          <cell r="C828" t="str">
            <v>Chimhau,Bernadette Tariro</v>
          </cell>
          <cell r="D828">
            <v>14530886</v>
          </cell>
          <cell r="E828">
            <v>1299</v>
          </cell>
          <cell r="F828" t="str">
            <v>Thu Jun 27 00:00:00 UTC 2024</v>
          </cell>
          <cell r="G828" t="str">
            <v>3PTY</v>
          </cell>
          <cell r="H828" t="str">
            <v>Active</v>
          </cell>
          <cell r="I828" t="str">
            <v>Sohail,Anis</v>
          </cell>
          <cell r="J828" t="str">
            <v>FLO</v>
          </cell>
        </row>
        <row r="829">
          <cell r="A829">
            <v>205214446</v>
          </cell>
          <cell r="B829" t="str">
            <v>bisyhari</v>
          </cell>
          <cell r="C829" t="str">
            <v>Harijan,Bishal</v>
          </cell>
          <cell r="D829">
            <v>74504</v>
          </cell>
          <cell r="E829">
            <v>1712</v>
          </cell>
          <cell r="F829" t="str">
            <v>Sun Apr 27 00:00:00 UTC 2025</v>
          </cell>
          <cell r="G829" t="str">
            <v>3PTY</v>
          </cell>
          <cell r="H829" t="str">
            <v>Active</v>
          </cell>
          <cell r="I829" t="str">
            <v>POGALA,HAREESH</v>
          </cell>
          <cell r="J829" t="str">
            <v>KBTS</v>
          </cell>
        </row>
        <row r="830">
          <cell r="A830">
            <v>206139179</v>
          </cell>
          <cell r="B830" t="str">
            <v>saberhet</v>
          </cell>
          <cell r="C830" t="str">
            <v>BERHE TEKLEHAYMANOT,SAMIAL</v>
          </cell>
          <cell r="D830">
            <v>13988996</v>
          </cell>
          <cell r="E830">
            <v>1299</v>
          </cell>
          <cell r="F830" t="str">
            <v>Mon Sep 29 00:00:00 UTC 2025</v>
          </cell>
          <cell r="G830" t="str">
            <v>3PTY</v>
          </cell>
          <cell r="H830" t="str">
            <v>Active</v>
          </cell>
          <cell r="I830" t="str">
            <v>Scaria,Varghese</v>
          </cell>
          <cell r="J830" t="str">
            <v>FLO</v>
          </cell>
        </row>
        <row r="831">
          <cell r="A831">
            <v>206873708</v>
          </cell>
          <cell r="B831" t="str">
            <v>xaijueli</v>
          </cell>
          <cell r="C831" t="str">
            <v>ELIYA,AIJUKA</v>
          </cell>
          <cell r="D831">
            <v>14088587</v>
          </cell>
          <cell r="E831">
            <v>1299</v>
          </cell>
          <cell r="F831" t="str">
            <v>Mon Dec 29 00:00:00 UTC 2025</v>
          </cell>
          <cell r="G831" t="str">
            <v>3PTY</v>
          </cell>
          <cell r="H831" t="str">
            <v>Active</v>
          </cell>
          <cell r="I831" t="str">
            <v>Sohail,Anis</v>
          </cell>
          <cell r="J831" t="str">
            <v>DULS</v>
          </cell>
        </row>
        <row r="832">
          <cell r="A832">
            <v>206008708</v>
          </cell>
          <cell r="B832" t="str">
            <v>vsadimoh</v>
          </cell>
          <cell r="C832" t="str">
            <v>MOHAMMED,SADIQ</v>
          </cell>
          <cell r="D832">
            <v>13329728</v>
          </cell>
          <cell r="E832">
            <v>1299</v>
          </cell>
          <cell r="F832" t="str">
            <v>Mon Sep 15 00:00:00 UTC 2025</v>
          </cell>
          <cell r="G832" t="str">
            <v>3PTY</v>
          </cell>
          <cell r="H832" t="str">
            <v>Active</v>
          </cell>
          <cell r="I832" t="str">
            <v>Meera,Bava Bahrudeen</v>
          </cell>
          <cell r="J832" t="str">
            <v>FLO</v>
          </cell>
        </row>
        <row r="833">
          <cell r="A833">
            <v>206137330</v>
          </cell>
          <cell r="B833" t="str">
            <v>abdalomc</v>
          </cell>
          <cell r="C833" t="str">
            <v>OMAR,ABDALLA</v>
          </cell>
          <cell r="D833">
            <v>14307203</v>
          </cell>
          <cell r="E833">
            <v>1299</v>
          </cell>
          <cell r="F833" t="str">
            <v>Mon Sep 29 00:00:00 UTC 2025</v>
          </cell>
          <cell r="G833" t="str">
            <v>3PTY</v>
          </cell>
          <cell r="H833" t="str">
            <v>Active</v>
          </cell>
          <cell r="I833" t="str">
            <v>Scaria,Varghese</v>
          </cell>
          <cell r="J833" t="str">
            <v>FLO</v>
          </cell>
        </row>
        <row r="834">
          <cell r="A834">
            <v>204319464</v>
          </cell>
          <cell r="B834" t="str">
            <v>conteiby</v>
          </cell>
          <cell r="C834" t="str">
            <v>Conteh,Ibrahim A</v>
          </cell>
          <cell r="D834">
            <v>14585706</v>
          </cell>
          <cell r="E834">
            <v>1299</v>
          </cell>
          <cell r="F834" t="str">
            <v>Thu Oct 24 00:00:00 UTC 2024</v>
          </cell>
          <cell r="G834" t="str">
            <v>3PTY</v>
          </cell>
          <cell r="H834" t="str">
            <v>Active</v>
          </cell>
          <cell r="I834" t="str">
            <v>Sohail,Anis</v>
          </cell>
          <cell r="J834" t="str">
            <v>QUES</v>
          </cell>
        </row>
        <row r="835">
          <cell r="A835">
            <v>203965178</v>
          </cell>
          <cell r="B835" t="str">
            <v>nejaryee</v>
          </cell>
          <cell r="C835" t="str">
            <v>Jaryee,Nehemiah</v>
          </cell>
          <cell r="D835">
            <v>11589775</v>
          </cell>
          <cell r="E835">
            <v>1299</v>
          </cell>
          <cell r="F835" t="str">
            <v>Mon Sep 09 00:00:00 UTC 2024</v>
          </cell>
          <cell r="G835" t="str">
            <v>3PTY</v>
          </cell>
          <cell r="H835" t="str">
            <v>Active</v>
          </cell>
          <cell r="I835" t="str">
            <v>Ansari,Ammar Abdullah</v>
          </cell>
          <cell r="J835" t="str">
            <v>FLO</v>
          </cell>
        </row>
        <row r="836">
          <cell r="A836">
            <v>201264954</v>
          </cell>
          <cell r="B836" t="str">
            <v>boashadr</v>
          </cell>
          <cell r="C836" t="str">
            <v>Boakye,Shadrack</v>
          </cell>
          <cell r="D836">
            <v>13458505</v>
          </cell>
          <cell r="E836">
            <v>1299</v>
          </cell>
          <cell r="F836" t="str">
            <v>Fri Feb 09 00:00:00 UTC 2024</v>
          </cell>
          <cell r="G836" t="str">
            <v>3PTY</v>
          </cell>
          <cell r="H836" t="str">
            <v>Active</v>
          </cell>
          <cell r="I836" t="str">
            <v>Ansari,Ammar Abdullah</v>
          </cell>
          <cell r="J836" t="str">
            <v>QUES</v>
          </cell>
        </row>
        <row r="837">
          <cell r="A837">
            <v>203851105</v>
          </cell>
          <cell r="B837" t="str">
            <v>ndablins</v>
          </cell>
          <cell r="C837" t="str">
            <v>Ndaba,Linsabezinhle</v>
          </cell>
          <cell r="D837">
            <v>13544155</v>
          </cell>
          <cell r="E837">
            <v>1299</v>
          </cell>
          <cell r="F837" t="str">
            <v>Tue Aug 20 00:00:00 UTC 2024</v>
          </cell>
          <cell r="G837" t="str">
            <v>3PTY</v>
          </cell>
          <cell r="H837" t="str">
            <v>Active</v>
          </cell>
          <cell r="I837" t="str">
            <v>Scaria,Varghese</v>
          </cell>
          <cell r="J837" t="str">
            <v>FLO</v>
          </cell>
        </row>
        <row r="838">
          <cell r="A838">
            <v>205281151</v>
          </cell>
          <cell r="B838" t="str">
            <v>kanyoalb</v>
          </cell>
          <cell r="C838" t="str">
            <v>Kanyoro,Albert</v>
          </cell>
          <cell r="D838">
            <v>12569383</v>
          </cell>
          <cell r="E838">
            <v>1299</v>
          </cell>
          <cell r="F838" t="str">
            <v>Thu May 15 00:00:00 UTC 2025</v>
          </cell>
          <cell r="G838" t="str">
            <v>3PTY</v>
          </cell>
          <cell r="H838" t="str">
            <v>Active</v>
          </cell>
          <cell r="I838" t="str">
            <v>Scaria,Varghese</v>
          </cell>
          <cell r="J838" t="str">
            <v>EFSV</v>
          </cell>
        </row>
        <row r="839">
          <cell r="A839">
            <v>204883085</v>
          </cell>
          <cell r="B839" t="str">
            <v>mambflor</v>
          </cell>
          <cell r="C839" t="str">
            <v>Mambo,Flora Nde</v>
          </cell>
          <cell r="D839">
            <v>14451379</v>
          </cell>
          <cell r="E839">
            <v>1299</v>
          </cell>
          <cell r="F839" t="str">
            <v>Mon Feb 03 00:00:00 UTC 2025</v>
          </cell>
          <cell r="G839" t="str">
            <v>3PTY</v>
          </cell>
          <cell r="H839" t="str">
            <v>Active</v>
          </cell>
          <cell r="I839" t="str">
            <v>Katyal,Varun</v>
          </cell>
          <cell r="J839" t="str">
            <v>QUES</v>
          </cell>
        </row>
        <row r="840">
          <cell r="A840">
            <v>206883741</v>
          </cell>
          <cell r="B840" t="str">
            <v>jerutaum</v>
          </cell>
          <cell r="C840" t="str">
            <v>JERUTO,AUDIA</v>
          </cell>
          <cell r="D840">
            <v>68909</v>
          </cell>
          <cell r="E840">
            <v>1299</v>
          </cell>
          <cell r="F840" t="str">
            <v>Mon Jan 05 00:00:00 UTC 2026</v>
          </cell>
          <cell r="G840" t="str">
            <v>3PTY</v>
          </cell>
          <cell r="H840" t="str">
            <v>Active</v>
          </cell>
          <cell r="I840" t="str">
            <v>Katyal,Varun</v>
          </cell>
          <cell r="J840" t="str">
            <v>EFSV</v>
          </cell>
        </row>
        <row r="841">
          <cell r="A841">
            <v>206073367</v>
          </cell>
          <cell r="B841" t="str">
            <v>kinenray</v>
          </cell>
          <cell r="C841" t="str">
            <v>Kinene,Raymond</v>
          </cell>
          <cell r="D841">
            <v>13164327</v>
          </cell>
          <cell r="E841">
            <v>1299</v>
          </cell>
          <cell r="F841" t="str">
            <v>Mon Sep 22 00:00:00 UTC 2025</v>
          </cell>
          <cell r="G841" t="str">
            <v>3PTY</v>
          </cell>
          <cell r="H841" t="str">
            <v>Active</v>
          </cell>
          <cell r="I841" t="str">
            <v>Katyal,Varun</v>
          </cell>
          <cell r="J841" t="str">
            <v>FLO</v>
          </cell>
        </row>
        <row r="842">
          <cell r="A842">
            <v>204299548</v>
          </cell>
          <cell r="B842" t="str">
            <v>tamahdan</v>
          </cell>
          <cell r="C842" t="str">
            <v>Tamah,Daniel Kweku</v>
          </cell>
          <cell r="D842">
            <v>13959891</v>
          </cell>
          <cell r="E842">
            <v>1299</v>
          </cell>
          <cell r="F842" t="str">
            <v>Mon Oct 21 00:00:00 UTC 2024</v>
          </cell>
          <cell r="G842" t="str">
            <v>3PTY</v>
          </cell>
          <cell r="H842" t="str">
            <v>Active</v>
          </cell>
          <cell r="I842" t="str">
            <v>Sohail,Anis</v>
          </cell>
          <cell r="J842" t="str">
            <v>QUES</v>
          </cell>
        </row>
        <row r="843">
          <cell r="A843">
            <v>203736757</v>
          </cell>
          <cell r="B843" t="str">
            <v>vkaunght</v>
          </cell>
          <cell r="C843" t="str">
            <v>H,K</v>
          </cell>
          <cell r="D843">
            <v>12875689</v>
          </cell>
          <cell r="E843">
            <v>1299</v>
          </cell>
          <cell r="F843" t="str">
            <v>Mon Jul 29 00:00:00 UTC 2024</v>
          </cell>
          <cell r="G843" t="str">
            <v>3PTY</v>
          </cell>
          <cell r="H843" t="str">
            <v>Active</v>
          </cell>
          <cell r="I843" t="str">
            <v>Katyal,Varun</v>
          </cell>
          <cell r="J843" t="str">
            <v>ADEC</v>
          </cell>
        </row>
        <row r="844">
          <cell r="A844">
            <v>203801393</v>
          </cell>
          <cell r="B844" t="str">
            <v>akonelso</v>
          </cell>
          <cell r="C844" t="str">
            <v>AKO,NELSON NDIM</v>
          </cell>
          <cell r="D844">
            <v>14855756</v>
          </cell>
          <cell r="E844">
            <v>1299</v>
          </cell>
          <cell r="F844" t="str">
            <v>Tue Aug 13 00:00:00 UTC 2024</v>
          </cell>
          <cell r="G844" t="str">
            <v>3PTY</v>
          </cell>
          <cell r="H844" t="str">
            <v>Active</v>
          </cell>
          <cell r="I844" t="str">
            <v>Meera,Bava Bahrudeen</v>
          </cell>
          <cell r="J844" t="str">
            <v>FLO</v>
          </cell>
        </row>
        <row r="845">
          <cell r="A845">
            <v>204868858</v>
          </cell>
          <cell r="B845" t="str">
            <v>durodori</v>
          </cell>
          <cell r="C845" t="str">
            <v>Durowaa,Doris</v>
          </cell>
          <cell r="D845">
            <v>11023611</v>
          </cell>
          <cell r="E845">
            <v>1299</v>
          </cell>
          <cell r="F845" t="str">
            <v>Mon Feb 03 00:00:00 UTC 2025</v>
          </cell>
          <cell r="G845" t="str">
            <v>3PTY</v>
          </cell>
          <cell r="H845" t="str">
            <v>Active</v>
          </cell>
          <cell r="I845" t="str">
            <v>Katyal,Varun</v>
          </cell>
          <cell r="J845" t="str">
            <v>QUES</v>
          </cell>
        </row>
        <row r="846">
          <cell r="A846">
            <v>206791755</v>
          </cell>
          <cell r="B846" t="str">
            <v>katojavi</v>
          </cell>
          <cell r="C846" t="str">
            <v>JAVIIRA,KATO</v>
          </cell>
          <cell r="D846">
            <v>15083780</v>
          </cell>
          <cell r="E846">
            <v>1299</v>
          </cell>
          <cell r="F846" t="str">
            <v>Mon Dec 08 00:00:00 UTC 2025</v>
          </cell>
          <cell r="G846" t="str">
            <v>3PTY</v>
          </cell>
          <cell r="H846" t="str">
            <v>Active</v>
          </cell>
          <cell r="I846" t="str">
            <v>Katyal,Varun</v>
          </cell>
          <cell r="J846" t="str">
            <v>DULS</v>
          </cell>
        </row>
        <row r="847">
          <cell r="A847">
            <v>203011024</v>
          </cell>
          <cell r="B847" t="str">
            <v>ritakawe</v>
          </cell>
          <cell r="C847" t="str">
            <v>Nformi,Rita Kawe</v>
          </cell>
          <cell r="D847">
            <v>13373458</v>
          </cell>
          <cell r="E847">
            <v>1299</v>
          </cell>
          <cell r="F847" t="str">
            <v>Thu Nov 07 00:00:00 UTC 2024</v>
          </cell>
          <cell r="G847" t="str">
            <v>3PTY</v>
          </cell>
          <cell r="H847" t="str">
            <v>Active</v>
          </cell>
          <cell r="I847" t="str">
            <v>Thomas,Binil</v>
          </cell>
          <cell r="J847" t="str">
            <v>FLO</v>
          </cell>
        </row>
        <row r="848">
          <cell r="A848">
            <v>203816301</v>
          </cell>
          <cell r="B848" t="str">
            <v>geoekiye</v>
          </cell>
          <cell r="C848" t="str">
            <v>Kiyemba,George</v>
          </cell>
          <cell r="D848">
            <v>13802751</v>
          </cell>
          <cell r="E848">
            <v>1299</v>
          </cell>
          <cell r="F848" t="str">
            <v>Wed Aug 14 00:00:00 UTC 2024</v>
          </cell>
          <cell r="G848" t="str">
            <v>3PTY</v>
          </cell>
          <cell r="H848" t="str">
            <v>Active</v>
          </cell>
          <cell r="I848" t="str">
            <v>Katyal,Varun</v>
          </cell>
          <cell r="J848" t="str">
            <v>DULS</v>
          </cell>
        </row>
        <row r="849">
          <cell r="A849">
            <v>204241393</v>
          </cell>
          <cell r="B849" t="str">
            <v>ofosuhjo</v>
          </cell>
          <cell r="C849" t="str">
            <v>Ofosuhene,Joyce</v>
          </cell>
          <cell r="D849">
            <v>13655451</v>
          </cell>
          <cell r="E849">
            <v>1299</v>
          </cell>
          <cell r="F849" t="str">
            <v>Mon Oct 14 00:00:00 UTC 2024</v>
          </cell>
          <cell r="G849" t="str">
            <v>3PTY</v>
          </cell>
          <cell r="H849" t="str">
            <v>Active</v>
          </cell>
          <cell r="I849" t="str">
            <v>Katyal,Varun</v>
          </cell>
          <cell r="J849" t="str">
            <v>QUES</v>
          </cell>
        </row>
        <row r="850">
          <cell r="A850">
            <v>203736252</v>
          </cell>
          <cell r="B850" t="str">
            <v>mukaderi</v>
          </cell>
          <cell r="C850" t="str">
            <v>MUKAMA,DERICK</v>
          </cell>
          <cell r="D850">
            <v>136471</v>
          </cell>
          <cell r="E850">
            <v>1299</v>
          </cell>
          <cell r="F850" t="str">
            <v>Mon Jul 29 00:00:00 UTC 2024</v>
          </cell>
          <cell r="G850" t="str">
            <v>3PTY</v>
          </cell>
          <cell r="H850" t="str">
            <v>Active</v>
          </cell>
          <cell r="I850" t="str">
            <v>Katyal,Varun</v>
          </cell>
          <cell r="J850" t="str">
            <v>DULS</v>
          </cell>
        </row>
        <row r="851">
          <cell r="A851">
            <v>202444409</v>
          </cell>
          <cell r="B851" t="str">
            <v>romemetu</v>
          </cell>
          <cell r="C851" t="str">
            <v>Metuge,Romeo Mesape</v>
          </cell>
          <cell r="D851">
            <v>13920982</v>
          </cell>
          <cell r="E851">
            <v>1299</v>
          </cell>
          <cell r="F851" t="str">
            <v>Mon Oct 14 00:00:00 UTC 2024</v>
          </cell>
          <cell r="G851" t="str">
            <v>3PTY</v>
          </cell>
          <cell r="H851" t="str">
            <v>Active</v>
          </cell>
          <cell r="I851" t="str">
            <v>Katyal,Varun</v>
          </cell>
          <cell r="J851" t="str">
            <v>QUES</v>
          </cell>
        </row>
        <row r="852">
          <cell r="A852">
            <v>206874042</v>
          </cell>
          <cell r="B852" t="str">
            <v>obanhuss</v>
          </cell>
          <cell r="C852" t="str">
            <v>OBANDYO,HUSSEIN</v>
          </cell>
          <cell r="D852">
            <v>15213083</v>
          </cell>
          <cell r="E852">
            <v>1299</v>
          </cell>
          <cell r="F852" t="str">
            <v>Mon Dec 29 00:00:00 UTC 2025</v>
          </cell>
          <cell r="G852" t="str">
            <v>3PTY</v>
          </cell>
          <cell r="H852" t="str">
            <v>Active</v>
          </cell>
          <cell r="I852" t="str">
            <v>Katyal,Varun</v>
          </cell>
          <cell r="J852" t="str">
            <v>DULS</v>
          </cell>
        </row>
        <row r="853">
          <cell r="A853">
            <v>204886570</v>
          </cell>
          <cell r="B853" t="str">
            <v>mustissi</v>
          </cell>
          <cell r="C853" t="str">
            <v>MUSTAPHA,ISSIFU</v>
          </cell>
          <cell r="D853">
            <v>11151879</v>
          </cell>
          <cell r="E853">
            <v>1299</v>
          </cell>
          <cell r="F853" t="str">
            <v>Mon Mar 03 00:00:00 UTC 2025</v>
          </cell>
          <cell r="G853" t="str">
            <v>3PTY</v>
          </cell>
          <cell r="H853" t="str">
            <v>Active</v>
          </cell>
          <cell r="I853" t="str">
            <v>Lakkireddy,Sai Raghavendra Reddy</v>
          </cell>
          <cell r="J853" t="str">
            <v>DULS</v>
          </cell>
        </row>
        <row r="854">
          <cell r="A854">
            <v>203993451</v>
          </cell>
          <cell r="B854" t="str">
            <v>victooju</v>
          </cell>
          <cell r="C854" t="str">
            <v>OJUMA,VICTOR</v>
          </cell>
          <cell r="D854">
            <v>11319311</v>
          </cell>
          <cell r="E854">
            <v>1299</v>
          </cell>
          <cell r="F854" t="str">
            <v>Mon Aug 25 00:00:00 UTC 2025</v>
          </cell>
          <cell r="G854" t="str">
            <v>3PTY</v>
          </cell>
          <cell r="H854" t="str">
            <v>Active</v>
          </cell>
          <cell r="I854" t="str">
            <v>Ansari,Ammar Abdullah</v>
          </cell>
          <cell r="J854" t="str">
            <v>DULS</v>
          </cell>
        </row>
        <row r="855">
          <cell r="A855">
            <v>204882814</v>
          </cell>
          <cell r="B855" t="str">
            <v>douglakw</v>
          </cell>
          <cell r="C855" t="str">
            <v>KWAYIE,DOUGLAS</v>
          </cell>
          <cell r="D855">
            <v>14547207</v>
          </cell>
          <cell r="E855">
            <v>1299</v>
          </cell>
          <cell r="F855" t="str">
            <v>Mon Feb 03 00:00:00 UTC 2025</v>
          </cell>
          <cell r="G855" t="str">
            <v>3PTY</v>
          </cell>
          <cell r="H855" t="str">
            <v>Active</v>
          </cell>
          <cell r="I855" t="str">
            <v>Thomas,Binil</v>
          </cell>
          <cell r="J855" t="str">
            <v>DULS</v>
          </cell>
        </row>
        <row r="856">
          <cell r="A856">
            <v>203911200</v>
          </cell>
          <cell r="B856" t="str">
            <v>wilesing</v>
          </cell>
          <cell r="C856" t="str">
            <v>Singara,William</v>
          </cell>
          <cell r="D856">
            <v>14129080</v>
          </cell>
          <cell r="E856">
            <v>1299</v>
          </cell>
          <cell r="F856" t="str">
            <v>Mon Sep 02 00:00:00 UTC 2024</v>
          </cell>
          <cell r="G856" t="str">
            <v>3PTY</v>
          </cell>
          <cell r="H856" t="str">
            <v>Active</v>
          </cell>
          <cell r="I856" t="str">
            <v>Ansari,Ammar Abdullah</v>
          </cell>
          <cell r="J856" t="str">
            <v>ADEC</v>
          </cell>
        </row>
        <row r="857">
          <cell r="A857">
            <v>206643996</v>
          </cell>
          <cell r="B857" t="str">
            <v>iskaliba</v>
          </cell>
          <cell r="C857" t="str">
            <v>Kaliba,Ismael</v>
          </cell>
          <cell r="D857">
            <v>13312123</v>
          </cell>
          <cell r="E857">
            <v>1712</v>
          </cell>
          <cell r="F857" t="str">
            <v>Sun Nov 16 00:00:00 UTC 2025</v>
          </cell>
          <cell r="G857" t="str">
            <v>3PTY</v>
          </cell>
          <cell r="H857" t="str">
            <v>Active</v>
          </cell>
          <cell r="I857" t="str">
            <v>Mahamood,Kamal</v>
          </cell>
          <cell r="J857" t="str">
            <v>KBTS</v>
          </cell>
        </row>
        <row r="858">
          <cell r="A858">
            <v>205853884</v>
          </cell>
          <cell r="B858" t="str">
            <v>sydoneye</v>
          </cell>
          <cell r="C858" t="str">
            <v>EYE TANGE,SYDONIE</v>
          </cell>
          <cell r="D858">
            <v>12186793</v>
          </cell>
          <cell r="E858">
            <v>1299</v>
          </cell>
          <cell r="F858" t="str">
            <v>Mon Aug 25 00:00:00 UTC 2025</v>
          </cell>
          <cell r="G858" t="str">
            <v>3PTY</v>
          </cell>
          <cell r="H858" t="str">
            <v>Active</v>
          </cell>
          <cell r="I858" t="str">
            <v>Ansari,Ammar Abdullah</v>
          </cell>
          <cell r="J858" t="str">
            <v>EFSV</v>
          </cell>
        </row>
        <row r="859">
          <cell r="A859">
            <v>205275635</v>
          </cell>
          <cell r="B859" t="str">
            <v>nyazacha</v>
          </cell>
          <cell r="C859" t="str">
            <v>Nyang,Zacharia Nyaosi</v>
          </cell>
          <cell r="D859">
            <v>12917100</v>
          </cell>
          <cell r="E859">
            <v>1299</v>
          </cell>
          <cell r="F859" t="str">
            <v>Mon Oct 20 00:00:00 UTC 2025</v>
          </cell>
          <cell r="G859" t="str">
            <v>3PTY</v>
          </cell>
          <cell r="H859" t="str">
            <v>Active</v>
          </cell>
          <cell r="I859" t="str">
            <v>Meera,Bava Bahrudeen</v>
          </cell>
          <cell r="J859" t="str">
            <v>EFSV</v>
          </cell>
        </row>
        <row r="860">
          <cell r="A860">
            <v>203521132</v>
          </cell>
          <cell r="B860" t="str">
            <v>qmichtut</v>
          </cell>
          <cell r="C860" t="str">
            <v>Tutu,Michael Osei</v>
          </cell>
          <cell r="D860">
            <v>11547905</v>
          </cell>
          <cell r="E860">
            <v>1299</v>
          </cell>
          <cell r="F860" t="str">
            <v>Thu Jun 20 00:00:00 UTC 2024</v>
          </cell>
          <cell r="G860" t="str">
            <v>3PTY</v>
          </cell>
          <cell r="H860" t="str">
            <v>Active</v>
          </cell>
          <cell r="I860" t="str">
            <v>Katyal,Varun</v>
          </cell>
          <cell r="J860" t="str">
            <v>FLO</v>
          </cell>
        </row>
        <row r="861">
          <cell r="A861">
            <v>207407181</v>
          </cell>
          <cell r="B861" t="str">
            <v>mohhisma</v>
          </cell>
          <cell r="C861" t="str">
            <v>Ismail,Mohamed Asif Ismail</v>
          </cell>
          <cell r="D861">
            <v>14402043</v>
          </cell>
          <cell r="E861">
            <v>1299</v>
          </cell>
          <cell r="F861" t="str">
            <v>Mon May 04 00:00:00 UTC 2026</v>
          </cell>
          <cell r="G861" t="str">
            <v>3PTY</v>
          </cell>
          <cell r="H861" t="str">
            <v>Active</v>
          </cell>
          <cell r="I861" t="str">
            <v>Parungao,Priscila Montejo</v>
          </cell>
          <cell r="J861" t="str">
            <v>STWC</v>
          </cell>
        </row>
        <row r="862">
          <cell r="A862">
            <v>206906444</v>
          </cell>
          <cell r="B862" t="str">
            <v>habertmu</v>
          </cell>
          <cell r="C862" t="str">
            <v>MUHINDO,HABERT</v>
          </cell>
          <cell r="D862">
            <v>11713711</v>
          </cell>
          <cell r="E862">
            <v>1299</v>
          </cell>
          <cell r="F862" t="str">
            <v>Thu Jan 08 00:00:00 UTC 2026</v>
          </cell>
          <cell r="G862" t="str">
            <v>3PTY</v>
          </cell>
          <cell r="H862" t="str">
            <v>Active</v>
          </cell>
          <cell r="I862" t="str">
            <v>Lakkireddy,Sai Raghavendra Reddy</v>
          </cell>
          <cell r="J862" t="str">
            <v>DULS</v>
          </cell>
        </row>
        <row r="863">
          <cell r="A863">
            <v>203469455</v>
          </cell>
          <cell r="B863" t="str">
            <v>sandrtka</v>
          </cell>
          <cell r="C863" t="str">
            <v>Kasozi,Sandrta Nalubega</v>
          </cell>
          <cell r="D863">
            <v>14973812</v>
          </cell>
          <cell r="E863">
            <v>1299</v>
          </cell>
          <cell r="F863" t="str">
            <v>Thu Jun 13 00:00:00 UTC 2024</v>
          </cell>
          <cell r="G863" t="str">
            <v>3PTY</v>
          </cell>
          <cell r="H863" t="str">
            <v>Active</v>
          </cell>
          <cell r="I863" t="str">
            <v>Meera,Bava Bahrudeen</v>
          </cell>
          <cell r="J863" t="str">
            <v>ADEC</v>
          </cell>
        </row>
        <row r="864">
          <cell r="A864">
            <v>203160762</v>
          </cell>
          <cell r="B864" t="str">
            <v>wamboya</v>
          </cell>
          <cell r="C864" t="str">
            <v>WAMBOYA,IVAN</v>
          </cell>
          <cell r="D864">
            <v>14399690</v>
          </cell>
          <cell r="E864">
            <v>1299</v>
          </cell>
          <cell r="F864" t="str">
            <v>Sun Mar 31 00:00:00 UTC 2024</v>
          </cell>
          <cell r="G864" t="str">
            <v>3PTY</v>
          </cell>
          <cell r="H864" t="str">
            <v>Active</v>
          </cell>
          <cell r="I864" t="str">
            <v>Akhtar,Muhammad Zohaib</v>
          </cell>
          <cell r="J864" t="str">
            <v>WOFZ</v>
          </cell>
        </row>
        <row r="865">
          <cell r="A865">
            <v>206240253</v>
          </cell>
          <cell r="B865" t="str">
            <v>busnabuw</v>
          </cell>
          <cell r="C865" t="str">
            <v>NABUWEMBO,BUSHILAH</v>
          </cell>
          <cell r="D865">
            <v>12876609</v>
          </cell>
          <cell r="E865">
            <v>1299</v>
          </cell>
          <cell r="F865" t="str">
            <v>Tue Aug 04 00:00:00 UTC 2026</v>
          </cell>
          <cell r="G865" t="str">
            <v>3PTY</v>
          </cell>
          <cell r="H865" t="str">
            <v>Active</v>
          </cell>
          <cell r="I865" t="str">
            <v>Narshad,Muhammad Ashik</v>
          </cell>
          <cell r="J865" t="str">
            <v>EFSV</v>
          </cell>
        </row>
        <row r="866">
          <cell r="A866">
            <v>203405017</v>
          </cell>
          <cell r="B866" t="str">
            <v>kapasade</v>
          </cell>
          <cell r="C866" t="str">
            <v>Kapasa,Dennis</v>
          </cell>
          <cell r="D866">
            <v>12413174</v>
          </cell>
          <cell r="E866">
            <v>1299</v>
          </cell>
          <cell r="F866" t="str">
            <v>Thu May 30 00:00:00 UTC 2024</v>
          </cell>
          <cell r="G866" t="str">
            <v>3PTY</v>
          </cell>
          <cell r="H866" t="str">
            <v>Active</v>
          </cell>
          <cell r="I866" t="str">
            <v>Akhtar,Muhammad Zohaib</v>
          </cell>
          <cell r="J866" t="str">
            <v>WOFZ</v>
          </cell>
        </row>
        <row r="867">
          <cell r="A867">
            <v>203737198</v>
          </cell>
          <cell r="B867" t="str">
            <v>wrkilama</v>
          </cell>
          <cell r="C867" t="str">
            <v>KILAMA,WILLIAM</v>
          </cell>
          <cell r="D867">
            <v>13511109</v>
          </cell>
          <cell r="E867">
            <v>1299</v>
          </cell>
          <cell r="F867" t="str">
            <v>Mon Jul 29 00:00:00 UTC 2024</v>
          </cell>
          <cell r="G867" t="str">
            <v>3PTY</v>
          </cell>
          <cell r="H867" t="str">
            <v>Active</v>
          </cell>
          <cell r="I867" t="str">
            <v>Katyal,Varun</v>
          </cell>
          <cell r="J867" t="str">
            <v>DULS</v>
          </cell>
        </row>
        <row r="868">
          <cell r="A868">
            <v>206875148</v>
          </cell>
          <cell r="B868" t="str">
            <v>kiyimash</v>
          </cell>
          <cell r="C868" t="str">
            <v>KIYIMBA,ASHIRAF</v>
          </cell>
          <cell r="D868">
            <v>13469422</v>
          </cell>
          <cell r="E868">
            <v>1299</v>
          </cell>
          <cell r="F868" t="str">
            <v>Mon Dec 29 00:00:00 UTC 2025</v>
          </cell>
          <cell r="G868" t="str">
            <v>3PTY</v>
          </cell>
          <cell r="H868" t="str">
            <v>Active</v>
          </cell>
          <cell r="I868" t="str">
            <v>Sohail,Anis</v>
          </cell>
          <cell r="J868" t="str">
            <v>DULS</v>
          </cell>
        </row>
        <row r="869">
          <cell r="A869">
            <v>204226132</v>
          </cell>
          <cell r="B869" t="str">
            <v>adakbarn</v>
          </cell>
          <cell r="C869" t="str">
            <v>Akbar,Adnan</v>
          </cell>
          <cell r="D869">
            <v>13556265</v>
          </cell>
          <cell r="E869">
            <v>1299</v>
          </cell>
          <cell r="F869" t="str">
            <v>Thu Oct 10 00:00:00 UTC 2024</v>
          </cell>
          <cell r="G869" t="str">
            <v>3PTY</v>
          </cell>
          <cell r="H869" t="str">
            <v>Active</v>
          </cell>
          <cell r="I869" t="str">
            <v>Rizvan,Mohamed</v>
          </cell>
          <cell r="J869" t="str">
            <v>KBTS</v>
          </cell>
        </row>
        <row r="870">
          <cell r="A870">
            <v>206889908</v>
          </cell>
          <cell r="B870" t="str">
            <v>jeplerut</v>
          </cell>
          <cell r="C870" t="str">
            <v>JEPLETING,RUTH</v>
          </cell>
          <cell r="D870">
            <v>11079543</v>
          </cell>
          <cell r="E870">
            <v>1299</v>
          </cell>
          <cell r="F870" t="str">
            <v>Mon Jan 05 00:00:00 UTC 2026</v>
          </cell>
          <cell r="G870" t="str">
            <v>3PTY</v>
          </cell>
          <cell r="H870" t="str">
            <v>Active</v>
          </cell>
          <cell r="I870" t="str">
            <v>Katyal,Varun</v>
          </cell>
          <cell r="J870" t="str">
            <v>EFSV</v>
          </cell>
        </row>
        <row r="871">
          <cell r="A871">
            <v>203800473</v>
          </cell>
          <cell r="B871" t="str">
            <v>ruperkot</v>
          </cell>
          <cell r="C871" t="str">
            <v>UPERKOTI,RENU</v>
          </cell>
          <cell r="D871">
            <v>14054312</v>
          </cell>
          <cell r="E871">
            <v>1299</v>
          </cell>
          <cell r="F871" t="str">
            <v>Fri Aug 09 00:00:00 UTC 2024</v>
          </cell>
          <cell r="G871" t="str">
            <v>3PTY</v>
          </cell>
          <cell r="H871" t="str">
            <v>Active</v>
          </cell>
          <cell r="I871" t="str">
            <v>Pudhoor,Jibin</v>
          </cell>
          <cell r="J871" t="str">
            <v>KBTS</v>
          </cell>
        </row>
        <row r="872">
          <cell r="A872">
            <v>206900408</v>
          </cell>
          <cell r="B872" t="str">
            <v>mriazchc</v>
          </cell>
          <cell r="C872" t="str">
            <v>Muhammad Abbas Ali,Riaz Chohan</v>
          </cell>
          <cell r="D872">
            <v>14127994</v>
          </cell>
          <cell r="E872">
            <v>1299</v>
          </cell>
          <cell r="F872" t="str">
            <v>Tue Jan 06 00:00:00 UTC 2026</v>
          </cell>
          <cell r="G872" t="str">
            <v>3PTY</v>
          </cell>
          <cell r="H872" t="str">
            <v>Active</v>
          </cell>
          <cell r="I872" t="str">
            <v>Parungao,Priscila Montejo</v>
          </cell>
          <cell r="J872" t="str">
            <v>VSTG</v>
          </cell>
        </row>
        <row r="873">
          <cell r="A873">
            <v>203850935</v>
          </cell>
          <cell r="B873" t="str">
            <v>phumuzin</v>
          </cell>
          <cell r="C873" t="str">
            <v>Ndlovu,Phumuzile</v>
          </cell>
          <cell r="D873">
            <v>13963860</v>
          </cell>
          <cell r="E873">
            <v>1299</v>
          </cell>
          <cell r="F873" t="str">
            <v>Tue Aug 20 00:00:00 UTC 2024</v>
          </cell>
          <cell r="G873" t="str">
            <v>3PTY</v>
          </cell>
          <cell r="H873" t="str">
            <v>Active</v>
          </cell>
          <cell r="I873" t="str">
            <v>Meera,Bava Bahrudeen</v>
          </cell>
          <cell r="J873" t="str">
            <v>FLO</v>
          </cell>
        </row>
        <row r="874">
          <cell r="A874">
            <v>203851101</v>
          </cell>
          <cell r="B874" t="str">
            <v>adusahpr</v>
          </cell>
          <cell r="C874" t="str">
            <v>Adusah,Prince Kwako</v>
          </cell>
          <cell r="D874">
            <v>13475959</v>
          </cell>
          <cell r="E874">
            <v>1299</v>
          </cell>
          <cell r="F874" t="str">
            <v>Tue Aug 20 00:00:00 UTC 2024</v>
          </cell>
          <cell r="G874" t="str">
            <v>3PTY</v>
          </cell>
          <cell r="H874" t="str">
            <v>Active</v>
          </cell>
          <cell r="I874" t="str">
            <v>Narshad,Muhammad Ashik</v>
          </cell>
          <cell r="J874" t="str">
            <v>FLO</v>
          </cell>
        </row>
        <row r="875">
          <cell r="A875">
            <v>206851159</v>
          </cell>
          <cell r="B875" t="str">
            <v>mubirura</v>
          </cell>
          <cell r="C875" t="str">
            <v>RAJESHI,MUBIRU</v>
          </cell>
          <cell r="D875">
            <v>12675025</v>
          </cell>
          <cell r="E875">
            <v>1299</v>
          </cell>
          <cell r="F875" t="str">
            <v>Mon Dec 22 00:00:00 UTC 2025</v>
          </cell>
          <cell r="G875" t="str">
            <v>3PTY</v>
          </cell>
          <cell r="H875" t="str">
            <v>Active</v>
          </cell>
          <cell r="I875" t="str">
            <v>Narshad,Muhammad Ashik</v>
          </cell>
          <cell r="J875" t="str">
            <v>DULS</v>
          </cell>
        </row>
        <row r="876">
          <cell r="A876">
            <v>206007530</v>
          </cell>
          <cell r="B876" t="str">
            <v>netofikz</v>
          </cell>
          <cell r="C876" t="str">
            <v>Negash,Tofik</v>
          </cell>
          <cell r="D876">
            <v>14040549</v>
          </cell>
          <cell r="E876">
            <v>1299</v>
          </cell>
          <cell r="F876" t="str">
            <v>Mon Sep 15 00:00:00 UTC 2025</v>
          </cell>
          <cell r="G876" t="str">
            <v>3PTY</v>
          </cell>
          <cell r="H876" t="str">
            <v>Active</v>
          </cell>
          <cell r="I876" t="str">
            <v>Meera,Bava Bahrudeen</v>
          </cell>
          <cell r="J876" t="str">
            <v>FLO</v>
          </cell>
        </row>
        <row r="877">
          <cell r="A877">
            <v>205997633</v>
          </cell>
          <cell r="B877" t="str">
            <v>rokrumon</v>
          </cell>
          <cell r="C877" t="str">
            <v>OKRU,MONIKA</v>
          </cell>
          <cell r="D877">
            <v>12646706</v>
          </cell>
          <cell r="E877">
            <v>1299</v>
          </cell>
          <cell r="F877" t="str">
            <v>Mon Sep 15 00:00:00 UTC 2025</v>
          </cell>
          <cell r="G877" t="str">
            <v>3PTY</v>
          </cell>
          <cell r="H877" t="str">
            <v>Active</v>
          </cell>
          <cell r="I877" t="str">
            <v>Lakkireddy,Sai Raghavendra Reddy</v>
          </cell>
          <cell r="J877" t="str">
            <v>FLO</v>
          </cell>
        </row>
        <row r="878">
          <cell r="A878">
            <v>206958086</v>
          </cell>
          <cell r="B878" t="str">
            <v>ullazasa</v>
          </cell>
          <cell r="C878" t="str">
            <v>Ullah,Asad</v>
          </cell>
          <cell r="D878">
            <v>11364600</v>
          </cell>
          <cell r="E878">
            <v>1299</v>
          </cell>
          <cell r="F878" t="str">
            <v>Mon Jan 26 00:00:00 UTC 2026</v>
          </cell>
          <cell r="G878" t="str">
            <v>3PTY</v>
          </cell>
          <cell r="H878" t="str">
            <v>Active</v>
          </cell>
          <cell r="I878" t="str">
            <v>Katyal,Varun</v>
          </cell>
          <cell r="J878" t="str">
            <v>EFSV</v>
          </cell>
        </row>
        <row r="879">
          <cell r="A879">
            <v>203965408</v>
          </cell>
          <cell r="B879" t="str">
            <v>troychim</v>
          </cell>
          <cell r="C879" t="str">
            <v>Roy Chimunda,Tatenda Lee</v>
          </cell>
          <cell r="D879">
            <v>11590499</v>
          </cell>
          <cell r="E879">
            <v>1299</v>
          </cell>
          <cell r="F879" t="str">
            <v>Mon Sep 09 00:00:00 UTC 2024</v>
          </cell>
          <cell r="G879" t="str">
            <v>3PTY</v>
          </cell>
          <cell r="H879" t="str">
            <v>Active</v>
          </cell>
          <cell r="I879" t="str">
            <v>Ansari,Ammar Abdullah</v>
          </cell>
          <cell r="J879" t="str">
            <v>FLO</v>
          </cell>
        </row>
        <row r="880">
          <cell r="A880">
            <v>206949309</v>
          </cell>
          <cell r="B880" t="str">
            <v>devssebb</v>
          </cell>
          <cell r="C880" t="str">
            <v>SSEBBUGGA,DEVIS</v>
          </cell>
          <cell r="D880">
            <v>14534388</v>
          </cell>
          <cell r="E880">
            <v>1299</v>
          </cell>
          <cell r="F880" t="str">
            <v>Mon Jan 26 00:00:00 UTC 2026</v>
          </cell>
          <cell r="G880" t="str">
            <v>3PTY</v>
          </cell>
          <cell r="H880" t="str">
            <v>Active</v>
          </cell>
          <cell r="I880" t="str">
            <v>Sohail,Anis</v>
          </cell>
          <cell r="J880" t="str">
            <v>DULS</v>
          </cell>
        </row>
        <row r="881">
          <cell r="A881">
            <v>205257125</v>
          </cell>
          <cell r="B881" t="str">
            <v>kiremkel</v>
          </cell>
          <cell r="C881" t="str">
            <v>Kirema,Kelvin Munene</v>
          </cell>
          <cell r="D881">
            <v>13986449</v>
          </cell>
          <cell r="E881">
            <v>1299</v>
          </cell>
          <cell r="F881" t="str">
            <v>Fri May 16 00:00:00 UTC 2025</v>
          </cell>
          <cell r="G881" t="str">
            <v>3PTY</v>
          </cell>
          <cell r="H881" t="str">
            <v>Active</v>
          </cell>
          <cell r="I881" t="str">
            <v>Scaria,Varghese</v>
          </cell>
          <cell r="J881" t="str">
            <v>EFSV</v>
          </cell>
        </row>
        <row r="882">
          <cell r="A882">
            <v>205192972</v>
          </cell>
          <cell r="B882" t="str">
            <v>utajudem</v>
          </cell>
          <cell r="C882" t="str">
            <v>TAJUDEEN,MOHAMMED AGEEZ TAJUDEEN</v>
          </cell>
          <cell r="D882">
            <v>14809735</v>
          </cell>
          <cell r="E882">
            <v>1287</v>
          </cell>
          <cell r="F882" t="str">
            <v>Wed Apr 23 00:00:00 UTC 2025</v>
          </cell>
          <cell r="G882" t="str">
            <v>3PTY</v>
          </cell>
          <cell r="H882" t="str">
            <v>Active</v>
          </cell>
          <cell r="I882" t="str">
            <v>Ouseph,Vinu</v>
          </cell>
          <cell r="J882" t="str">
            <v>FRIZ</v>
          </cell>
        </row>
        <row r="883">
          <cell r="A883">
            <v>205977117</v>
          </cell>
          <cell r="B883" t="str">
            <v>ssemuyai</v>
          </cell>
          <cell r="C883" t="str">
            <v>SSEMUYABA,IVAN</v>
          </cell>
          <cell r="D883">
            <v>59885</v>
          </cell>
          <cell r="E883">
            <v>1299</v>
          </cell>
          <cell r="F883" t="str">
            <v>Mon Sep 15 00:00:00 UTC 2025</v>
          </cell>
          <cell r="G883" t="str">
            <v>3PTY</v>
          </cell>
          <cell r="H883" t="str">
            <v>Active</v>
          </cell>
          <cell r="I883" t="str">
            <v>Katyal,Varun</v>
          </cell>
          <cell r="J883" t="str">
            <v>DULS</v>
          </cell>
        </row>
        <row r="884">
          <cell r="A884">
            <v>204172240</v>
          </cell>
          <cell r="B884" t="str">
            <v>abdwaak</v>
          </cell>
          <cell r="C884" t="str">
            <v>WAAKO,ABDUL</v>
          </cell>
          <cell r="D884">
            <v>12894780</v>
          </cell>
          <cell r="E884">
            <v>1299</v>
          </cell>
          <cell r="F884" t="str">
            <v>Thu Oct 03 00:00:00 UTC 2024</v>
          </cell>
          <cell r="G884" t="str">
            <v>3PTY</v>
          </cell>
          <cell r="H884" t="str">
            <v>Active</v>
          </cell>
          <cell r="I884" t="str">
            <v>Narshad,Muhammad Ashik</v>
          </cell>
          <cell r="J884" t="str">
            <v>DULS</v>
          </cell>
        </row>
        <row r="885">
          <cell r="A885">
            <v>203521525</v>
          </cell>
          <cell r="B885" t="str">
            <v>agorgije</v>
          </cell>
          <cell r="C885" t="str">
            <v>Agorgi,Jonathan</v>
          </cell>
          <cell r="D885">
            <v>13642769</v>
          </cell>
          <cell r="E885">
            <v>1299</v>
          </cell>
          <cell r="F885" t="str">
            <v>Thu Jun 20 00:00:00 UTC 2024</v>
          </cell>
          <cell r="G885" t="str">
            <v>3PTY</v>
          </cell>
          <cell r="H885" t="str">
            <v>Active</v>
          </cell>
          <cell r="I885" t="str">
            <v>Katyal,Varun</v>
          </cell>
          <cell r="J885" t="str">
            <v>FLO</v>
          </cell>
        </row>
        <row r="886">
          <cell r="A886">
            <v>203813033</v>
          </cell>
          <cell r="B886" t="str">
            <v>jospalbi</v>
          </cell>
          <cell r="C886" t="str">
            <v>JOSE,ALBIN</v>
          </cell>
          <cell r="D886">
            <v>14718898</v>
          </cell>
          <cell r="E886">
            <v>1299</v>
          </cell>
          <cell r="F886" t="str">
            <v>Tue Aug 13 00:00:00 UTC 2024</v>
          </cell>
          <cell r="G886" t="str">
            <v>3PTY</v>
          </cell>
          <cell r="H886" t="str">
            <v>Active</v>
          </cell>
          <cell r="I886" t="str">
            <v>Katyal,Varun</v>
          </cell>
          <cell r="J886" t="str">
            <v>ADEC</v>
          </cell>
        </row>
        <row r="887">
          <cell r="A887">
            <v>203800237</v>
          </cell>
          <cell r="B887" t="str">
            <v>baskotpk</v>
          </cell>
          <cell r="C887" t="str">
            <v>BASKOTA,PARBATI</v>
          </cell>
          <cell r="D887">
            <v>14702163</v>
          </cell>
          <cell r="E887">
            <v>1299</v>
          </cell>
          <cell r="F887" t="str">
            <v>Fri Aug 09 00:00:00 UTC 2024</v>
          </cell>
          <cell r="G887" t="str">
            <v>3PTY</v>
          </cell>
          <cell r="H887" t="str">
            <v>Active</v>
          </cell>
          <cell r="I887" t="str">
            <v>Pudhoor,Jibin</v>
          </cell>
          <cell r="J887" t="str">
            <v>KBTS</v>
          </cell>
        </row>
        <row r="888">
          <cell r="A888">
            <v>203030146</v>
          </cell>
          <cell r="B888" t="str">
            <v>ganeesur</v>
          </cell>
          <cell r="C888" t="str">
            <v>Suresh,Ganesan</v>
          </cell>
          <cell r="D888">
            <v>14722075</v>
          </cell>
          <cell r="E888">
            <v>1299</v>
          </cell>
          <cell r="F888" t="str">
            <v>Mon Feb 19 00:00:00 UTC 2024</v>
          </cell>
          <cell r="G888" t="str">
            <v>3PTY</v>
          </cell>
          <cell r="H888" t="str">
            <v>Active</v>
          </cell>
          <cell r="I888" t="str">
            <v>Shershad,Ramees</v>
          </cell>
          <cell r="J888" t="str">
            <v>KBTS</v>
          </cell>
        </row>
        <row r="889">
          <cell r="A889">
            <v>206897661</v>
          </cell>
          <cell r="B889" t="str">
            <v>enembong</v>
          </cell>
          <cell r="C889" t="str">
            <v>NEMBONGWE,EMMANUEL</v>
          </cell>
          <cell r="D889">
            <v>243496</v>
          </cell>
          <cell r="E889">
            <v>1299</v>
          </cell>
          <cell r="F889" t="str">
            <v>Tue Aug 04 00:00:00 UTC 2026</v>
          </cell>
          <cell r="G889" t="str">
            <v>3PTY</v>
          </cell>
          <cell r="H889" t="str">
            <v>Active</v>
          </cell>
          <cell r="I889" t="str">
            <v>Scaria,Varghese</v>
          </cell>
          <cell r="J889" t="str">
            <v>FLO</v>
          </cell>
        </row>
        <row r="890">
          <cell r="A890">
            <v>204299063</v>
          </cell>
          <cell r="B890" t="str">
            <v>yblankso</v>
          </cell>
          <cell r="C890" t="str">
            <v>Yeboah,Blankson</v>
          </cell>
          <cell r="D890">
            <v>13664096</v>
          </cell>
          <cell r="E890">
            <v>1299</v>
          </cell>
          <cell r="F890" t="str">
            <v>Mon Oct 21 00:00:00 UTC 2024</v>
          </cell>
          <cell r="G890" t="str">
            <v>3PTY</v>
          </cell>
          <cell r="H890" t="str">
            <v>Active</v>
          </cell>
          <cell r="I890" t="str">
            <v>Scaria,Varghese</v>
          </cell>
          <cell r="J890" t="str">
            <v>QUES</v>
          </cell>
        </row>
        <row r="891">
          <cell r="A891">
            <v>205236898</v>
          </cell>
          <cell r="B891" t="str">
            <v>mukailka</v>
          </cell>
          <cell r="C891" t="str">
            <v>KASSIM,MUKAILA</v>
          </cell>
          <cell r="D891">
            <v>14284773</v>
          </cell>
          <cell r="E891">
            <v>1299</v>
          </cell>
          <cell r="F891" t="str">
            <v>Mon May 12 00:00:00 UTC 2025</v>
          </cell>
          <cell r="G891" t="str">
            <v>3PTY</v>
          </cell>
          <cell r="H891" t="str">
            <v>Active</v>
          </cell>
          <cell r="I891" t="str">
            <v>Narshad,Muhammad Ashik</v>
          </cell>
          <cell r="J891" t="str">
            <v>DULS</v>
          </cell>
        </row>
        <row r="892">
          <cell r="A892">
            <v>206072090</v>
          </cell>
          <cell r="B892" t="str">
            <v>asamoahq</v>
          </cell>
          <cell r="C892" t="str">
            <v>ASAMOAH,BENJAMIN</v>
          </cell>
          <cell r="D892">
            <v>12726194</v>
          </cell>
          <cell r="E892">
            <v>1299</v>
          </cell>
          <cell r="F892" t="str">
            <v>Mon Sep 22 00:00:00 UTC 2025</v>
          </cell>
          <cell r="G892" t="str">
            <v>3PTY</v>
          </cell>
          <cell r="H892" t="str">
            <v>Active</v>
          </cell>
          <cell r="I892" t="str">
            <v>Lakkireddy,Sai Raghavendra Reddy</v>
          </cell>
          <cell r="J892" t="str">
            <v>FLO</v>
          </cell>
        </row>
        <row r="893">
          <cell r="A893">
            <v>206504129</v>
          </cell>
          <cell r="B893" t="str">
            <v>isandyam</v>
          </cell>
          <cell r="C893" t="str">
            <v>NDYAMUHAKI,ISAAC</v>
          </cell>
          <cell r="D893">
            <v>11277773</v>
          </cell>
          <cell r="E893">
            <v>1299</v>
          </cell>
          <cell r="F893" t="str">
            <v>Mon Nov 10 00:00:00 UTC 2025</v>
          </cell>
          <cell r="G893" t="str">
            <v>3PTY</v>
          </cell>
          <cell r="H893" t="str">
            <v>Active</v>
          </cell>
          <cell r="I893" t="str">
            <v>Katyal,Varun</v>
          </cell>
          <cell r="J893" t="str">
            <v>DULS</v>
          </cell>
        </row>
        <row r="894">
          <cell r="A894">
            <v>203813032</v>
          </cell>
          <cell r="B894" t="str">
            <v>dilwinja</v>
          </cell>
          <cell r="C894" t="str">
            <v>JOSE,DILWIN</v>
          </cell>
          <cell r="D894">
            <v>12994705</v>
          </cell>
          <cell r="E894">
            <v>1299</v>
          </cell>
          <cell r="F894" t="str">
            <v>Tue Aug 13 00:00:00 UTC 2024</v>
          </cell>
          <cell r="G894" t="str">
            <v>3PTY</v>
          </cell>
          <cell r="H894" t="str">
            <v>Active</v>
          </cell>
          <cell r="I894" t="str">
            <v>Ansari,Ammar Abdullah</v>
          </cell>
          <cell r="J894" t="str">
            <v>ADEC</v>
          </cell>
        </row>
        <row r="895">
          <cell r="A895">
            <v>205257390</v>
          </cell>
          <cell r="B895" t="str">
            <v>kimutcol</v>
          </cell>
          <cell r="C895" t="str">
            <v>Kimutai,Collins</v>
          </cell>
          <cell r="D895">
            <v>11076827</v>
          </cell>
          <cell r="E895">
            <v>1299</v>
          </cell>
          <cell r="F895" t="str">
            <v>Mon May 12 00:00:00 UTC 2025</v>
          </cell>
          <cell r="G895" t="str">
            <v>3PTY</v>
          </cell>
          <cell r="H895" t="str">
            <v>Active</v>
          </cell>
          <cell r="I895" t="str">
            <v>Lakkireddy,Sai Raghavendra Reddy</v>
          </cell>
          <cell r="J895" t="str">
            <v>EFSV</v>
          </cell>
        </row>
        <row r="896">
          <cell r="A896">
            <v>203555938</v>
          </cell>
          <cell r="B896" t="str">
            <v>fairoowk</v>
          </cell>
          <cell r="C896" t="str">
            <v>khader,Fairoose Abdul</v>
          </cell>
          <cell r="D896">
            <v>13318862</v>
          </cell>
          <cell r="E896">
            <v>1299</v>
          </cell>
          <cell r="F896" t="str">
            <v>Wed Jun 26 00:00:00 UTC 2024</v>
          </cell>
          <cell r="G896" t="str">
            <v>3PTY</v>
          </cell>
          <cell r="H896" t="str">
            <v>Active</v>
          </cell>
          <cell r="I896" t="str">
            <v>Joshi,Anirudh</v>
          </cell>
          <cell r="J896" t="str">
            <v>ADEC</v>
          </cell>
        </row>
        <row r="897">
          <cell r="A897">
            <v>206239216</v>
          </cell>
          <cell r="B897" t="str">
            <v>ambirlau</v>
          </cell>
          <cell r="C897" t="str">
            <v>AMBIRAKUM ANJOYONG,LAURA</v>
          </cell>
          <cell r="D897">
            <v>14131632</v>
          </cell>
          <cell r="E897">
            <v>1299</v>
          </cell>
          <cell r="F897" t="str">
            <v>Mon Oct 13 00:00:00 UTC 2025</v>
          </cell>
          <cell r="G897" t="str">
            <v>3PTY</v>
          </cell>
          <cell r="H897" t="str">
            <v>Active</v>
          </cell>
          <cell r="I897" t="str">
            <v>elrashid,Hassan</v>
          </cell>
          <cell r="J897" t="str">
            <v>FLO</v>
          </cell>
        </row>
        <row r="898">
          <cell r="A898">
            <v>206239755</v>
          </cell>
          <cell r="B898" t="str">
            <v>ansahpro</v>
          </cell>
          <cell r="C898" t="str">
            <v>ANSAH PRINCE,OWUSU</v>
          </cell>
          <cell r="D898">
            <v>13471307</v>
          </cell>
          <cell r="E898">
            <v>1299</v>
          </cell>
          <cell r="F898" t="str">
            <v>Mon Oct 13 00:00:00 UTC 2025</v>
          </cell>
          <cell r="G898" t="str">
            <v>3PTY</v>
          </cell>
          <cell r="H898" t="str">
            <v>Active</v>
          </cell>
          <cell r="I898" t="str">
            <v>Thomas,Binil</v>
          </cell>
          <cell r="J898" t="str">
            <v>DULS</v>
          </cell>
        </row>
        <row r="899">
          <cell r="A899">
            <v>203965008</v>
          </cell>
          <cell r="B899" t="str">
            <v>muhmohas</v>
          </cell>
          <cell r="C899" t="str">
            <v>Muhammad,Mohasin</v>
          </cell>
          <cell r="D899">
            <v>12607370</v>
          </cell>
          <cell r="E899">
            <v>1299</v>
          </cell>
          <cell r="F899" t="str">
            <v>Mon Sep 09 00:00:00 UTC 2024</v>
          </cell>
          <cell r="G899" t="str">
            <v>3PTY</v>
          </cell>
          <cell r="H899" t="str">
            <v>Active</v>
          </cell>
          <cell r="I899" t="str">
            <v>Lakkireddy,Sai Raghavendra Reddy</v>
          </cell>
          <cell r="J899" t="str">
            <v>ADEC</v>
          </cell>
        </row>
        <row r="900">
          <cell r="A900">
            <v>203469449</v>
          </cell>
          <cell r="B900" t="str">
            <v>daniboah</v>
          </cell>
          <cell r="C900" t="str">
            <v>Boahen,Daniel</v>
          </cell>
          <cell r="D900">
            <v>11067054</v>
          </cell>
          <cell r="E900">
            <v>1299</v>
          </cell>
          <cell r="F900" t="str">
            <v>Thu Jun 13 00:00:00 UTC 2024</v>
          </cell>
          <cell r="G900" t="str">
            <v>3PTY</v>
          </cell>
          <cell r="H900" t="str">
            <v>Active</v>
          </cell>
          <cell r="I900" t="str">
            <v>Sohail,Anis</v>
          </cell>
          <cell r="J900" t="str">
            <v>ADEC</v>
          </cell>
        </row>
        <row r="901">
          <cell r="A901">
            <v>203800486</v>
          </cell>
          <cell r="B901" t="str">
            <v>petekamu</v>
          </cell>
          <cell r="C901" t="str">
            <v>KAMULEGEYA,PETER</v>
          </cell>
          <cell r="D901">
            <v>66942</v>
          </cell>
          <cell r="E901">
            <v>1299</v>
          </cell>
          <cell r="F901" t="str">
            <v>Mon Aug 12 00:00:00 UTC 2024</v>
          </cell>
          <cell r="G901" t="str">
            <v>3PTY</v>
          </cell>
          <cell r="H901" t="str">
            <v>Active</v>
          </cell>
          <cell r="I901" t="str">
            <v>Katyal,Varun</v>
          </cell>
          <cell r="J901" t="str">
            <v>DULS</v>
          </cell>
        </row>
        <row r="902">
          <cell r="A902">
            <v>206004604</v>
          </cell>
          <cell r="B902" t="str">
            <v>qkejulie</v>
          </cell>
          <cell r="C902" t="str">
            <v>KENEMA,JULIET</v>
          </cell>
          <cell r="D902">
            <v>11067225</v>
          </cell>
          <cell r="E902">
            <v>1299</v>
          </cell>
          <cell r="F902" t="str">
            <v>Mon Sep 15 00:00:00 UTC 2025</v>
          </cell>
          <cell r="G902" t="str">
            <v>3PTY</v>
          </cell>
          <cell r="H902" t="str">
            <v>Active</v>
          </cell>
          <cell r="I902" t="str">
            <v>Katyal,Varun</v>
          </cell>
          <cell r="J902" t="str">
            <v>FLO</v>
          </cell>
        </row>
        <row r="903">
          <cell r="A903">
            <v>205977130</v>
          </cell>
          <cell r="B903" t="str">
            <v>tumwgben</v>
          </cell>
          <cell r="C903" t="str">
            <v>TUMWINE,BENSON</v>
          </cell>
          <cell r="D903">
            <v>14428039</v>
          </cell>
          <cell r="E903">
            <v>1299</v>
          </cell>
          <cell r="F903" t="str">
            <v>Mon Sep 15 00:00:00 UTC 2025</v>
          </cell>
          <cell r="G903" t="str">
            <v>3PTY</v>
          </cell>
          <cell r="H903" t="str">
            <v>Active</v>
          </cell>
          <cell r="I903" t="str">
            <v>Dinberu,Eden</v>
          </cell>
          <cell r="J903" t="str">
            <v>DULS</v>
          </cell>
        </row>
        <row r="904">
          <cell r="A904">
            <v>203964988</v>
          </cell>
          <cell r="B904" t="str">
            <v>vivekper</v>
          </cell>
          <cell r="C904" t="str">
            <v>Perumandla,Vivek</v>
          </cell>
          <cell r="D904">
            <v>15085744</v>
          </cell>
          <cell r="E904">
            <v>1299</v>
          </cell>
          <cell r="F904" t="str">
            <v>Mon Sep 09 00:00:00 UTC 2024</v>
          </cell>
          <cell r="G904" t="str">
            <v>3PTY</v>
          </cell>
          <cell r="H904" t="str">
            <v>Active</v>
          </cell>
          <cell r="I904" t="str">
            <v>Ansari,Ammar Abdullah</v>
          </cell>
          <cell r="J904" t="str">
            <v>ADEC</v>
          </cell>
        </row>
        <row r="905">
          <cell r="A905">
            <v>206129267</v>
          </cell>
          <cell r="B905" t="str">
            <v>tarkopet</v>
          </cell>
          <cell r="C905" t="str">
            <v>Tarko,Peterson</v>
          </cell>
          <cell r="D905">
            <v>14782227</v>
          </cell>
          <cell r="E905">
            <v>1299</v>
          </cell>
          <cell r="F905" t="str">
            <v>Mon Sep 29 00:00:00 UTC 2025</v>
          </cell>
          <cell r="G905" t="str">
            <v>3PTY</v>
          </cell>
          <cell r="H905" t="str">
            <v>Active</v>
          </cell>
          <cell r="I905" t="str">
            <v>Ansari,Ammar Abdullah</v>
          </cell>
          <cell r="J905" t="str">
            <v>FLO</v>
          </cell>
        </row>
        <row r="906">
          <cell r="A906">
            <v>204946697</v>
          </cell>
          <cell r="B906" t="str">
            <v>entettey</v>
          </cell>
          <cell r="C906" t="str">
            <v>TETTEY,ENOCK</v>
          </cell>
          <cell r="D906">
            <v>11702287</v>
          </cell>
          <cell r="E906">
            <v>1299</v>
          </cell>
          <cell r="F906" t="str">
            <v>Mon Mar 03 00:00:00 UTC 2025</v>
          </cell>
          <cell r="G906" t="str">
            <v>3PTY</v>
          </cell>
          <cell r="H906" t="str">
            <v>Active</v>
          </cell>
          <cell r="I906" t="str">
            <v>Lakkireddy,Sai Raghavendra Reddy</v>
          </cell>
          <cell r="J906" t="str">
            <v>DULS</v>
          </cell>
        </row>
        <row r="907">
          <cell r="A907">
            <v>204053434</v>
          </cell>
          <cell r="B907" t="str">
            <v>mohaaziv</v>
          </cell>
          <cell r="C907" t="str">
            <v>Mohammed,Azizuddin</v>
          </cell>
          <cell r="D907">
            <v>12782554</v>
          </cell>
          <cell r="E907">
            <v>1299</v>
          </cell>
          <cell r="F907" t="str">
            <v>Mon Sep 23 00:00:00 UTC 2024</v>
          </cell>
          <cell r="G907" t="str">
            <v>3PTY</v>
          </cell>
          <cell r="H907" t="str">
            <v>Active</v>
          </cell>
          <cell r="I907" t="str">
            <v>Ansari,Ammar Abdullah</v>
          </cell>
          <cell r="J907" t="str">
            <v>ADEC</v>
          </cell>
        </row>
        <row r="908">
          <cell r="A908">
            <v>206873561</v>
          </cell>
          <cell r="B908" t="str">
            <v>melvprin</v>
          </cell>
          <cell r="C908" t="str">
            <v>MELVINA YALLEY,PRINCESS</v>
          </cell>
          <cell r="D908">
            <v>15192689</v>
          </cell>
          <cell r="E908">
            <v>1299</v>
          </cell>
          <cell r="F908" t="str">
            <v>Mon Dec 29 00:00:00 UTC 2025</v>
          </cell>
          <cell r="G908" t="str">
            <v>3PTY</v>
          </cell>
          <cell r="H908" t="str">
            <v>Active</v>
          </cell>
          <cell r="I908" t="str">
            <v>Katyal,Varun</v>
          </cell>
          <cell r="J908" t="str">
            <v>FLO</v>
          </cell>
        </row>
        <row r="909">
          <cell r="A909">
            <v>203469083</v>
          </cell>
          <cell r="B909" t="str">
            <v>jrockson</v>
          </cell>
          <cell r="C909" t="str">
            <v>Junior,Rockson Appaw Awusi</v>
          </cell>
          <cell r="D909">
            <v>12661418</v>
          </cell>
          <cell r="E909">
            <v>1299</v>
          </cell>
          <cell r="F909" t="str">
            <v>Thu Jun 13 00:00:00 UTC 2024</v>
          </cell>
          <cell r="G909" t="str">
            <v>3PTY</v>
          </cell>
          <cell r="H909" t="str">
            <v>Active</v>
          </cell>
          <cell r="I909" t="str">
            <v>Meera,Bava Bahrudeen</v>
          </cell>
          <cell r="J909" t="str">
            <v>FLO</v>
          </cell>
        </row>
        <row r="910">
          <cell r="A910">
            <v>206897551</v>
          </cell>
          <cell r="B910" t="str">
            <v>nbashali</v>
          </cell>
          <cell r="C910" t="str">
            <v>BASHIR KASAGA,ALI</v>
          </cell>
          <cell r="D910">
            <v>13446194</v>
          </cell>
          <cell r="E910">
            <v>1299</v>
          </cell>
          <cell r="F910" t="str">
            <v>Thu Jan 08 00:00:00 UTC 2026</v>
          </cell>
          <cell r="G910" t="str">
            <v>3PTY</v>
          </cell>
          <cell r="H910" t="str">
            <v>Active</v>
          </cell>
          <cell r="I910" t="str">
            <v>Narshad,Muhammad Ashik</v>
          </cell>
          <cell r="J910" t="str">
            <v>FLO</v>
          </cell>
        </row>
        <row r="911">
          <cell r="A911">
            <v>203800531</v>
          </cell>
          <cell r="B911" t="str">
            <v>stulbaha</v>
          </cell>
          <cell r="C911" t="str">
            <v>TUL BAHADUR,SANDIP PATHAK</v>
          </cell>
          <cell r="D911">
            <v>11485321</v>
          </cell>
          <cell r="E911">
            <v>1299</v>
          </cell>
          <cell r="F911" t="str">
            <v>Fri Aug 09 00:00:00 UTC 2024</v>
          </cell>
          <cell r="G911" t="str">
            <v>3PTY</v>
          </cell>
          <cell r="H911" t="str">
            <v>Active</v>
          </cell>
          <cell r="I911" t="str">
            <v>Rajendran,Ajith Kumar</v>
          </cell>
          <cell r="J911" t="str">
            <v>KBTS</v>
          </cell>
        </row>
        <row r="912">
          <cell r="A912">
            <v>208024057</v>
          </cell>
          <cell r="B912" t="str">
            <v>aniyaavi</v>
          </cell>
          <cell r="C912" t="str">
            <v>Aniyan,Avinash  Aniyan</v>
          </cell>
          <cell r="D912">
            <v>12193578</v>
          </cell>
          <cell r="E912">
            <v>1200</v>
          </cell>
          <cell r="F912" t="str">
            <v>Thu Jul 16 00:00:00 UTC 2026</v>
          </cell>
          <cell r="G912" t="str">
            <v>3PTY</v>
          </cell>
          <cell r="H912" t="str">
            <v>Active</v>
          </cell>
          <cell r="I912" t="str">
            <v>Alhashmi,Abdulla</v>
          </cell>
          <cell r="J912" t="str">
            <v>SNTC</v>
          </cell>
        </row>
        <row r="913">
          <cell r="A913">
            <v>203752449</v>
          </cell>
          <cell r="B913" t="str">
            <v>ghsangiz</v>
          </cell>
          <cell r="C913" t="str">
            <v>Ghale,Sangita</v>
          </cell>
          <cell r="D913">
            <v>15124075</v>
          </cell>
          <cell r="E913">
            <v>1299</v>
          </cell>
          <cell r="F913" t="str">
            <v>Mon Jul 29 00:00:00 UTC 2024</v>
          </cell>
          <cell r="G913" t="str">
            <v>3PTY</v>
          </cell>
          <cell r="H913" t="str">
            <v>Active</v>
          </cell>
          <cell r="I913" t="str">
            <v>Akhtar,Muhammad Zohaib</v>
          </cell>
          <cell r="J913" t="str">
            <v>WOFZ</v>
          </cell>
        </row>
        <row r="914">
          <cell r="A914">
            <v>206949310</v>
          </cell>
          <cell r="B914" t="str">
            <v>simwtimo</v>
          </cell>
          <cell r="C914" t="str">
            <v>SIMWENDE,TIMOTHY</v>
          </cell>
          <cell r="D914">
            <v>11672424</v>
          </cell>
          <cell r="E914">
            <v>1299</v>
          </cell>
          <cell r="F914" t="str">
            <v>Mon Jan 26 00:00:00 UTC 2026</v>
          </cell>
          <cell r="G914" t="str">
            <v>3PTY</v>
          </cell>
          <cell r="H914" t="str">
            <v>Active</v>
          </cell>
          <cell r="I914" t="str">
            <v>Meera,Bava Bahrudeen</v>
          </cell>
          <cell r="J914" t="str">
            <v>DULS</v>
          </cell>
        </row>
        <row r="915">
          <cell r="A915">
            <v>207865020</v>
          </cell>
          <cell r="B915" t="str">
            <v>ramanrez</v>
          </cell>
          <cell r="C915" t="str">
            <v>Reut,Raman</v>
          </cell>
          <cell r="D915">
            <v>13881395</v>
          </cell>
          <cell r="E915">
            <v>1200</v>
          </cell>
          <cell r="F915" t="str">
            <v>Sun Jul 05 00:00:00 UTC 2026</v>
          </cell>
          <cell r="G915" t="str">
            <v>3PTY</v>
          </cell>
          <cell r="H915" t="str">
            <v>Active</v>
          </cell>
          <cell r="I915" t="str">
            <v>Alhashmi,Abdulla</v>
          </cell>
          <cell r="J915" t="str">
            <v>SSIS</v>
          </cell>
        </row>
        <row r="916">
          <cell r="A916">
            <v>203965495</v>
          </cell>
          <cell r="B916" t="str">
            <v>vachampa</v>
          </cell>
          <cell r="C916" t="str">
            <v>Vanessa Djaba,Champagne</v>
          </cell>
          <cell r="D916">
            <v>13303759</v>
          </cell>
          <cell r="E916">
            <v>1299</v>
          </cell>
          <cell r="F916" t="str">
            <v>Mon Sep 09 00:00:00 UTC 2024</v>
          </cell>
          <cell r="G916" t="str">
            <v>3PTY</v>
          </cell>
          <cell r="H916" t="str">
            <v>Active</v>
          </cell>
          <cell r="I916" t="str">
            <v>Katyal,Varun</v>
          </cell>
          <cell r="J916" t="str">
            <v>FLO</v>
          </cell>
        </row>
        <row r="917">
          <cell r="A917">
            <v>203512952</v>
          </cell>
          <cell r="B917" t="str">
            <v>takmorri</v>
          </cell>
          <cell r="C917" t="str">
            <v>Morris,Takudzwa</v>
          </cell>
          <cell r="D917">
            <v>13964213</v>
          </cell>
          <cell r="E917">
            <v>1299</v>
          </cell>
          <cell r="F917" t="str">
            <v>Thu Jun 20 00:00:00 UTC 2024</v>
          </cell>
          <cell r="G917" t="str">
            <v>3PTY</v>
          </cell>
          <cell r="H917" t="str">
            <v>Active</v>
          </cell>
          <cell r="I917" t="str">
            <v>Narshad,Muhammad Ashik</v>
          </cell>
          <cell r="J917" t="str">
            <v>FLO</v>
          </cell>
        </row>
        <row r="918">
          <cell r="A918">
            <v>206869629</v>
          </cell>
          <cell r="B918" t="str">
            <v>sulaymay</v>
          </cell>
          <cell r="C918" t="str">
            <v>SULAYITI,MAYANJA SULAYITI</v>
          </cell>
          <cell r="D918">
            <v>15234499</v>
          </cell>
          <cell r="E918">
            <v>1712</v>
          </cell>
          <cell r="F918" t="str">
            <v>Tue Dec 23 00:00:00 UTC 2025</v>
          </cell>
          <cell r="G918" t="str">
            <v>3PTY</v>
          </cell>
          <cell r="H918" t="str">
            <v>Active</v>
          </cell>
          <cell r="I918" t="str">
            <v>Raynold,Shine</v>
          </cell>
          <cell r="J918" t="str">
            <v>KBTS</v>
          </cell>
        </row>
        <row r="919">
          <cell r="A919">
            <v>205638321</v>
          </cell>
          <cell r="B919" t="str">
            <v>utpasang</v>
          </cell>
          <cell r="C919" t="str">
            <v>Tamang,Pasang</v>
          </cell>
          <cell r="D919">
            <v>15272657</v>
          </cell>
          <cell r="E919">
            <v>1712</v>
          </cell>
          <cell r="F919" t="str">
            <v>Tue Jul 08 00:00:00 UTC 2025</v>
          </cell>
          <cell r="G919" t="str">
            <v>3PTY</v>
          </cell>
          <cell r="H919" t="str">
            <v>Active</v>
          </cell>
          <cell r="I919" t="str">
            <v>Rizvan,Mohamed</v>
          </cell>
          <cell r="J919" t="str">
            <v>KBTS</v>
          </cell>
        </row>
        <row r="920">
          <cell r="A920">
            <v>205078370</v>
          </cell>
          <cell r="B920" t="str">
            <v>mdabuhaa</v>
          </cell>
          <cell r="C920" t="str">
            <v>Abdul Hakim,MD Abu Hanif</v>
          </cell>
          <cell r="D920">
            <v>12284736</v>
          </cell>
          <cell r="E920">
            <v>1712</v>
          </cell>
          <cell r="F920" t="str">
            <v>Wed Mar 26 00:00:00 UTC 2025</v>
          </cell>
          <cell r="G920" t="str">
            <v>3PTY</v>
          </cell>
          <cell r="H920" t="str">
            <v>Active</v>
          </cell>
          <cell r="I920" t="str">
            <v>POGALA,HAREESH</v>
          </cell>
          <cell r="J920" t="str">
            <v>KBTS</v>
          </cell>
        </row>
        <row r="921">
          <cell r="A921">
            <v>206886737</v>
          </cell>
          <cell r="B921" t="str">
            <v>micmusun</v>
          </cell>
          <cell r="C921" t="str">
            <v>MUSUNGU,MICHELLE NAMACHANJA</v>
          </cell>
          <cell r="D921">
            <v>13383604</v>
          </cell>
          <cell r="E921">
            <v>1299</v>
          </cell>
          <cell r="F921" t="str">
            <v>Mon Jan 05 00:00:00 UTC 2026</v>
          </cell>
          <cell r="G921" t="str">
            <v>3PTY</v>
          </cell>
          <cell r="H921" t="str">
            <v>Active</v>
          </cell>
          <cell r="I921" t="str">
            <v>Narshad,Muhammad Ashik</v>
          </cell>
          <cell r="J921" t="str">
            <v>EFSV</v>
          </cell>
        </row>
        <row r="922">
          <cell r="A922">
            <v>204072304</v>
          </cell>
          <cell r="B922" t="str">
            <v>innamany</v>
          </cell>
          <cell r="C922" t="str">
            <v>AMANYA,INNOCENT</v>
          </cell>
          <cell r="D922">
            <v>13479615</v>
          </cell>
          <cell r="E922">
            <v>1299</v>
          </cell>
          <cell r="F922" t="str">
            <v>Mon Sep 23 00:00:00 UTC 2024</v>
          </cell>
          <cell r="G922" t="str">
            <v>3PTY</v>
          </cell>
          <cell r="H922" t="str">
            <v>Active</v>
          </cell>
          <cell r="I922" t="str">
            <v>Ansari,Ammar Abdullah</v>
          </cell>
          <cell r="J922" t="str">
            <v>DULS</v>
          </cell>
        </row>
        <row r="923">
          <cell r="A923">
            <v>204890370</v>
          </cell>
          <cell r="B923" t="str">
            <v>kntalekr</v>
          </cell>
          <cell r="C923" t="str">
            <v>NTALE KIMBUGWE,KIM</v>
          </cell>
          <cell r="D923">
            <v>13112518</v>
          </cell>
          <cell r="E923">
            <v>1299</v>
          </cell>
          <cell r="F923" t="str">
            <v>Mon Feb 03 00:00:00 UTC 2025</v>
          </cell>
          <cell r="G923" t="str">
            <v>3PTY</v>
          </cell>
          <cell r="H923" t="str">
            <v>Active</v>
          </cell>
          <cell r="I923" t="str">
            <v>Narshad,Muhammad Ashik</v>
          </cell>
          <cell r="J923" t="str">
            <v>DULS</v>
          </cell>
        </row>
        <row r="924">
          <cell r="A924">
            <v>205252539</v>
          </cell>
          <cell r="B924" t="str">
            <v>htameklo</v>
          </cell>
          <cell r="C924" t="str">
            <v>Tamekloe,Happy</v>
          </cell>
          <cell r="D924">
            <v>14688389</v>
          </cell>
          <cell r="E924">
            <v>1299</v>
          </cell>
          <cell r="F924" t="str">
            <v>Mon May 12 00:00:00 UTC 2025</v>
          </cell>
          <cell r="G924" t="str">
            <v>3PTY</v>
          </cell>
          <cell r="H924" t="str">
            <v>Active</v>
          </cell>
          <cell r="I924" t="str">
            <v>Narshad,Muhammad Ashik</v>
          </cell>
          <cell r="J924" t="str">
            <v>EFSV</v>
          </cell>
        </row>
        <row r="925">
          <cell r="A925">
            <v>204946685</v>
          </cell>
          <cell r="B925" t="str">
            <v>yadamsad</v>
          </cell>
          <cell r="C925" t="str">
            <v>SADICK,ADAMS</v>
          </cell>
          <cell r="D925">
            <v>12718670</v>
          </cell>
          <cell r="E925">
            <v>1299</v>
          </cell>
          <cell r="F925" t="str">
            <v>Mon Mar 03 00:00:00 UTC 2025</v>
          </cell>
          <cell r="G925" t="str">
            <v>3PTY</v>
          </cell>
          <cell r="H925" t="str">
            <v>Active</v>
          </cell>
          <cell r="I925" t="str">
            <v>Thomas,Binil</v>
          </cell>
          <cell r="J925" t="str">
            <v>DULS</v>
          </cell>
        </row>
        <row r="926">
          <cell r="A926">
            <v>205845557</v>
          </cell>
          <cell r="B926" t="str">
            <v>muwvicen</v>
          </cell>
          <cell r="C926" t="str">
            <v>MUWONGE,VICENT</v>
          </cell>
          <cell r="D926">
            <v>11809094</v>
          </cell>
          <cell r="E926">
            <v>1299</v>
          </cell>
          <cell r="F926" t="str">
            <v>Mon Aug 25 00:00:00 UTC 2025</v>
          </cell>
          <cell r="G926" t="str">
            <v>3PTY</v>
          </cell>
          <cell r="H926" t="str">
            <v>Active</v>
          </cell>
          <cell r="I926" t="str">
            <v>Thomas,Binil</v>
          </cell>
          <cell r="J926" t="str">
            <v>DULS</v>
          </cell>
        </row>
        <row r="927">
          <cell r="A927">
            <v>204373723</v>
          </cell>
          <cell r="B927" t="str">
            <v>kjoseabi</v>
          </cell>
          <cell r="C927" t="str">
            <v>JOSE,ABIN JOSEPH</v>
          </cell>
          <cell r="D927">
            <v>245617</v>
          </cell>
          <cell r="E927">
            <v>1299</v>
          </cell>
          <cell r="F927" t="str">
            <v>Mon Oct 28 00:00:00 UTC 2024</v>
          </cell>
          <cell r="G927" t="str">
            <v>3PTY</v>
          </cell>
          <cell r="H927" t="str">
            <v>Active</v>
          </cell>
          <cell r="I927" t="str">
            <v>Lakkireddy,Sai Raghavendra Reddy</v>
          </cell>
          <cell r="J927" t="str">
            <v>ADEC</v>
          </cell>
        </row>
        <row r="928">
          <cell r="A928">
            <v>206073368</v>
          </cell>
          <cell r="B928" t="str">
            <v>adutwumt</v>
          </cell>
          <cell r="C928" t="str">
            <v>Adutwum Duah,Tony</v>
          </cell>
          <cell r="D928">
            <v>125939</v>
          </cell>
          <cell r="E928">
            <v>1299</v>
          </cell>
          <cell r="F928" t="str">
            <v>Mon Sep 22 00:00:00 UTC 2025</v>
          </cell>
          <cell r="G928" t="str">
            <v>3PTY</v>
          </cell>
          <cell r="H928" t="str">
            <v>Active</v>
          </cell>
          <cell r="I928" t="str">
            <v>elrashid,Hassan</v>
          </cell>
          <cell r="J928" t="str">
            <v>FLO</v>
          </cell>
        </row>
        <row r="929">
          <cell r="A929">
            <v>203468749</v>
          </cell>
          <cell r="B929" t="str">
            <v>boademma</v>
          </cell>
          <cell r="C929" t="str">
            <v>Boadi,Emmanuel</v>
          </cell>
          <cell r="D929">
            <v>12016839</v>
          </cell>
          <cell r="E929">
            <v>1299</v>
          </cell>
          <cell r="F929" t="str">
            <v>Thu Jun 13 00:00:00 UTC 2024</v>
          </cell>
          <cell r="G929" t="str">
            <v>3PTY</v>
          </cell>
          <cell r="H929" t="str">
            <v>Active</v>
          </cell>
          <cell r="I929" t="str">
            <v>Scaria,Varghese</v>
          </cell>
          <cell r="J929" t="str">
            <v>FLO</v>
          </cell>
        </row>
        <row r="930">
          <cell r="A930">
            <v>203800374</v>
          </cell>
          <cell r="B930" t="str">
            <v>znambusa</v>
          </cell>
          <cell r="C930" t="str">
            <v>MBUSA,NATHAN BAGHENDA</v>
          </cell>
          <cell r="D930">
            <v>11756362</v>
          </cell>
          <cell r="E930">
            <v>1299</v>
          </cell>
          <cell r="F930" t="str">
            <v>Mon Aug 12 00:00:00 UTC 2024</v>
          </cell>
          <cell r="G930" t="str">
            <v>3PTY</v>
          </cell>
          <cell r="H930" t="str">
            <v>Active</v>
          </cell>
          <cell r="I930" t="str">
            <v>Katyal,Varun</v>
          </cell>
          <cell r="J930" t="str">
            <v>DULS</v>
          </cell>
        </row>
        <row r="931">
          <cell r="A931">
            <v>206873868</v>
          </cell>
          <cell r="B931" t="str">
            <v>douglalx</v>
          </cell>
          <cell r="C931" t="str">
            <v>ALEXANDA BIYUNGU,DOUGLAS</v>
          </cell>
          <cell r="D931">
            <v>12676588</v>
          </cell>
          <cell r="E931">
            <v>1299</v>
          </cell>
          <cell r="F931" t="str">
            <v>Mon Dec 29 00:00:00 UTC 2025</v>
          </cell>
          <cell r="G931" t="str">
            <v>3PTY</v>
          </cell>
          <cell r="H931" t="str">
            <v>Active</v>
          </cell>
          <cell r="I931" t="str">
            <v>Katyal,Varun</v>
          </cell>
          <cell r="J931" t="str">
            <v>DULS</v>
          </cell>
        </row>
        <row r="932">
          <cell r="A932">
            <v>203342037</v>
          </cell>
          <cell r="B932" t="str">
            <v>jsalmmoh</v>
          </cell>
          <cell r="C932" t="str">
            <v>MOHAMMAD,SALMAN</v>
          </cell>
          <cell r="D932">
            <v>13537713</v>
          </cell>
          <cell r="E932">
            <v>1299</v>
          </cell>
          <cell r="F932" t="str">
            <v>Mon May 20 00:00:00 UTC 2024</v>
          </cell>
          <cell r="G932" t="str">
            <v>3PTY</v>
          </cell>
          <cell r="H932" t="str">
            <v>Active</v>
          </cell>
          <cell r="I932" t="str">
            <v>Scaria,Varghese</v>
          </cell>
          <cell r="J932" t="str">
            <v>ADEC</v>
          </cell>
        </row>
        <row r="933">
          <cell r="A933">
            <v>204319796</v>
          </cell>
          <cell r="B933" t="str">
            <v>sesakadi</v>
          </cell>
          <cell r="C933" t="str">
            <v>Sesay,Kadiatu</v>
          </cell>
          <cell r="D933">
            <v>11159291</v>
          </cell>
          <cell r="E933">
            <v>1299</v>
          </cell>
          <cell r="F933" t="str">
            <v>Thu Oct 24 00:00:00 UTC 2024</v>
          </cell>
          <cell r="G933" t="str">
            <v>3PTY</v>
          </cell>
          <cell r="H933" t="str">
            <v>Active</v>
          </cell>
          <cell r="I933" t="str">
            <v>Narshad,Muhammad Ashik</v>
          </cell>
          <cell r="J933" t="str">
            <v>QUES</v>
          </cell>
        </row>
        <row r="934">
          <cell r="A934">
            <v>205786049</v>
          </cell>
          <cell r="B934" t="str">
            <v>hsyeasin</v>
          </cell>
          <cell r="C934" t="str">
            <v>Hossain,Yeasin</v>
          </cell>
          <cell r="D934">
            <v>11245762</v>
          </cell>
          <cell r="E934">
            <v>1712</v>
          </cell>
          <cell r="F934" t="str">
            <v>Sat Aug 09 00:00:00 UTC 2025</v>
          </cell>
          <cell r="G934" t="str">
            <v>3PTY</v>
          </cell>
          <cell r="H934" t="str">
            <v>Active</v>
          </cell>
          <cell r="I934" t="str">
            <v>POGALA,HAREESH</v>
          </cell>
          <cell r="J934" t="str">
            <v>KBTS</v>
          </cell>
        </row>
        <row r="935">
          <cell r="A935">
            <v>203750137</v>
          </cell>
          <cell r="B935" t="str">
            <v>manavedk</v>
          </cell>
          <cell r="C935" t="str">
            <v>Maqdoom khan,Naved Khan</v>
          </cell>
          <cell r="D935">
            <v>11560011</v>
          </cell>
          <cell r="E935">
            <v>1299</v>
          </cell>
          <cell r="F935" t="str">
            <v>Tue Jul 30 00:00:00 UTC 2024</v>
          </cell>
          <cell r="G935" t="str">
            <v>3PTY</v>
          </cell>
          <cell r="H935" t="str">
            <v>Active</v>
          </cell>
          <cell r="I935" t="str">
            <v>Joshi,Anirudh</v>
          </cell>
          <cell r="J935" t="str">
            <v>FLO</v>
          </cell>
        </row>
        <row r="936">
          <cell r="A936">
            <v>204116867</v>
          </cell>
          <cell r="B936" t="str">
            <v>ayenedid</v>
          </cell>
          <cell r="C936" t="str">
            <v>Ayengo,Edith</v>
          </cell>
          <cell r="D936">
            <v>13995559</v>
          </cell>
          <cell r="E936">
            <v>1299</v>
          </cell>
          <cell r="F936" t="str">
            <v>Thu Sep 26 00:00:00 UTC 2024</v>
          </cell>
          <cell r="G936" t="str">
            <v>3PTY</v>
          </cell>
          <cell r="H936" t="str">
            <v>Active</v>
          </cell>
          <cell r="I936" t="str">
            <v>Scaria,Varghese</v>
          </cell>
          <cell r="J936" t="str">
            <v>QUES</v>
          </cell>
        </row>
        <row r="937">
          <cell r="A937">
            <v>206136723</v>
          </cell>
          <cell r="B937" t="str">
            <v>sgiftyaw</v>
          </cell>
          <cell r="C937" t="str">
            <v>Awuah,Gifty</v>
          </cell>
          <cell r="D937">
            <v>12277085</v>
          </cell>
          <cell r="E937">
            <v>1299</v>
          </cell>
          <cell r="F937" t="str">
            <v>Thu Jul 23 00:00:00 UTC 2026</v>
          </cell>
          <cell r="G937" t="str">
            <v>3PTY</v>
          </cell>
          <cell r="H937" t="str">
            <v>Active</v>
          </cell>
          <cell r="I937" t="str">
            <v>elrashid,Hassan</v>
          </cell>
          <cell r="J937" t="str">
            <v>FLO</v>
          </cell>
        </row>
        <row r="938">
          <cell r="A938">
            <v>207072010</v>
          </cell>
          <cell r="B938" t="str">
            <v>javiranh</v>
          </cell>
          <cell r="C938" t="str">
            <v>Virantha Perera,Jayathilakage Hasith</v>
          </cell>
          <cell r="D938">
            <v>13666971</v>
          </cell>
          <cell r="E938">
            <v>1316</v>
          </cell>
          <cell r="F938" t="str">
            <v>Tue Feb 24 00:00:00 UTC 2026</v>
          </cell>
          <cell r="G938" t="str">
            <v>3PTY</v>
          </cell>
          <cell r="H938" t="str">
            <v>Active</v>
          </cell>
          <cell r="I938" t="str">
            <v>Akhtar,Muhammad Zohaib</v>
          </cell>
          <cell r="J938" t="str">
            <v>WOFZ</v>
          </cell>
        </row>
        <row r="939">
          <cell r="A939">
            <v>204886250</v>
          </cell>
          <cell r="B939" t="str">
            <v>shomuzha</v>
          </cell>
          <cell r="C939" t="str">
            <v>Shomuzhanga,Lissa</v>
          </cell>
          <cell r="D939">
            <v>13016317</v>
          </cell>
          <cell r="E939">
            <v>1299</v>
          </cell>
          <cell r="F939" t="str">
            <v>Mon Feb 03 00:00:00 UTC 2025</v>
          </cell>
          <cell r="G939" t="str">
            <v>3PTY</v>
          </cell>
          <cell r="H939" t="str">
            <v>Active</v>
          </cell>
          <cell r="I939" t="str">
            <v>Joshi,Anirudh</v>
          </cell>
          <cell r="J939" t="str">
            <v>QUES</v>
          </cell>
        </row>
        <row r="940">
          <cell r="A940">
            <v>203679325</v>
          </cell>
          <cell r="B940" t="str">
            <v>nyanprin</v>
          </cell>
          <cell r="C940" t="str">
            <v>Nyanson,Prince</v>
          </cell>
          <cell r="D940">
            <v>12937570</v>
          </cell>
          <cell r="E940">
            <v>1299</v>
          </cell>
          <cell r="F940" t="str">
            <v>Mon Jul 15 00:00:00 UTC 2024</v>
          </cell>
          <cell r="G940" t="str">
            <v>3PTY</v>
          </cell>
          <cell r="H940" t="str">
            <v>Active</v>
          </cell>
          <cell r="I940" t="str">
            <v>Meera,Bava Bahrudeen</v>
          </cell>
          <cell r="J940" t="str">
            <v>FLO</v>
          </cell>
        </row>
        <row r="941">
          <cell r="A941">
            <v>203522193</v>
          </cell>
          <cell r="B941" t="str">
            <v>devisain</v>
          </cell>
          <cell r="C941" t="str">
            <v>Devis,Ainembabazi</v>
          </cell>
          <cell r="D941">
            <v>12467488</v>
          </cell>
          <cell r="E941">
            <v>1299</v>
          </cell>
          <cell r="F941" t="str">
            <v>Thu Jun 20 00:00:00 UTC 2024</v>
          </cell>
          <cell r="G941" t="str">
            <v>3PTY</v>
          </cell>
          <cell r="H941" t="str">
            <v>Active</v>
          </cell>
          <cell r="I941" t="str">
            <v>Thomas,Binil</v>
          </cell>
          <cell r="J941" t="str">
            <v>ADEC</v>
          </cell>
        </row>
        <row r="942">
          <cell r="A942">
            <v>204246616</v>
          </cell>
          <cell r="B942" t="str">
            <v>tchuinok</v>
          </cell>
          <cell r="C942" t="str">
            <v>Tchuino Kamche,Julienne</v>
          </cell>
          <cell r="D942">
            <v>12729612</v>
          </cell>
          <cell r="E942">
            <v>1299</v>
          </cell>
          <cell r="F942" t="str">
            <v>Mon Oct 14 00:00:00 UTC 2024</v>
          </cell>
          <cell r="G942" t="str">
            <v>3PTY</v>
          </cell>
          <cell r="H942" t="str">
            <v>Active</v>
          </cell>
          <cell r="I942" t="str">
            <v>Katyal,Varun</v>
          </cell>
          <cell r="J942" t="str">
            <v>QUES</v>
          </cell>
        </row>
        <row r="943">
          <cell r="A943">
            <v>205845556</v>
          </cell>
          <cell r="B943" t="str">
            <v>gyamfinp</v>
          </cell>
          <cell r="C943" t="str">
            <v>GYAMFI,PHILIP</v>
          </cell>
          <cell r="D943">
            <v>14496090</v>
          </cell>
          <cell r="E943">
            <v>1299</v>
          </cell>
          <cell r="F943" t="str">
            <v>Mon Aug 25 00:00:00 UTC 2025</v>
          </cell>
          <cell r="G943" t="str">
            <v>3PTY</v>
          </cell>
          <cell r="H943" t="str">
            <v>Active</v>
          </cell>
          <cell r="I943" t="str">
            <v>Scaria,Varghese</v>
          </cell>
          <cell r="J943" t="str">
            <v>DULS</v>
          </cell>
        </row>
        <row r="944">
          <cell r="A944">
            <v>203469078</v>
          </cell>
          <cell r="B944" t="str">
            <v>karugaba</v>
          </cell>
          <cell r="C944" t="str">
            <v>Karugaba,johnpaul Jeckinz</v>
          </cell>
          <cell r="D944">
            <v>13362664</v>
          </cell>
          <cell r="E944">
            <v>1299</v>
          </cell>
          <cell r="F944" t="str">
            <v>Thu Jun 13 00:00:00 UTC 2024</v>
          </cell>
          <cell r="G944" t="str">
            <v>3PTY</v>
          </cell>
          <cell r="H944" t="str">
            <v>Active</v>
          </cell>
          <cell r="I944" t="str">
            <v>Sohail,Anis</v>
          </cell>
          <cell r="J944" t="str">
            <v>FLO</v>
          </cell>
        </row>
        <row r="945">
          <cell r="A945">
            <v>205236904</v>
          </cell>
          <cell r="B945" t="str">
            <v>osmanthu</v>
          </cell>
          <cell r="C945" t="str">
            <v>THULLAH,OSMAN</v>
          </cell>
          <cell r="D945">
            <v>11406550</v>
          </cell>
          <cell r="E945">
            <v>1299</v>
          </cell>
          <cell r="F945" t="str">
            <v>Mon May 12 00:00:00 UTC 2025</v>
          </cell>
          <cell r="G945" t="str">
            <v>3PTY</v>
          </cell>
          <cell r="H945" t="str">
            <v>Active</v>
          </cell>
          <cell r="I945" t="str">
            <v>Thomas,Binil</v>
          </cell>
          <cell r="J945" t="str">
            <v>DULS</v>
          </cell>
        </row>
        <row r="946">
          <cell r="A946">
            <v>205780198</v>
          </cell>
          <cell r="B946" t="str">
            <v>sunachou</v>
          </cell>
          <cell r="C946" t="str">
            <v>Choudhary,Sunil Kumar</v>
          </cell>
          <cell r="D946">
            <v>13698745</v>
          </cell>
          <cell r="E946">
            <v>1299</v>
          </cell>
          <cell r="F946" t="str">
            <v>Fri Aug 08 00:00:00 UTC 2025</v>
          </cell>
          <cell r="G946" t="str">
            <v>3PTY</v>
          </cell>
          <cell r="H946" t="str">
            <v>Active</v>
          </cell>
          <cell r="I946" t="str">
            <v>Akhtar,Muhammad Zohaib</v>
          </cell>
          <cell r="J946" t="str">
            <v>WOFZ</v>
          </cell>
        </row>
        <row r="947">
          <cell r="A947">
            <v>203813085</v>
          </cell>
          <cell r="B947" t="str">
            <v>rahanraj</v>
          </cell>
          <cell r="C947" t="str">
            <v>RAJEEVAN,RAHAN RAJ</v>
          </cell>
          <cell r="D947">
            <v>14067526</v>
          </cell>
          <cell r="E947">
            <v>1299</v>
          </cell>
          <cell r="F947" t="str">
            <v>Tue Aug 13 00:00:00 UTC 2024</v>
          </cell>
          <cell r="G947" t="str">
            <v>3PTY</v>
          </cell>
          <cell r="H947" t="str">
            <v>Active</v>
          </cell>
          <cell r="I947" t="str">
            <v>Meera,Bava Bahrudeen</v>
          </cell>
          <cell r="J947" t="str">
            <v>ADEC</v>
          </cell>
        </row>
        <row r="948">
          <cell r="A948">
            <v>206873867</v>
          </cell>
          <cell r="B948" t="str">
            <v>damisuse</v>
          </cell>
          <cell r="C948" t="str">
            <v>DAVID LUBWAMA,MISUSERA</v>
          </cell>
          <cell r="D948">
            <v>14046343</v>
          </cell>
          <cell r="E948">
            <v>1299</v>
          </cell>
          <cell r="F948" t="str">
            <v>Mon Dec 29 00:00:00 UTC 2025</v>
          </cell>
          <cell r="G948" t="str">
            <v>3PTY</v>
          </cell>
          <cell r="H948" t="str">
            <v>Active</v>
          </cell>
          <cell r="I948" t="str">
            <v>Katyal,Varun</v>
          </cell>
          <cell r="J948" t="str">
            <v>DULS</v>
          </cell>
        </row>
        <row r="949">
          <cell r="A949">
            <v>206953818</v>
          </cell>
          <cell r="B949" t="str">
            <v>winwayua</v>
          </cell>
          <cell r="C949" t="str">
            <v>Wayua,Winfred</v>
          </cell>
          <cell r="D949">
            <v>13613803</v>
          </cell>
          <cell r="E949">
            <v>1299</v>
          </cell>
          <cell r="F949" t="str">
            <v>Mon Jan 26 00:00:00 UTC 2026</v>
          </cell>
          <cell r="G949" t="str">
            <v>3PTY</v>
          </cell>
          <cell r="H949" t="str">
            <v>Active</v>
          </cell>
          <cell r="I949" t="str">
            <v>Dinberu,Eden</v>
          </cell>
          <cell r="J949" t="str">
            <v>EFSV</v>
          </cell>
        </row>
        <row r="950">
          <cell r="A950">
            <v>206897550</v>
          </cell>
          <cell r="B950" t="str">
            <v>abeltaan</v>
          </cell>
          <cell r="C950" t="str">
            <v>ABEL TAKARUVA,ANESU</v>
          </cell>
          <cell r="D950">
            <v>14420145</v>
          </cell>
          <cell r="E950">
            <v>1299</v>
          </cell>
          <cell r="F950" t="str">
            <v>Thu Jan 08 00:00:00 UTC 2026</v>
          </cell>
          <cell r="G950" t="str">
            <v>3PTY</v>
          </cell>
          <cell r="H950" t="str">
            <v>Active</v>
          </cell>
          <cell r="I950" t="str">
            <v>Narshad,Muhammad Ashik</v>
          </cell>
          <cell r="J950" t="str">
            <v>FLO</v>
          </cell>
        </row>
        <row r="951">
          <cell r="A951">
            <v>206953786</v>
          </cell>
          <cell r="B951" t="str">
            <v>qnamacha</v>
          </cell>
          <cell r="C951" t="str">
            <v>NAMACHA,ASANTHE</v>
          </cell>
          <cell r="D951">
            <v>25800</v>
          </cell>
          <cell r="E951">
            <v>1299</v>
          </cell>
          <cell r="F951" t="str">
            <v>Mon Jan 26 00:00:00 UTC 2026</v>
          </cell>
          <cell r="G951" t="str">
            <v>3PTY</v>
          </cell>
          <cell r="H951" t="str">
            <v>Active</v>
          </cell>
          <cell r="I951" t="str">
            <v>Sohail,Anis</v>
          </cell>
          <cell r="J951" t="str">
            <v>DULS</v>
          </cell>
        </row>
        <row r="952">
          <cell r="A952">
            <v>207727723</v>
          </cell>
          <cell r="B952" t="str">
            <v>hassanaq</v>
          </cell>
          <cell r="C952" t="str">
            <v>Hassan,Aqeel</v>
          </cell>
          <cell r="D952">
            <v>11907620</v>
          </cell>
          <cell r="E952">
            <v>1711</v>
          </cell>
          <cell r="F952" t="str">
            <v>Fri Jun 12 00:00:00 UTC 2026</v>
          </cell>
          <cell r="G952" t="str">
            <v>3PTY</v>
          </cell>
          <cell r="H952" t="str">
            <v>Active</v>
          </cell>
          <cell r="I952" t="str">
            <v>Abdul Hakkim,Muhammed</v>
          </cell>
          <cell r="J952" t="str">
            <v>TDTS</v>
          </cell>
        </row>
        <row r="953">
          <cell r="A953">
            <v>203741319</v>
          </cell>
          <cell r="B953" t="str">
            <v>kouwilfr</v>
          </cell>
          <cell r="C953" t="str">
            <v>KOUNGOU,WILFRIED MANGA</v>
          </cell>
          <cell r="D953">
            <v>11277198</v>
          </cell>
          <cell r="E953">
            <v>1299</v>
          </cell>
          <cell r="F953" t="str">
            <v>Mon Jul 29 00:00:00 UTC 2024</v>
          </cell>
          <cell r="G953" t="str">
            <v>3PTY</v>
          </cell>
          <cell r="H953" t="str">
            <v>Active</v>
          </cell>
          <cell r="I953" t="str">
            <v>Katyal,Varun</v>
          </cell>
          <cell r="J953" t="str">
            <v>FLO</v>
          </cell>
        </row>
        <row r="954">
          <cell r="A954">
            <v>203965492</v>
          </cell>
          <cell r="B954" t="str">
            <v>uernesme</v>
          </cell>
          <cell r="C954" t="str">
            <v>Mensah Awudi,Ernest</v>
          </cell>
          <cell r="D954">
            <v>13477180</v>
          </cell>
          <cell r="E954">
            <v>1299</v>
          </cell>
          <cell r="F954" t="str">
            <v>Mon Sep 09 00:00:00 UTC 2024</v>
          </cell>
          <cell r="G954" t="str">
            <v>3PTY</v>
          </cell>
          <cell r="H954" t="str">
            <v>Active</v>
          </cell>
          <cell r="I954" t="str">
            <v>Katyal,Varun</v>
          </cell>
          <cell r="J954" t="str">
            <v>FLO</v>
          </cell>
        </row>
        <row r="955">
          <cell r="A955">
            <v>203800476</v>
          </cell>
          <cell r="B955" t="str">
            <v>dinesbat</v>
          </cell>
          <cell r="C955" t="str">
            <v>BAHADUR SHAHI,DINESH</v>
          </cell>
          <cell r="D955">
            <v>12373424</v>
          </cell>
          <cell r="E955">
            <v>1299</v>
          </cell>
          <cell r="F955" t="str">
            <v>Fri Aug 09 00:00:00 UTC 2024</v>
          </cell>
          <cell r="G955" t="str">
            <v>3PTY</v>
          </cell>
          <cell r="H955" t="str">
            <v>Active</v>
          </cell>
          <cell r="I955" t="str">
            <v>POGALA,HAREESH</v>
          </cell>
          <cell r="J955" t="str">
            <v>KBTS</v>
          </cell>
        </row>
        <row r="956">
          <cell r="A956">
            <v>206514788</v>
          </cell>
          <cell r="B956" t="str">
            <v>nabaeria</v>
          </cell>
          <cell r="C956" t="str">
            <v>ERIAH,NABASA</v>
          </cell>
          <cell r="D956">
            <v>14756948</v>
          </cell>
          <cell r="E956">
            <v>1299</v>
          </cell>
          <cell r="F956" t="str">
            <v>Mon Nov 10 00:00:00 UTC 2025</v>
          </cell>
          <cell r="G956" t="str">
            <v>3PTY</v>
          </cell>
          <cell r="H956" t="str">
            <v>Active</v>
          </cell>
          <cell r="I956" t="str">
            <v>Meera,Bava Bahrudeen</v>
          </cell>
          <cell r="J956" t="str">
            <v>DULS</v>
          </cell>
        </row>
        <row r="957">
          <cell r="A957">
            <v>203851007</v>
          </cell>
          <cell r="B957" t="str">
            <v>joagyeku</v>
          </cell>
          <cell r="C957" t="str">
            <v>Agyekum,Joseph</v>
          </cell>
          <cell r="D957">
            <v>13388408</v>
          </cell>
          <cell r="E957">
            <v>1299</v>
          </cell>
          <cell r="F957" t="str">
            <v>Tue Aug 20 00:00:00 UTC 2024</v>
          </cell>
          <cell r="G957" t="str">
            <v>3PTY</v>
          </cell>
          <cell r="H957" t="str">
            <v>Active</v>
          </cell>
          <cell r="I957" t="str">
            <v>Katyal,Varun</v>
          </cell>
          <cell r="J957" t="str">
            <v>FLO</v>
          </cell>
        </row>
        <row r="958">
          <cell r="A958">
            <v>207019323</v>
          </cell>
          <cell r="B958" t="str">
            <v>ikjihane</v>
          </cell>
          <cell r="C958" t="str">
            <v>Jihan Enayet Hossen,Iktiar Hossain</v>
          </cell>
          <cell r="D958">
            <v>12259740</v>
          </cell>
          <cell r="E958">
            <v>1712</v>
          </cell>
          <cell r="F958" t="str">
            <v>Tue Feb 10 00:00:00 UTC 2026</v>
          </cell>
          <cell r="G958" t="str">
            <v>3PTY</v>
          </cell>
          <cell r="H958" t="str">
            <v>Active</v>
          </cell>
          <cell r="I958" t="str">
            <v>Raynold,Shine</v>
          </cell>
          <cell r="J958" t="str">
            <v>KBTS</v>
          </cell>
        </row>
        <row r="959">
          <cell r="A959">
            <v>206875143</v>
          </cell>
          <cell r="B959" t="str">
            <v>asantimb</v>
          </cell>
          <cell r="C959" t="str">
            <v>MICHAEL MWANGULE,ASANTIANO</v>
          </cell>
          <cell r="D959">
            <v>11827177</v>
          </cell>
          <cell r="E959">
            <v>1299</v>
          </cell>
          <cell r="F959" t="str">
            <v>Mon Dec 29 00:00:00 UTC 2025</v>
          </cell>
          <cell r="G959" t="str">
            <v>3PTY</v>
          </cell>
          <cell r="H959" t="str">
            <v>Active</v>
          </cell>
          <cell r="I959" t="str">
            <v>Sohail,Anis</v>
          </cell>
          <cell r="J959" t="str">
            <v>DULS</v>
          </cell>
        </row>
        <row r="960">
          <cell r="A960">
            <v>206875751</v>
          </cell>
          <cell r="B960" t="str">
            <v>jurutapi</v>
          </cell>
          <cell r="C960" t="str">
            <v>JURU,TAPIWA</v>
          </cell>
          <cell r="D960">
            <v>143150</v>
          </cell>
          <cell r="E960">
            <v>1299</v>
          </cell>
          <cell r="F960" t="str">
            <v>Mon Dec 29 00:00:00 UTC 2025</v>
          </cell>
          <cell r="G960" t="str">
            <v>3PTY</v>
          </cell>
          <cell r="H960" t="str">
            <v>Active</v>
          </cell>
          <cell r="I960" t="str">
            <v>Katyal,Varun</v>
          </cell>
          <cell r="J960" t="str">
            <v>FLO</v>
          </cell>
        </row>
        <row r="961">
          <cell r="A961">
            <v>203521521</v>
          </cell>
          <cell r="B961" t="str">
            <v>kabbrigg</v>
          </cell>
          <cell r="C961" t="str">
            <v>Kabaya,Briggs Mudiwa</v>
          </cell>
          <cell r="D961">
            <v>14142498</v>
          </cell>
          <cell r="E961">
            <v>1299</v>
          </cell>
          <cell r="F961" t="str">
            <v>Thu Jun 20 00:00:00 UTC 2024</v>
          </cell>
          <cell r="G961" t="str">
            <v>3PTY</v>
          </cell>
          <cell r="H961" t="str">
            <v>Active</v>
          </cell>
          <cell r="I961" t="str">
            <v>Katyal,Varun</v>
          </cell>
          <cell r="J961" t="str">
            <v>FLO</v>
          </cell>
        </row>
        <row r="962">
          <cell r="A962">
            <v>203679308</v>
          </cell>
          <cell r="B962" t="str">
            <v>cenocasa</v>
          </cell>
          <cell r="C962" t="str">
            <v>Asante,Enock</v>
          </cell>
          <cell r="D962">
            <v>14109230</v>
          </cell>
          <cell r="E962">
            <v>1299</v>
          </cell>
          <cell r="F962" t="str">
            <v>Mon Jul 15 00:00:00 UTC 2024</v>
          </cell>
          <cell r="G962" t="str">
            <v>3PTY</v>
          </cell>
          <cell r="H962" t="str">
            <v>Active</v>
          </cell>
          <cell r="I962" t="str">
            <v>Sohail,Anis</v>
          </cell>
          <cell r="J962" t="str">
            <v>FLO</v>
          </cell>
        </row>
        <row r="963">
          <cell r="A963">
            <v>204967053</v>
          </cell>
          <cell r="B963" t="str">
            <v>emensahg</v>
          </cell>
          <cell r="C963" t="str">
            <v>MENSAH,ERIC</v>
          </cell>
          <cell r="D963">
            <v>13069747</v>
          </cell>
          <cell r="E963">
            <v>1299</v>
          </cell>
          <cell r="F963" t="str">
            <v>Mon Mar 03 00:00:00 UTC 2025</v>
          </cell>
          <cell r="G963" t="str">
            <v>3PTY</v>
          </cell>
          <cell r="H963" t="str">
            <v>Active</v>
          </cell>
          <cell r="I963" t="str">
            <v>Lakkireddy,Sai Raghavendra Reddy</v>
          </cell>
          <cell r="J963" t="str">
            <v>DULS</v>
          </cell>
        </row>
        <row r="964">
          <cell r="A964">
            <v>206136719</v>
          </cell>
          <cell r="B964" t="str">
            <v>ngumaryw</v>
          </cell>
          <cell r="C964" t="str">
            <v>Nguru,Mary  Wambui</v>
          </cell>
          <cell r="D964">
            <v>12788401</v>
          </cell>
          <cell r="E964">
            <v>1299</v>
          </cell>
          <cell r="F964" t="str">
            <v>Mon Sep 29 00:00:00 UTC 2025</v>
          </cell>
          <cell r="G964" t="str">
            <v>3PTY</v>
          </cell>
          <cell r="H964" t="str">
            <v>Active</v>
          </cell>
          <cell r="I964" t="str">
            <v>Ansari,Ammar Abdullah</v>
          </cell>
          <cell r="J964" t="str">
            <v>EFSV</v>
          </cell>
        </row>
        <row r="965">
          <cell r="A965">
            <v>206886729</v>
          </cell>
          <cell r="B965" t="str">
            <v>evermbul</v>
          </cell>
          <cell r="C965" t="str">
            <v>MBULA,EVERLYNE</v>
          </cell>
          <cell r="D965">
            <v>13804506</v>
          </cell>
          <cell r="E965">
            <v>1299</v>
          </cell>
          <cell r="F965" t="str">
            <v>Mon Jan 05 00:00:00 UTC 2026</v>
          </cell>
          <cell r="G965" t="str">
            <v>3PTY</v>
          </cell>
          <cell r="H965" t="str">
            <v>Active</v>
          </cell>
          <cell r="I965" t="str">
            <v>Katyal,Varun</v>
          </cell>
          <cell r="J965" t="str">
            <v>EFSV</v>
          </cell>
        </row>
        <row r="966">
          <cell r="A966">
            <v>206065204</v>
          </cell>
          <cell r="B966" t="str">
            <v>alusgidf</v>
          </cell>
          <cell r="C966" t="str">
            <v>Alusine Mannah,Gideon</v>
          </cell>
          <cell r="D966">
            <v>11976821</v>
          </cell>
          <cell r="E966">
            <v>1299</v>
          </cell>
          <cell r="F966" t="str">
            <v>Mon Sep 22 00:00:00 UTC 2025</v>
          </cell>
          <cell r="G966" t="str">
            <v>3PTY</v>
          </cell>
          <cell r="H966" t="str">
            <v>Active</v>
          </cell>
          <cell r="I966" t="str">
            <v>Sohail,Anis</v>
          </cell>
          <cell r="J966" t="str">
            <v>FLO</v>
          </cell>
        </row>
        <row r="967">
          <cell r="A967">
            <v>206200811</v>
          </cell>
          <cell r="B967" t="str">
            <v>agyeklin</v>
          </cell>
          <cell r="C967" t="str">
            <v>AGYEI,KLINSMAN</v>
          </cell>
          <cell r="D967">
            <v>14323339</v>
          </cell>
          <cell r="E967">
            <v>1299</v>
          </cell>
          <cell r="F967" t="str">
            <v>Thu Jul 23 00:00:00 UTC 2026</v>
          </cell>
          <cell r="G967" t="str">
            <v>3PTY</v>
          </cell>
          <cell r="H967" t="str">
            <v>Active</v>
          </cell>
          <cell r="I967" t="str">
            <v>elrashid,Hassan</v>
          </cell>
          <cell r="J967" t="str">
            <v>FLO</v>
          </cell>
        </row>
        <row r="968">
          <cell r="A968">
            <v>204013684</v>
          </cell>
          <cell r="B968" t="str">
            <v>koseihen</v>
          </cell>
          <cell r="C968" t="str">
            <v>Osei,Henry</v>
          </cell>
          <cell r="D968">
            <v>13113776</v>
          </cell>
          <cell r="E968">
            <v>1299</v>
          </cell>
          <cell r="F968" t="str">
            <v>Mon Sep 16 00:00:00 UTC 2024</v>
          </cell>
          <cell r="G968" t="str">
            <v>3PTY</v>
          </cell>
          <cell r="H968" t="str">
            <v>Active</v>
          </cell>
          <cell r="I968" t="str">
            <v>Narshad,Muhammad Ashik</v>
          </cell>
          <cell r="J968" t="str">
            <v>FLO</v>
          </cell>
        </row>
        <row r="969">
          <cell r="A969">
            <v>203970384</v>
          </cell>
          <cell r="B969" t="str">
            <v>sethurba</v>
          </cell>
          <cell r="C969" t="str">
            <v>Sethuraman,Balaji</v>
          </cell>
          <cell r="D969">
            <v>11725772</v>
          </cell>
          <cell r="E969">
            <v>1299</v>
          </cell>
          <cell r="F969" t="str">
            <v>Sun Sep 08 00:00:00 UTC 2024</v>
          </cell>
          <cell r="G969" t="str">
            <v>3PTY</v>
          </cell>
          <cell r="H969" t="str">
            <v>Active</v>
          </cell>
          <cell r="I969" t="str">
            <v>Adhikari,Nayab</v>
          </cell>
          <cell r="J969" t="str">
            <v>KBTS</v>
          </cell>
        </row>
        <row r="970">
          <cell r="A970">
            <v>203881660</v>
          </cell>
          <cell r="B970" t="str">
            <v>clarfien</v>
          </cell>
          <cell r="C970" t="str">
            <v>Fienmbu,Clarise</v>
          </cell>
          <cell r="D970">
            <v>14976323</v>
          </cell>
          <cell r="E970">
            <v>1299</v>
          </cell>
          <cell r="F970" t="str">
            <v>Mon Aug 26 00:00:00 UTC 2024</v>
          </cell>
          <cell r="G970" t="str">
            <v>3PTY</v>
          </cell>
          <cell r="H970" t="str">
            <v>Active</v>
          </cell>
          <cell r="I970" t="str">
            <v>Thomas,Binil</v>
          </cell>
          <cell r="J970" t="str">
            <v>FLO</v>
          </cell>
        </row>
        <row r="971">
          <cell r="A971">
            <v>206915147</v>
          </cell>
          <cell r="B971" t="str">
            <v>frapafem</v>
          </cell>
          <cell r="C971" t="str">
            <v>AFEMA,FRANCIS</v>
          </cell>
          <cell r="D971">
            <v>11488438</v>
          </cell>
          <cell r="E971">
            <v>1299</v>
          </cell>
          <cell r="F971" t="str">
            <v>Mon Jan 12 00:00:00 UTC 2026</v>
          </cell>
          <cell r="G971" t="str">
            <v>3PTY</v>
          </cell>
          <cell r="H971" t="str">
            <v>Active</v>
          </cell>
          <cell r="I971" t="str">
            <v>Thomas,Binil</v>
          </cell>
          <cell r="J971" t="str">
            <v>DULS</v>
          </cell>
        </row>
        <row r="972">
          <cell r="A972">
            <v>204373628</v>
          </cell>
          <cell r="B972" t="str">
            <v>jafarsab</v>
          </cell>
          <cell r="C972" t="str">
            <v>Abdallah,Jafar</v>
          </cell>
          <cell r="D972">
            <v>11548754</v>
          </cell>
          <cell r="E972">
            <v>1299</v>
          </cell>
          <cell r="F972" t="str">
            <v>Mon Oct 28 00:00:00 UTC 2024</v>
          </cell>
          <cell r="G972" t="str">
            <v>3PTY</v>
          </cell>
          <cell r="H972" t="str">
            <v>Active</v>
          </cell>
          <cell r="I972" t="str">
            <v>Sohail,Anis</v>
          </cell>
          <cell r="J972" t="str">
            <v>QUES</v>
          </cell>
        </row>
        <row r="973">
          <cell r="A973">
            <v>207072705</v>
          </cell>
          <cell r="B973" t="str">
            <v>nsrkarth</v>
          </cell>
          <cell r="C973" t="str">
            <v>Sriramam,Karthik Sriramam</v>
          </cell>
          <cell r="D973">
            <v>15268155</v>
          </cell>
          <cell r="E973">
            <v>1712</v>
          </cell>
          <cell r="F973" t="str">
            <v>Tue Feb 24 00:00:00 UTC 2026</v>
          </cell>
          <cell r="G973" t="str">
            <v>3PTY</v>
          </cell>
          <cell r="H973" t="str">
            <v>Active</v>
          </cell>
          <cell r="I973" t="str">
            <v>Raynold,Shine</v>
          </cell>
          <cell r="J973" t="str">
            <v>KBTS</v>
          </cell>
        </row>
        <row r="974">
          <cell r="A974">
            <v>204172222</v>
          </cell>
          <cell r="B974" t="str">
            <v>sundabru</v>
          </cell>
          <cell r="C974" t="str">
            <v>sunday,Bruce</v>
          </cell>
          <cell r="D974">
            <v>12914136</v>
          </cell>
          <cell r="E974">
            <v>1299</v>
          </cell>
          <cell r="F974" t="str">
            <v>Thu Oct 03 00:00:00 UTC 2024</v>
          </cell>
          <cell r="G974" t="str">
            <v>3PTY</v>
          </cell>
          <cell r="H974" t="str">
            <v>Active</v>
          </cell>
          <cell r="I974" t="str">
            <v>Ansari,Ammar Abdullah</v>
          </cell>
          <cell r="J974" t="str">
            <v>DULS</v>
          </cell>
        </row>
        <row r="975">
          <cell r="A975">
            <v>203850647</v>
          </cell>
          <cell r="B975" t="str">
            <v>abkasawu</v>
          </cell>
          <cell r="C975" t="str">
            <v>Kasawuli,Abdumalik</v>
          </cell>
          <cell r="D975">
            <v>14071822</v>
          </cell>
          <cell r="E975">
            <v>1299</v>
          </cell>
          <cell r="F975" t="str">
            <v>Tue Aug 20 00:00:00 UTC 2024</v>
          </cell>
          <cell r="G975" t="str">
            <v>3PTY</v>
          </cell>
          <cell r="H975" t="str">
            <v>Active</v>
          </cell>
          <cell r="I975" t="str">
            <v>Katyal,Varun</v>
          </cell>
          <cell r="J975" t="str">
            <v>DULS</v>
          </cell>
        </row>
        <row r="976">
          <cell r="A976">
            <v>203159801</v>
          </cell>
          <cell r="B976" t="str">
            <v>podongis</v>
          </cell>
          <cell r="C976" t="str">
            <v>ISMAIL,ODONG</v>
          </cell>
          <cell r="D976">
            <v>15248329</v>
          </cell>
          <cell r="E976">
            <v>1299</v>
          </cell>
          <cell r="F976" t="str">
            <v>Sat Mar 30 00:00:00 UTC 2024</v>
          </cell>
          <cell r="G976" t="str">
            <v>3PTY</v>
          </cell>
          <cell r="H976" t="str">
            <v>Active</v>
          </cell>
          <cell r="I976" t="str">
            <v>Akhtar,Muhammad Zohaib</v>
          </cell>
          <cell r="J976" t="str">
            <v>WOFZ</v>
          </cell>
        </row>
        <row r="977">
          <cell r="A977">
            <v>205231290</v>
          </cell>
          <cell r="B977" t="str">
            <v>jumakamb</v>
          </cell>
          <cell r="C977" t="str">
            <v>Jogi,Juma Kambi</v>
          </cell>
          <cell r="D977">
            <v>14856206</v>
          </cell>
          <cell r="E977">
            <v>1299</v>
          </cell>
          <cell r="F977" t="str">
            <v>Tue Aug 04 00:00:00 UTC 2026</v>
          </cell>
          <cell r="G977" t="str">
            <v>3PTY</v>
          </cell>
          <cell r="H977" t="str">
            <v>Active</v>
          </cell>
          <cell r="I977" t="str">
            <v>Narshad,Muhammad Ashik</v>
          </cell>
          <cell r="J977" t="str">
            <v>EFSV</v>
          </cell>
        </row>
        <row r="978">
          <cell r="A978">
            <v>206872002</v>
          </cell>
          <cell r="B978" t="str">
            <v>vedelyga</v>
          </cell>
          <cell r="C978" t="str">
            <v>Garcia,Edelyn Hulagno</v>
          </cell>
          <cell r="D978">
            <v>218481</v>
          </cell>
          <cell r="E978">
            <v>1290</v>
          </cell>
          <cell r="F978" t="str">
            <v>Thu Dec 25 00:00:00 UTC 2025</v>
          </cell>
          <cell r="G978" t="str">
            <v>3PTY</v>
          </cell>
          <cell r="H978" t="str">
            <v>Active</v>
          </cell>
          <cell r="I978" t="str">
            <v>Kumar,Arun</v>
          </cell>
          <cell r="J978" t="str">
            <v>EMIR</v>
          </cell>
        </row>
        <row r="979">
          <cell r="A979">
            <v>203468744</v>
          </cell>
          <cell r="B979" t="str">
            <v>shadrkwa</v>
          </cell>
          <cell r="C979" t="str">
            <v>Kwarteng,Shadrack</v>
          </cell>
          <cell r="D979">
            <v>12016451</v>
          </cell>
          <cell r="E979">
            <v>1299</v>
          </cell>
          <cell r="F979" t="str">
            <v>Thu Jun 13 00:00:00 UTC 2024</v>
          </cell>
          <cell r="G979" t="str">
            <v>3PTY</v>
          </cell>
          <cell r="H979" t="str">
            <v>Active</v>
          </cell>
          <cell r="I979" t="str">
            <v>Thomas,Binil</v>
          </cell>
          <cell r="J979" t="str">
            <v>FLO</v>
          </cell>
        </row>
        <row r="980">
          <cell r="A980">
            <v>206850960</v>
          </cell>
          <cell r="B980" t="str">
            <v>ashiraab</v>
          </cell>
          <cell r="C980" t="str">
            <v>ABU,ASHIRAF</v>
          </cell>
          <cell r="D980">
            <v>13156980</v>
          </cell>
          <cell r="E980">
            <v>1299</v>
          </cell>
          <cell r="F980" t="str">
            <v>Mon Dec 22 00:00:00 UTC 2025</v>
          </cell>
          <cell r="G980" t="str">
            <v>3PTY</v>
          </cell>
          <cell r="H980" t="str">
            <v>Active</v>
          </cell>
          <cell r="I980" t="str">
            <v>Ansari,Ammar Abdullah</v>
          </cell>
          <cell r="J980" t="str">
            <v>DULS</v>
          </cell>
        </row>
        <row r="981">
          <cell r="A981">
            <v>206873879</v>
          </cell>
          <cell r="B981" t="str">
            <v>turyaric</v>
          </cell>
          <cell r="C981" t="str">
            <v>TURYASINGURA,RICHARD</v>
          </cell>
          <cell r="D981">
            <v>13584596</v>
          </cell>
          <cell r="E981">
            <v>1299</v>
          </cell>
          <cell r="F981" t="str">
            <v>Mon Dec 29 00:00:00 UTC 2025</v>
          </cell>
          <cell r="G981" t="str">
            <v>3PTY</v>
          </cell>
          <cell r="H981" t="str">
            <v>Active</v>
          </cell>
          <cell r="I981" t="str">
            <v>Katyal,Varun</v>
          </cell>
          <cell r="J981" t="str">
            <v>DULS</v>
          </cell>
        </row>
        <row r="982">
          <cell r="A982">
            <v>204319798</v>
          </cell>
          <cell r="B982" t="str">
            <v>derwardz</v>
          </cell>
          <cell r="C982" t="str">
            <v>Ward,Derrick Brew</v>
          </cell>
          <cell r="D982">
            <v>14770905</v>
          </cell>
          <cell r="E982">
            <v>1299</v>
          </cell>
          <cell r="F982" t="str">
            <v>Mon Oct 21 00:00:00 UTC 2024</v>
          </cell>
          <cell r="G982" t="str">
            <v>3PTY</v>
          </cell>
          <cell r="H982" t="str">
            <v>Active</v>
          </cell>
          <cell r="I982" t="str">
            <v>Ansari,Ammar Abdullah</v>
          </cell>
          <cell r="J982" t="str">
            <v>QUES</v>
          </cell>
        </row>
        <row r="983">
          <cell r="A983">
            <v>207021645</v>
          </cell>
          <cell r="B983" t="str">
            <v>kantener</v>
          </cell>
          <cell r="C983" t="str">
            <v>kotu,anteneh kotu</v>
          </cell>
          <cell r="D983">
            <v>12705028</v>
          </cell>
          <cell r="E983">
            <v>1712</v>
          </cell>
          <cell r="F983" t="str">
            <v>Tue Feb 10 00:00:00 UTC 2026</v>
          </cell>
          <cell r="G983" t="str">
            <v>3PTY</v>
          </cell>
          <cell r="H983" t="str">
            <v>Active</v>
          </cell>
          <cell r="I983" t="str">
            <v>Raynold,Shine</v>
          </cell>
          <cell r="J983" t="str">
            <v>KBTS</v>
          </cell>
        </row>
        <row r="984">
          <cell r="A984">
            <v>205276302</v>
          </cell>
          <cell r="B984" t="str">
            <v>tabiayuj</v>
          </cell>
          <cell r="C984" t="str">
            <v>Tabiayuk Brandon,Arrey</v>
          </cell>
          <cell r="D984">
            <v>13737864</v>
          </cell>
          <cell r="E984">
            <v>1299</v>
          </cell>
          <cell r="F984" t="str">
            <v>Mon Aug 25 00:00:00 UTC 2025</v>
          </cell>
          <cell r="G984" t="str">
            <v>3PTY</v>
          </cell>
          <cell r="H984" t="str">
            <v>Active</v>
          </cell>
          <cell r="I984" t="str">
            <v>Thomas,Binil</v>
          </cell>
          <cell r="J984" t="str">
            <v>EFSV</v>
          </cell>
        </row>
        <row r="985">
          <cell r="A985">
            <v>206902848</v>
          </cell>
          <cell r="B985" t="str">
            <v>yamikani</v>
          </cell>
          <cell r="C985" t="str">
            <v>CHRIS KAYUNI,YAMIKANI</v>
          </cell>
          <cell r="D985">
            <v>11763</v>
          </cell>
          <cell r="E985">
            <v>1299</v>
          </cell>
          <cell r="F985" t="str">
            <v>Thu Jan 08 00:00:00 UTC 2026</v>
          </cell>
          <cell r="G985" t="str">
            <v>3PTY</v>
          </cell>
          <cell r="H985" t="str">
            <v>Active</v>
          </cell>
          <cell r="I985" t="str">
            <v>Ansari,Ammar Abdullah</v>
          </cell>
          <cell r="J985" t="str">
            <v>DULS</v>
          </cell>
        </row>
        <row r="986">
          <cell r="A986">
            <v>206874059</v>
          </cell>
          <cell r="B986" t="str">
            <v>momatovu</v>
          </cell>
          <cell r="C986" t="str">
            <v>MOHAMMAD,MATOVU</v>
          </cell>
          <cell r="D986">
            <v>12962467</v>
          </cell>
          <cell r="E986">
            <v>1299</v>
          </cell>
          <cell r="F986" t="str">
            <v>Mon Dec 29 00:00:00 UTC 2025</v>
          </cell>
          <cell r="G986" t="str">
            <v>3PTY</v>
          </cell>
          <cell r="H986" t="str">
            <v>Active</v>
          </cell>
          <cell r="I986" t="str">
            <v>Katyal,Varun</v>
          </cell>
          <cell r="J986" t="str">
            <v>DULS</v>
          </cell>
        </row>
        <row r="987">
          <cell r="A987">
            <v>203521426</v>
          </cell>
          <cell r="B987" t="str">
            <v>sadatayu</v>
          </cell>
          <cell r="C987" t="str">
            <v>Ayuba,Sadat</v>
          </cell>
          <cell r="D987">
            <v>12013929</v>
          </cell>
          <cell r="E987">
            <v>1299</v>
          </cell>
          <cell r="F987" t="str">
            <v>Thu Jun 20 00:00:00 UTC 2024</v>
          </cell>
          <cell r="G987" t="str">
            <v>3PTY</v>
          </cell>
          <cell r="H987" t="str">
            <v>Active</v>
          </cell>
          <cell r="I987" t="str">
            <v>Katyal,Varun</v>
          </cell>
          <cell r="J987" t="str">
            <v>FLO</v>
          </cell>
        </row>
        <row r="988">
          <cell r="A988">
            <v>205506109</v>
          </cell>
          <cell r="B988" t="str">
            <v>osnganga</v>
          </cell>
          <cell r="C988" t="str">
            <v>NG'ANG'A,SUSAN WANJIKU</v>
          </cell>
          <cell r="D988">
            <v>13967296</v>
          </cell>
          <cell r="E988">
            <v>1299</v>
          </cell>
          <cell r="F988" t="str">
            <v>Mon Jun 23 00:00:00 UTC 2025</v>
          </cell>
          <cell r="G988" t="str">
            <v>3PTY</v>
          </cell>
          <cell r="H988" t="str">
            <v>Active</v>
          </cell>
          <cell r="I988" t="str">
            <v>Katyal,Varun</v>
          </cell>
          <cell r="J988" t="str">
            <v>EFSV</v>
          </cell>
        </row>
        <row r="989">
          <cell r="A989">
            <v>205846579</v>
          </cell>
          <cell r="B989" t="str">
            <v>achemuta</v>
          </cell>
          <cell r="C989" t="str">
            <v>CHEMUTAI,ALICE</v>
          </cell>
          <cell r="D989">
            <v>14070315</v>
          </cell>
          <cell r="E989">
            <v>1299</v>
          </cell>
          <cell r="F989" t="str">
            <v>Mon Aug 25 00:00:00 UTC 2025</v>
          </cell>
          <cell r="G989" t="str">
            <v>3PTY</v>
          </cell>
          <cell r="H989" t="str">
            <v>Active</v>
          </cell>
          <cell r="I989" t="str">
            <v>Scaria,Varghese</v>
          </cell>
          <cell r="J989" t="str">
            <v>EFSV</v>
          </cell>
        </row>
        <row r="990">
          <cell r="A990">
            <v>204803142</v>
          </cell>
          <cell r="B990" t="str">
            <v>mbyadamt</v>
          </cell>
          <cell r="C990" t="str">
            <v>Mbye,Adama</v>
          </cell>
          <cell r="D990">
            <v>12001874</v>
          </cell>
          <cell r="E990">
            <v>1299</v>
          </cell>
          <cell r="F990" t="str">
            <v>Thu Jan 02 00:00:00 UTC 2025</v>
          </cell>
          <cell r="G990" t="str">
            <v>3PTY</v>
          </cell>
          <cell r="H990" t="str">
            <v>Active</v>
          </cell>
          <cell r="I990" t="str">
            <v>Akhtar,Muhammad Zohaib</v>
          </cell>
          <cell r="J990" t="str">
            <v>WOFZ</v>
          </cell>
        </row>
        <row r="991">
          <cell r="A991">
            <v>203965407</v>
          </cell>
          <cell r="B991" t="str">
            <v>femamoan</v>
          </cell>
          <cell r="C991" t="str">
            <v>Amoanyi,Emmanuel</v>
          </cell>
          <cell r="D991">
            <v>11855235</v>
          </cell>
          <cell r="E991">
            <v>1299</v>
          </cell>
          <cell r="F991" t="str">
            <v>Mon Sep 09 00:00:00 UTC 2024</v>
          </cell>
          <cell r="G991" t="str">
            <v>3PTY</v>
          </cell>
          <cell r="H991" t="str">
            <v>Active</v>
          </cell>
          <cell r="I991" t="str">
            <v>Thomas,Binil</v>
          </cell>
          <cell r="J991" t="str">
            <v>FLO</v>
          </cell>
        </row>
        <row r="992">
          <cell r="A992">
            <v>206577103</v>
          </cell>
          <cell r="B992" t="str">
            <v>hlsdm</v>
          </cell>
          <cell r="C992" t="str">
            <v>Ahmed,Ahmed Alaa</v>
          </cell>
          <cell r="D992">
            <v>13605645</v>
          </cell>
          <cell r="E992">
            <v>1711</v>
          </cell>
          <cell r="F992" t="str">
            <v>Tue Nov 11 00:00:00 UTC 2025</v>
          </cell>
          <cell r="G992" t="str">
            <v>3PTY</v>
          </cell>
          <cell r="H992" t="str">
            <v>Active</v>
          </cell>
          <cell r="I992" t="str">
            <v>Shershad,Ramees</v>
          </cell>
          <cell r="J992" t="str">
            <v>DUBA</v>
          </cell>
        </row>
        <row r="993">
          <cell r="A993">
            <v>206016554</v>
          </cell>
          <cell r="B993" t="str">
            <v>fynsarah</v>
          </cell>
          <cell r="C993" t="str">
            <v>Fynn Arthur,Sarah</v>
          </cell>
          <cell r="D993">
            <v>14743548</v>
          </cell>
          <cell r="E993">
            <v>1299</v>
          </cell>
          <cell r="F993" t="str">
            <v>Mon Sep 15 00:00:00 UTC 2025</v>
          </cell>
          <cell r="G993" t="str">
            <v>3PTY</v>
          </cell>
          <cell r="H993" t="str">
            <v>Active</v>
          </cell>
          <cell r="I993" t="str">
            <v>Katyal,Varun</v>
          </cell>
          <cell r="J993" t="str">
            <v>FLO</v>
          </cell>
        </row>
        <row r="994">
          <cell r="A994">
            <v>203850785</v>
          </cell>
          <cell r="B994" t="str">
            <v>otiinnoc</v>
          </cell>
          <cell r="C994" t="str">
            <v>Otim,Innocent</v>
          </cell>
          <cell r="D994">
            <v>12636051</v>
          </cell>
          <cell r="E994">
            <v>1299</v>
          </cell>
          <cell r="F994" t="str">
            <v>Tue Aug 20 00:00:00 UTC 2024</v>
          </cell>
          <cell r="G994" t="str">
            <v>3PTY</v>
          </cell>
          <cell r="H994" t="str">
            <v>Active</v>
          </cell>
          <cell r="I994" t="str">
            <v>Lakkireddy,Sai Raghavendra Reddy</v>
          </cell>
          <cell r="J994" t="str">
            <v>DULS</v>
          </cell>
        </row>
        <row r="995">
          <cell r="A995">
            <v>203737012</v>
          </cell>
          <cell r="B995" t="str">
            <v>haykweat</v>
          </cell>
          <cell r="C995" t="str">
            <v>Hayford,Kweatey Tetteh</v>
          </cell>
          <cell r="D995">
            <v>12809775</v>
          </cell>
          <cell r="E995">
            <v>1299</v>
          </cell>
          <cell r="F995" t="str">
            <v>Mon Jul 29 00:00:00 UTC 2024</v>
          </cell>
          <cell r="G995" t="str">
            <v>3PTY</v>
          </cell>
          <cell r="H995" t="str">
            <v>Active</v>
          </cell>
          <cell r="I995" t="str">
            <v>Lakkireddy,Sai Raghavendra Reddy</v>
          </cell>
          <cell r="J995" t="str">
            <v>FLO</v>
          </cell>
        </row>
        <row r="996">
          <cell r="A996">
            <v>205647581</v>
          </cell>
          <cell r="B996" t="str">
            <v>murdnase</v>
          </cell>
          <cell r="C996" t="str">
            <v>Murdaa,Naserian Naiponi</v>
          </cell>
          <cell r="D996">
            <v>12193980</v>
          </cell>
          <cell r="E996">
            <v>1299</v>
          </cell>
          <cell r="F996" t="str">
            <v>Mon Jul 14 00:00:00 UTC 2025</v>
          </cell>
          <cell r="G996" t="str">
            <v>3PTY</v>
          </cell>
          <cell r="H996" t="str">
            <v>Active</v>
          </cell>
          <cell r="I996" t="str">
            <v>Meera,Bava Bahrudeen</v>
          </cell>
          <cell r="J996" t="str">
            <v>EFSV</v>
          </cell>
        </row>
        <row r="997">
          <cell r="A997">
            <v>204951315</v>
          </cell>
          <cell r="B997" t="str">
            <v>bowusura</v>
          </cell>
          <cell r="C997" t="str">
            <v>OWUSU,RABBI</v>
          </cell>
          <cell r="D997">
            <v>13980271</v>
          </cell>
          <cell r="E997">
            <v>1299</v>
          </cell>
          <cell r="F997" t="str">
            <v>Mon Mar 03 00:00:00 UTC 2025</v>
          </cell>
          <cell r="G997" t="str">
            <v>3PTY</v>
          </cell>
          <cell r="H997" t="str">
            <v>Active</v>
          </cell>
          <cell r="I997" t="str">
            <v>Ansari,Ammar Abdullah</v>
          </cell>
          <cell r="J997" t="str">
            <v>DULS</v>
          </cell>
        </row>
        <row r="998">
          <cell r="A998">
            <v>203736253</v>
          </cell>
          <cell r="B998" t="str">
            <v>obwemman</v>
          </cell>
          <cell r="C998" t="str">
            <v>OBWANA,EMMANUEL</v>
          </cell>
          <cell r="D998">
            <v>11684370</v>
          </cell>
          <cell r="E998">
            <v>1299</v>
          </cell>
          <cell r="F998" t="str">
            <v>Mon Jul 29 00:00:00 UTC 2024</v>
          </cell>
          <cell r="G998" t="str">
            <v>3PTY</v>
          </cell>
          <cell r="H998" t="str">
            <v>Active</v>
          </cell>
          <cell r="I998" t="str">
            <v>Katyal,Varun</v>
          </cell>
          <cell r="J998" t="str">
            <v>DULS</v>
          </cell>
        </row>
        <row r="999">
          <cell r="A999">
            <v>205214436</v>
          </cell>
          <cell r="B999" t="str">
            <v>rrasaili</v>
          </cell>
          <cell r="C999" t="str">
            <v>Rasaili,Rajan</v>
          </cell>
          <cell r="D999">
            <v>12718876</v>
          </cell>
          <cell r="E999">
            <v>1712</v>
          </cell>
          <cell r="F999" t="str">
            <v>Sun Apr 27 00:00:00 UTC 2025</v>
          </cell>
          <cell r="G999" t="str">
            <v>3PTY</v>
          </cell>
          <cell r="H999" t="str">
            <v>Active</v>
          </cell>
          <cell r="I999" t="str">
            <v>POGALA,HAREESH</v>
          </cell>
          <cell r="J999" t="str">
            <v>KBTS</v>
          </cell>
        </row>
        <row r="1000">
          <cell r="A1000">
            <v>207867360</v>
          </cell>
          <cell r="B1000" t="str">
            <v>anavaneh</v>
          </cell>
          <cell r="C1000" t="str">
            <v>Abhimanyu Abhimanyu,Navaneeth Pallath</v>
          </cell>
          <cell r="D1000">
            <v>12044372</v>
          </cell>
          <cell r="E1000">
            <v>1200</v>
          </cell>
          <cell r="F1000" t="str">
            <v>Fri Jul 03 00:00:00 UTC 2026</v>
          </cell>
          <cell r="G1000" t="str">
            <v>3PTY</v>
          </cell>
          <cell r="H1000" t="str">
            <v>Active</v>
          </cell>
          <cell r="I1000" t="str">
            <v>Alhashmi,Abdulla</v>
          </cell>
          <cell r="J1000" t="str">
            <v>SSIS</v>
          </cell>
        </row>
        <row r="1001">
          <cell r="A1001">
            <v>206953381</v>
          </cell>
          <cell r="B1001" t="str">
            <v>karerahb</v>
          </cell>
          <cell r="C1001" t="str">
            <v>Karerah,Brenda Wambui</v>
          </cell>
          <cell r="D1001">
            <v>15170321</v>
          </cell>
          <cell r="E1001">
            <v>1299</v>
          </cell>
          <cell r="F1001" t="str">
            <v>Mon Jan 26 00:00:00 UTC 2026</v>
          </cell>
          <cell r="G1001" t="str">
            <v>3PTY</v>
          </cell>
          <cell r="H1001" t="str">
            <v>Active</v>
          </cell>
          <cell r="I1001" t="str">
            <v>Dinberu,Eden</v>
          </cell>
          <cell r="J1001" t="str">
            <v>EFSV</v>
          </cell>
        </row>
        <row r="1002">
          <cell r="A1002">
            <v>204116442</v>
          </cell>
          <cell r="B1002" t="str">
            <v>ekndapem</v>
          </cell>
          <cell r="C1002" t="str">
            <v>Ekume,Ndape Mabel</v>
          </cell>
          <cell r="D1002">
            <v>14164201</v>
          </cell>
          <cell r="E1002">
            <v>1299</v>
          </cell>
          <cell r="F1002" t="str">
            <v>Thu Sep 26 00:00:00 UTC 2024</v>
          </cell>
          <cell r="G1002" t="str">
            <v>3PTY</v>
          </cell>
          <cell r="H1002" t="str">
            <v>Active</v>
          </cell>
          <cell r="I1002" t="str">
            <v>Thomas,Binil</v>
          </cell>
          <cell r="J1002" t="str">
            <v>QUES</v>
          </cell>
        </row>
        <row r="1003">
          <cell r="A1003">
            <v>205199352</v>
          </cell>
          <cell r="B1003" t="str">
            <v>jacobkip</v>
          </cell>
          <cell r="C1003" t="str">
            <v>Kipketer,Jacob</v>
          </cell>
          <cell r="D1003">
            <v>13553570</v>
          </cell>
          <cell r="E1003">
            <v>1299</v>
          </cell>
          <cell r="F1003" t="str">
            <v>Mon Apr 28 00:00:00 UTC 2025</v>
          </cell>
          <cell r="G1003" t="str">
            <v>3PTY</v>
          </cell>
          <cell r="H1003" t="str">
            <v>Active</v>
          </cell>
          <cell r="I1003" t="str">
            <v>Ansari,Ammar Abdullah</v>
          </cell>
          <cell r="J1003" t="str">
            <v>EFSV</v>
          </cell>
        </row>
        <row r="1004">
          <cell r="A1004">
            <v>204967041</v>
          </cell>
          <cell r="B1004" t="str">
            <v>jodansoe</v>
          </cell>
          <cell r="C1004" t="str">
            <v>DANSO YEBOAH,JOSEPH KOFI</v>
          </cell>
          <cell r="D1004">
            <v>13627980</v>
          </cell>
          <cell r="E1004">
            <v>1299</v>
          </cell>
          <cell r="F1004" t="str">
            <v>Mon Mar 03 00:00:00 UTC 2025</v>
          </cell>
          <cell r="G1004" t="str">
            <v>3PTY</v>
          </cell>
          <cell r="H1004" t="str">
            <v>Active</v>
          </cell>
          <cell r="I1004" t="str">
            <v>Lakkireddy,Sai Raghavendra Reddy</v>
          </cell>
          <cell r="J1004" t="str">
            <v>DULS</v>
          </cell>
        </row>
        <row r="1005">
          <cell r="A1005">
            <v>206953974</v>
          </cell>
          <cell r="B1005" t="str">
            <v>chawezih</v>
          </cell>
          <cell r="C1005" t="str">
            <v>HARAWA,CHAWEZI GERESHOM</v>
          </cell>
          <cell r="D1005">
            <v>11568045</v>
          </cell>
          <cell r="E1005">
            <v>1299</v>
          </cell>
          <cell r="F1005" t="str">
            <v>Mon Jan 26 00:00:00 UTC 2026</v>
          </cell>
          <cell r="G1005" t="str">
            <v>3PTY</v>
          </cell>
          <cell r="H1005" t="str">
            <v>Active</v>
          </cell>
          <cell r="I1005" t="str">
            <v>Sohail,Anis</v>
          </cell>
          <cell r="J1005" t="str">
            <v>DULS</v>
          </cell>
        </row>
        <row r="1006">
          <cell r="A1006">
            <v>203881598</v>
          </cell>
          <cell r="B1006" t="str">
            <v>bwamoako</v>
          </cell>
          <cell r="C1006" t="str">
            <v>Amoako,Benjamin Kwarteng</v>
          </cell>
          <cell r="D1006">
            <v>150337</v>
          </cell>
          <cell r="E1006">
            <v>1299</v>
          </cell>
          <cell r="F1006" t="str">
            <v>Mon Aug 26 00:00:00 UTC 2024</v>
          </cell>
          <cell r="G1006" t="str">
            <v>3PTY</v>
          </cell>
          <cell r="H1006" t="str">
            <v>Active</v>
          </cell>
          <cell r="I1006" t="str">
            <v>Katyal,Varun</v>
          </cell>
          <cell r="J1006" t="str">
            <v>FLO</v>
          </cell>
        </row>
        <row r="1007">
          <cell r="A1007">
            <v>205152123</v>
          </cell>
          <cell r="B1007" t="str">
            <v>ragesoor</v>
          </cell>
          <cell r="C1007" t="str">
            <v>RAGEENDRAN,SOORAJ</v>
          </cell>
          <cell r="D1007">
            <v>12312996</v>
          </cell>
          <cell r="E1007">
            <v>1712</v>
          </cell>
          <cell r="F1007" t="str">
            <v>Mon Apr 14 00:00:00 UTC 2025</v>
          </cell>
          <cell r="G1007" t="str">
            <v>3PTY</v>
          </cell>
          <cell r="H1007" t="str">
            <v>Active</v>
          </cell>
          <cell r="I1007" t="str">
            <v>Rizvan,Mohamed</v>
          </cell>
          <cell r="J1007" t="str">
            <v>BHIZ</v>
          </cell>
        </row>
        <row r="1008">
          <cell r="A1008">
            <v>206015650</v>
          </cell>
          <cell r="B1008" t="str">
            <v>mwesiron</v>
          </cell>
          <cell r="C1008" t="str">
            <v>Mwesigwa Matovu,Ronnie</v>
          </cell>
          <cell r="D1008">
            <v>15009459</v>
          </cell>
          <cell r="E1008">
            <v>1299</v>
          </cell>
          <cell r="F1008" t="str">
            <v>Mon Sep 15 00:00:00 UTC 2025</v>
          </cell>
          <cell r="G1008" t="str">
            <v>3PTY</v>
          </cell>
          <cell r="H1008" t="str">
            <v>Active</v>
          </cell>
          <cell r="I1008" t="str">
            <v>Thomas,Binil</v>
          </cell>
          <cell r="J1008" t="str">
            <v>FLO</v>
          </cell>
        </row>
        <row r="1009">
          <cell r="A1009">
            <v>203816755</v>
          </cell>
          <cell r="B1009" t="str">
            <v>abonekay</v>
          </cell>
          <cell r="C1009" t="str">
            <v>ABONEKA,YAKUBU</v>
          </cell>
          <cell r="D1009">
            <v>13179441</v>
          </cell>
          <cell r="E1009">
            <v>1299</v>
          </cell>
          <cell r="F1009" t="str">
            <v>Wed Aug 14 00:00:00 UTC 2024</v>
          </cell>
          <cell r="G1009" t="str">
            <v>3PTY</v>
          </cell>
          <cell r="H1009" t="str">
            <v>Active</v>
          </cell>
          <cell r="I1009" t="str">
            <v>Meera,Bava Bahrudeen</v>
          </cell>
          <cell r="J1009" t="str">
            <v>DULS</v>
          </cell>
        </row>
        <row r="1010">
          <cell r="A1010">
            <v>113167122</v>
          </cell>
          <cell r="B1010" t="str">
            <v>marietch</v>
          </cell>
          <cell r="C1010" t="str">
            <v>Gran,Mariette Cheken</v>
          </cell>
          <cell r="D1010">
            <v>12902744</v>
          </cell>
          <cell r="E1010">
            <v>1299</v>
          </cell>
          <cell r="F1010" t="str">
            <v>Mon Oct 21 00:00:00 UTC 2024</v>
          </cell>
          <cell r="G1010" t="str">
            <v>3PTY</v>
          </cell>
          <cell r="H1010" t="str">
            <v>Active</v>
          </cell>
          <cell r="I1010" t="str">
            <v>Narshad,Muhammad Ashik</v>
          </cell>
          <cell r="J1010" t="str">
            <v>QUES</v>
          </cell>
        </row>
        <row r="1011">
          <cell r="A1011">
            <v>203800281</v>
          </cell>
          <cell r="B1011" t="str">
            <v>bhabadha</v>
          </cell>
          <cell r="C1011" t="str">
            <v>BHANDARI,BADHAT</v>
          </cell>
          <cell r="D1011">
            <v>14570246</v>
          </cell>
          <cell r="E1011">
            <v>1299</v>
          </cell>
          <cell r="F1011" t="str">
            <v>Fri Aug 09 00:00:00 UTC 2024</v>
          </cell>
          <cell r="G1011" t="str">
            <v>3PTY</v>
          </cell>
          <cell r="H1011" t="str">
            <v>Active</v>
          </cell>
          <cell r="I1011" t="str">
            <v>Rajendran,Ajith Kumar</v>
          </cell>
          <cell r="J1011" t="str">
            <v>KBTS</v>
          </cell>
        </row>
        <row r="1012">
          <cell r="A1012">
            <v>204883081</v>
          </cell>
          <cell r="B1012" t="str">
            <v>alberokr</v>
          </cell>
          <cell r="C1012" t="str">
            <v>Okrah,Alberta Yuwaah</v>
          </cell>
          <cell r="D1012">
            <v>13186518</v>
          </cell>
          <cell r="E1012">
            <v>1299</v>
          </cell>
          <cell r="F1012" t="str">
            <v>Mon Feb 03 00:00:00 UTC 2025</v>
          </cell>
          <cell r="G1012" t="str">
            <v>3PTY</v>
          </cell>
          <cell r="H1012" t="str">
            <v>Active</v>
          </cell>
          <cell r="I1012" t="str">
            <v>Katyal,Varun</v>
          </cell>
          <cell r="J1012" t="str">
            <v>QUES</v>
          </cell>
        </row>
        <row r="1013">
          <cell r="A1013">
            <v>204072311</v>
          </cell>
          <cell r="B1013" t="str">
            <v>livinbes</v>
          </cell>
          <cell r="C1013" t="str">
            <v>BESIGYE,LIVING</v>
          </cell>
          <cell r="D1013">
            <v>13261866</v>
          </cell>
          <cell r="E1013">
            <v>1299</v>
          </cell>
          <cell r="F1013" t="str">
            <v>Mon Sep 23 00:00:00 UTC 2024</v>
          </cell>
          <cell r="G1013" t="str">
            <v>3PTY</v>
          </cell>
          <cell r="H1013" t="str">
            <v>Active</v>
          </cell>
          <cell r="I1013" t="str">
            <v>Scaria,Varghese</v>
          </cell>
          <cell r="J1013" t="str">
            <v>DULS</v>
          </cell>
        </row>
        <row r="1014">
          <cell r="A1014">
            <v>207283258</v>
          </cell>
          <cell r="B1014" t="str">
            <v>thomtonp</v>
          </cell>
          <cell r="C1014" t="str">
            <v>THOMAS JOSEPH,TONY</v>
          </cell>
          <cell r="D1014">
            <v>14092545</v>
          </cell>
          <cell r="E1014">
            <v>1299</v>
          </cell>
          <cell r="F1014" t="str">
            <v>Tue Apr 14 00:00:00 UTC 2026</v>
          </cell>
          <cell r="G1014" t="str">
            <v>3PTY</v>
          </cell>
          <cell r="H1014" t="str">
            <v>Active</v>
          </cell>
          <cell r="I1014" t="str">
            <v>Joshi,Anirudh</v>
          </cell>
          <cell r="J1014" t="str">
            <v>DULS</v>
          </cell>
        </row>
        <row r="1015">
          <cell r="A1015">
            <v>203468507</v>
          </cell>
          <cell r="B1015" t="str">
            <v>boamhenr</v>
          </cell>
          <cell r="C1015" t="str">
            <v>Boamah,Henry Asiamah</v>
          </cell>
          <cell r="D1015">
            <v>11479755</v>
          </cell>
          <cell r="E1015">
            <v>1299</v>
          </cell>
          <cell r="F1015" t="str">
            <v>Thu Jun 13 00:00:00 UTC 2024</v>
          </cell>
          <cell r="G1015" t="str">
            <v>3PTY</v>
          </cell>
          <cell r="H1015" t="str">
            <v>Active</v>
          </cell>
          <cell r="I1015" t="str">
            <v>Dinberu,Eden</v>
          </cell>
          <cell r="J1015" t="str">
            <v>FLO</v>
          </cell>
        </row>
        <row r="1016">
          <cell r="A1016">
            <v>206348034</v>
          </cell>
          <cell r="B1016" t="str">
            <v>marimudi</v>
          </cell>
          <cell r="C1016" t="str">
            <v>MUDIMI WONIALA,MARTINE</v>
          </cell>
          <cell r="D1016">
            <v>12100020</v>
          </cell>
          <cell r="E1016">
            <v>1299</v>
          </cell>
          <cell r="F1016" t="str">
            <v>Mon Oct 27 00:00:00 UTC 2025</v>
          </cell>
          <cell r="G1016" t="str">
            <v>3PTY</v>
          </cell>
          <cell r="H1016" t="str">
            <v>Active</v>
          </cell>
          <cell r="I1016" t="str">
            <v>Dinberu,Eden</v>
          </cell>
          <cell r="J1016" t="str">
            <v>FLO</v>
          </cell>
        </row>
        <row r="1017">
          <cell r="A1017">
            <v>112181816</v>
          </cell>
          <cell r="B1017" t="str">
            <v>itawiah</v>
          </cell>
          <cell r="C1017" t="str">
            <v>Tawiah,Isaac Tilor</v>
          </cell>
          <cell r="D1017">
            <v>13923860</v>
          </cell>
          <cell r="E1017">
            <v>1299</v>
          </cell>
          <cell r="F1017" t="str">
            <v>Mon Jul 29 00:00:00 UTC 2024</v>
          </cell>
          <cell r="G1017" t="str">
            <v>3PTY</v>
          </cell>
          <cell r="H1017" t="str">
            <v>Active</v>
          </cell>
          <cell r="I1017" t="str">
            <v>Lakkireddy,Sai Raghavendra Reddy</v>
          </cell>
          <cell r="J1017" t="str">
            <v>FLO</v>
          </cell>
        </row>
        <row r="1018">
          <cell r="A1018">
            <v>204329123</v>
          </cell>
          <cell r="B1018" t="str">
            <v>ribnyame</v>
          </cell>
          <cell r="C1018" t="str">
            <v>Nyame,Richmond</v>
          </cell>
          <cell r="D1018">
            <v>12334447</v>
          </cell>
          <cell r="E1018">
            <v>1299</v>
          </cell>
          <cell r="F1018" t="str">
            <v>Thu Oct 24 00:00:00 UTC 2024</v>
          </cell>
          <cell r="G1018" t="str">
            <v>3PTY</v>
          </cell>
          <cell r="H1018" t="str">
            <v>Active</v>
          </cell>
          <cell r="I1018" t="str">
            <v>Meera,Bava Bahrudeen</v>
          </cell>
          <cell r="J1018" t="str">
            <v>QUES</v>
          </cell>
        </row>
        <row r="1019">
          <cell r="A1019">
            <v>203908895</v>
          </cell>
          <cell r="B1019" t="str">
            <v>rkatumma</v>
          </cell>
          <cell r="C1019" t="str">
            <v>KATUMWA,MARK</v>
          </cell>
          <cell r="D1019">
            <v>12132637</v>
          </cell>
          <cell r="E1019">
            <v>1299</v>
          </cell>
          <cell r="F1019" t="str">
            <v>Mon Sep 02 00:00:00 UTC 2024</v>
          </cell>
          <cell r="G1019" t="str">
            <v>3PTY</v>
          </cell>
          <cell r="H1019" t="str">
            <v>Active</v>
          </cell>
          <cell r="I1019" t="str">
            <v>Scaria,Varghese</v>
          </cell>
          <cell r="J1019" t="str">
            <v>DULS</v>
          </cell>
        </row>
        <row r="1020">
          <cell r="A1020">
            <v>207820193</v>
          </cell>
          <cell r="B1020" t="str">
            <v>alablass</v>
          </cell>
          <cell r="C1020" t="str">
            <v>Ablasser,Alexander</v>
          </cell>
          <cell r="D1020">
            <v>12056952</v>
          </cell>
          <cell r="E1020">
            <v>1200</v>
          </cell>
          <cell r="F1020" t="str">
            <v>Wed Jul 01 00:00:00 UTC 2026</v>
          </cell>
          <cell r="G1020" t="str">
            <v>3PTY</v>
          </cell>
          <cell r="H1020" t="str">
            <v>Active</v>
          </cell>
          <cell r="I1020" t="str">
            <v>Alhashmi,Abdulla</v>
          </cell>
          <cell r="J1020" t="str">
            <v>SSIS</v>
          </cell>
        </row>
        <row r="1021">
          <cell r="A1021">
            <v>206915469</v>
          </cell>
          <cell r="B1021" t="str">
            <v>kahuhenx</v>
          </cell>
          <cell r="C1021" t="str">
            <v>KAHUNDE,HENRY</v>
          </cell>
          <cell r="D1021">
            <v>286958</v>
          </cell>
          <cell r="E1021">
            <v>1299</v>
          </cell>
          <cell r="F1021" t="str">
            <v>Mon Jan 12 00:00:00 UTC 2026</v>
          </cell>
          <cell r="G1021" t="str">
            <v>3PTY</v>
          </cell>
          <cell r="H1021" t="str">
            <v>Active</v>
          </cell>
          <cell r="I1021" t="str">
            <v>Lakkireddy,Sai Raghavendra Reddy</v>
          </cell>
          <cell r="J1021" t="str">
            <v>DULS</v>
          </cell>
        </row>
        <row r="1022">
          <cell r="A1022">
            <v>204299908</v>
          </cell>
          <cell r="B1022" t="str">
            <v>senncube</v>
          </cell>
          <cell r="C1022" t="str">
            <v>Ncube,Senzo</v>
          </cell>
          <cell r="D1022">
            <v>235746</v>
          </cell>
          <cell r="E1022">
            <v>1299</v>
          </cell>
          <cell r="F1022" t="str">
            <v>Thu Oct 24 00:00:00 UTC 2024</v>
          </cell>
          <cell r="G1022" t="str">
            <v>3PTY</v>
          </cell>
          <cell r="H1022" t="str">
            <v>Active</v>
          </cell>
          <cell r="I1022" t="str">
            <v>Meera,Bava Bahrudeen</v>
          </cell>
          <cell r="J1022" t="str">
            <v>QUES</v>
          </cell>
        </row>
        <row r="1023">
          <cell r="A1023">
            <v>201487409</v>
          </cell>
          <cell r="B1023" t="str">
            <v>sakycric</v>
          </cell>
          <cell r="C1023" t="str">
            <v>Sakyi,Richard</v>
          </cell>
          <cell r="D1023">
            <v>13019596</v>
          </cell>
          <cell r="E1023">
            <v>1299</v>
          </cell>
          <cell r="F1023" t="str">
            <v>Thu Sep 26 00:00:00 UTC 2024</v>
          </cell>
          <cell r="G1023" t="str">
            <v>3PTY</v>
          </cell>
          <cell r="H1023" t="str">
            <v>Active</v>
          </cell>
          <cell r="I1023" t="str">
            <v>Scaria,Varghese</v>
          </cell>
          <cell r="J1023" t="str">
            <v>FLO</v>
          </cell>
        </row>
        <row r="1024">
          <cell r="A1024">
            <v>206192269</v>
          </cell>
          <cell r="B1024" t="str">
            <v>nyfridax</v>
          </cell>
          <cell r="C1024" t="str">
            <v>Nyakweba,Fridah Kwamboka</v>
          </cell>
          <cell r="D1024">
            <v>11062172</v>
          </cell>
          <cell r="E1024">
            <v>1299</v>
          </cell>
          <cell r="F1024" t="str">
            <v>Mon Oct 06 00:00:00 UTC 2025</v>
          </cell>
          <cell r="G1024" t="str">
            <v>3PTY</v>
          </cell>
          <cell r="H1024" t="str">
            <v>Active</v>
          </cell>
          <cell r="I1024" t="str">
            <v>Ansari,Ammar Abdullah</v>
          </cell>
          <cell r="J1024" t="str">
            <v>EFSV</v>
          </cell>
        </row>
        <row r="1025">
          <cell r="A1025">
            <v>207470991</v>
          </cell>
          <cell r="B1025" t="str">
            <v>punganki</v>
          </cell>
          <cell r="C1025" t="str">
            <v>PUNWAR THAPA,ANKIT</v>
          </cell>
          <cell r="D1025">
            <v>11912914</v>
          </cell>
          <cell r="E1025">
            <v>1712</v>
          </cell>
          <cell r="F1025" t="str">
            <v>Sun May 10 00:00:00 UTC 2026</v>
          </cell>
          <cell r="G1025" t="str">
            <v>3PTY</v>
          </cell>
          <cell r="H1025" t="str">
            <v>Active</v>
          </cell>
          <cell r="I1025" t="str">
            <v>ramadoss,vadivel</v>
          </cell>
          <cell r="J1025" t="str">
            <v>KBTS</v>
          </cell>
        </row>
        <row r="1026">
          <cell r="A1026">
            <v>206897637</v>
          </cell>
          <cell r="B1026" t="str">
            <v>edwitane</v>
          </cell>
          <cell r="C1026" t="str">
            <v>TANETSWA MPOFU,EDWIN</v>
          </cell>
          <cell r="D1026">
            <v>13141634</v>
          </cell>
          <cell r="E1026">
            <v>1299</v>
          </cell>
          <cell r="F1026" t="str">
            <v>Thu Jan 08 00:00:00 UTC 2026</v>
          </cell>
          <cell r="G1026" t="str">
            <v>3PTY</v>
          </cell>
          <cell r="H1026" t="str">
            <v>Active</v>
          </cell>
          <cell r="I1026" t="str">
            <v>Narshad,Muhammad Ashik</v>
          </cell>
          <cell r="J1026" t="str">
            <v>FLO</v>
          </cell>
        </row>
        <row r="1027">
          <cell r="A1027">
            <v>206128846</v>
          </cell>
          <cell r="B1027" t="str">
            <v>obiarrey</v>
          </cell>
          <cell r="C1027" t="str">
            <v>Obi Arrey,Benedict</v>
          </cell>
          <cell r="D1027">
            <v>11318087</v>
          </cell>
          <cell r="E1027">
            <v>1299</v>
          </cell>
          <cell r="F1027" t="str">
            <v>Mon Sep 29 00:00:00 UTC 2025</v>
          </cell>
          <cell r="G1027" t="str">
            <v>3PTY</v>
          </cell>
          <cell r="H1027" t="str">
            <v>Active</v>
          </cell>
          <cell r="I1027" t="str">
            <v>Ansari,Ammar Abdullah</v>
          </cell>
          <cell r="J1027" t="str">
            <v>FLO</v>
          </cell>
        </row>
        <row r="1028">
          <cell r="A1028">
            <v>204009978</v>
          </cell>
          <cell r="B1028" t="str">
            <v>joshirum</v>
          </cell>
          <cell r="C1028" t="str">
            <v>IRUMBA,JOSHUA</v>
          </cell>
          <cell r="D1028">
            <v>12927186</v>
          </cell>
          <cell r="E1028">
            <v>1299</v>
          </cell>
          <cell r="F1028" t="str">
            <v>Mon Sep 16 00:00:00 UTC 2024</v>
          </cell>
          <cell r="G1028" t="str">
            <v>3PTY</v>
          </cell>
          <cell r="H1028" t="str">
            <v>Active</v>
          </cell>
          <cell r="I1028" t="str">
            <v>Lakkireddy,Sai Raghavendra Reddy</v>
          </cell>
          <cell r="J1028" t="str">
            <v>DULS</v>
          </cell>
        </row>
        <row r="1029">
          <cell r="A1029">
            <v>204095446</v>
          </cell>
          <cell r="B1029" t="str">
            <v>ndugakue</v>
          </cell>
          <cell r="C1029" t="str">
            <v>Ndugakue,Kelvin Anankeng Azem</v>
          </cell>
          <cell r="D1029">
            <v>12166629</v>
          </cell>
          <cell r="E1029">
            <v>1299</v>
          </cell>
          <cell r="F1029" t="str">
            <v>Thu Sep 26 00:00:00 UTC 2024</v>
          </cell>
          <cell r="G1029" t="str">
            <v>3PTY</v>
          </cell>
          <cell r="H1029" t="str">
            <v>Active</v>
          </cell>
          <cell r="I1029" t="str">
            <v>Dinberu,Eden</v>
          </cell>
          <cell r="J1029" t="str">
            <v>QUES</v>
          </cell>
        </row>
        <row r="1030">
          <cell r="A1030">
            <v>206129263</v>
          </cell>
          <cell r="B1030" t="str">
            <v>appsolom</v>
          </cell>
          <cell r="C1030" t="str">
            <v>Appiah Kubi,Solomon</v>
          </cell>
          <cell r="D1030">
            <v>14302980</v>
          </cell>
          <cell r="E1030">
            <v>1299</v>
          </cell>
          <cell r="F1030" t="str">
            <v>Mon Sep 29 00:00:00 UTC 2025</v>
          </cell>
          <cell r="G1030" t="str">
            <v>3PTY</v>
          </cell>
          <cell r="H1030" t="str">
            <v>Active</v>
          </cell>
          <cell r="I1030" t="str">
            <v>Ansari,Ammar Abdullah</v>
          </cell>
          <cell r="J1030" t="str">
            <v>FLO</v>
          </cell>
        </row>
        <row r="1031">
          <cell r="A1031">
            <v>204967557</v>
          </cell>
          <cell r="B1031" t="str">
            <v>fprinceo</v>
          </cell>
          <cell r="C1031" t="str">
            <v>FRIMPONG,PRINCE OPOKU</v>
          </cell>
          <cell r="D1031">
            <v>14325277</v>
          </cell>
          <cell r="E1031">
            <v>1299</v>
          </cell>
          <cell r="F1031" t="str">
            <v>Mon Mar 03 00:00:00 UTC 2025</v>
          </cell>
          <cell r="G1031" t="str">
            <v>3PTY</v>
          </cell>
          <cell r="H1031" t="str">
            <v>Active</v>
          </cell>
          <cell r="I1031" t="str">
            <v>Ansari,Ammar Abdullah</v>
          </cell>
          <cell r="J1031" t="str">
            <v>DULS</v>
          </cell>
        </row>
        <row r="1032">
          <cell r="A1032">
            <v>204869096</v>
          </cell>
          <cell r="B1032" t="str">
            <v>mercyema</v>
          </cell>
          <cell r="C1032" t="str">
            <v>Masuka,Mercy</v>
          </cell>
          <cell r="D1032">
            <v>234047</v>
          </cell>
          <cell r="E1032">
            <v>1299</v>
          </cell>
          <cell r="F1032" t="str">
            <v>Mon Feb 03 00:00:00 UTC 2025</v>
          </cell>
          <cell r="G1032" t="str">
            <v>3PTY</v>
          </cell>
          <cell r="H1032" t="str">
            <v>Active</v>
          </cell>
          <cell r="I1032" t="str">
            <v>Katyal,Varun</v>
          </cell>
          <cell r="J1032" t="str">
            <v>QUES</v>
          </cell>
        </row>
        <row r="1033">
          <cell r="A1033">
            <v>205996136</v>
          </cell>
          <cell r="B1033" t="str">
            <v>prerosel</v>
          </cell>
          <cell r="C1033" t="str">
            <v>PRECIOUS KULIMA,ROSELYN</v>
          </cell>
          <cell r="D1033">
            <v>13285958</v>
          </cell>
          <cell r="E1033">
            <v>1299</v>
          </cell>
          <cell r="F1033" t="str">
            <v>Mon Sep 15 00:00:00 UTC 2025</v>
          </cell>
          <cell r="G1033" t="str">
            <v>3PTY</v>
          </cell>
          <cell r="H1033" t="str">
            <v>Active</v>
          </cell>
          <cell r="I1033" t="str">
            <v>Scaria,Varghese</v>
          </cell>
          <cell r="J1033" t="str">
            <v>FLO</v>
          </cell>
        </row>
        <row r="1034">
          <cell r="A1034">
            <v>206873780</v>
          </cell>
          <cell r="B1034" t="str">
            <v>sharrifn</v>
          </cell>
          <cell r="C1034" t="str">
            <v>SHARRIFU,NAJJIBU</v>
          </cell>
          <cell r="D1034">
            <v>11017912</v>
          </cell>
          <cell r="E1034">
            <v>1299</v>
          </cell>
          <cell r="F1034" t="str">
            <v>Mon Dec 29 00:00:00 UTC 2025</v>
          </cell>
          <cell r="G1034" t="str">
            <v>3PTY</v>
          </cell>
          <cell r="H1034" t="str">
            <v>Active</v>
          </cell>
          <cell r="I1034" t="str">
            <v>Katyal,Varun</v>
          </cell>
          <cell r="J1034" t="str">
            <v>DULS</v>
          </cell>
        </row>
        <row r="1035">
          <cell r="A1035">
            <v>206873552</v>
          </cell>
          <cell r="B1035" t="str">
            <v>gmikesse</v>
          </cell>
          <cell r="C1035" t="str">
            <v>MIKE SSEBUTINDE,GONZAGA</v>
          </cell>
          <cell r="D1035">
            <v>15364539</v>
          </cell>
          <cell r="E1035">
            <v>1299</v>
          </cell>
          <cell r="F1035" t="str">
            <v>Mon Dec 29 00:00:00 UTC 2025</v>
          </cell>
          <cell r="G1035" t="str">
            <v>3PTY</v>
          </cell>
          <cell r="H1035" t="str">
            <v>Active</v>
          </cell>
          <cell r="I1035" t="str">
            <v>Katyal,Varun</v>
          </cell>
          <cell r="J1035" t="str">
            <v>FLO</v>
          </cell>
        </row>
        <row r="1036">
          <cell r="A1036">
            <v>206348053</v>
          </cell>
          <cell r="B1036" t="str">
            <v>kunorahk</v>
          </cell>
          <cell r="C1036" t="str">
            <v>KULUDHI,NORAH</v>
          </cell>
          <cell r="D1036">
            <v>12981173</v>
          </cell>
          <cell r="E1036">
            <v>1299</v>
          </cell>
          <cell r="F1036" t="str">
            <v>Mon Oct 27 00:00:00 UTC 2025</v>
          </cell>
          <cell r="G1036" t="str">
            <v>3PTY</v>
          </cell>
          <cell r="H1036" t="str">
            <v>Active</v>
          </cell>
          <cell r="I1036" t="str">
            <v>Meera,Bava Bahrudeen</v>
          </cell>
          <cell r="J1036" t="str">
            <v>FLO</v>
          </cell>
        </row>
        <row r="1037">
          <cell r="A1037">
            <v>204117681</v>
          </cell>
          <cell r="B1037" t="str">
            <v>dumsekeh</v>
          </cell>
          <cell r="C1037" t="str">
            <v>Keng,Dumse Mannette</v>
          </cell>
          <cell r="D1037">
            <v>11586793</v>
          </cell>
          <cell r="E1037">
            <v>1299</v>
          </cell>
          <cell r="F1037" t="str">
            <v>Thu Sep 26 00:00:00 UTC 2024</v>
          </cell>
          <cell r="G1037" t="str">
            <v>3PTY</v>
          </cell>
          <cell r="H1037" t="str">
            <v>Active</v>
          </cell>
          <cell r="I1037" t="str">
            <v>Thomas,Binil</v>
          </cell>
          <cell r="J1037" t="str">
            <v>QUES</v>
          </cell>
        </row>
        <row r="1038">
          <cell r="A1038">
            <v>203813080</v>
          </cell>
          <cell r="B1038" t="str">
            <v>veetmuha</v>
          </cell>
          <cell r="C1038" t="str">
            <v>VEETTIL,MUHAMMED MIKTHATH NOTTAM</v>
          </cell>
          <cell r="D1038">
            <v>121958</v>
          </cell>
          <cell r="E1038">
            <v>1299</v>
          </cell>
          <cell r="F1038" t="str">
            <v>Tue Aug 13 00:00:00 UTC 2024</v>
          </cell>
          <cell r="G1038" t="str">
            <v>3PTY</v>
          </cell>
          <cell r="H1038" t="str">
            <v>Active</v>
          </cell>
          <cell r="I1038" t="str">
            <v>Katyal,Varun</v>
          </cell>
          <cell r="J1038" t="str">
            <v>ADEC</v>
          </cell>
        </row>
        <row r="1039">
          <cell r="A1039">
            <v>204116445</v>
          </cell>
          <cell r="B1039" t="str">
            <v>folithel</v>
          </cell>
          <cell r="C1039" t="str">
            <v>Foli,Thelma Esinam</v>
          </cell>
          <cell r="D1039">
            <v>15399597</v>
          </cell>
          <cell r="E1039">
            <v>1299</v>
          </cell>
          <cell r="F1039" t="str">
            <v>Thu Sep 26 00:00:00 UTC 2024</v>
          </cell>
          <cell r="G1039" t="str">
            <v>3PTY</v>
          </cell>
          <cell r="H1039" t="str">
            <v>Active</v>
          </cell>
          <cell r="I1039" t="str">
            <v>Narshad,Muhammad Ashik</v>
          </cell>
          <cell r="J1039" t="str">
            <v>QUES</v>
          </cell>
        </row>
        <row r="1040">
          <cell r="A1040">
            <v>204868502</v>
          </cell>
          <cell r="B1040" t="str">
            <v>pamoesse</v>
          </cell>
          <cell r="C1040" t="str">
            <v>AMO ESSEL,PRINCE</v>
          </cell>
          <cell r="D1040">
            <v>12902962</v>
          </cell>
          <cell r="E1040">
            <v>1299</v>
          </cell>
          <cell r="F1040" t="str">
            <v>Mon Aug 25 00:00:00 UTC 2025</v>
          </cell>
          <cell r="G1040" t="str">
            <v>3PTY</v>
          </cell>
          <cell r="H1040" t="str">
            <v>Active</v>
          </cell>
          <cell r="I1040" t="str">
            <v>Narshad,Muhammad Ashik</v>
          </cell>
          <cell r="J1040" t="str">
            <v>DULS</v>
          </cell>
        </row>
        <row r="1041">
          <cell r="A1041">
            <v>205839289</v>
          </cell>
          <cell r="B1041" t="str">
            <v>turinawa</v>
          </cell>
          <cell r="C1041" t="str">
            <v>TURINAWE,AMOS</v>
          </cell>
          <cell r="D1041">
            <v>14534159</v>
          </cell>
          <cell r="E1041">
            <v>1299</v>
          </cell>
          <cell r="F1041" t="str">
            <v>Mon Aug 25 00:00:00 UTC 2025</v>
          </cell>
          <cell r="G1041" t="str">
            <v>3PTY</v>
          </cell>
          <cell r="H1041" t="str">
            <v>Active</v>
          </cell>
          <cell r="I1041" t="str">
            <v>Thomas,Binil</v>
          </cell>
          <cell r="J1041" t="str">
            <v>DULS</v>
          </cell>
        </row>
        <row r="1042">
          <cell r="A1042">
            <v>203736772</v>
          </cell>
          <cell r="B1042" t="str">
            <v>shahidgm</v>
          </cell>
          <cell r="C1042" t="str">
            <v>SHAHID,MOHAMMAD SARFARAZ ANSARI</v>
          </cell>
          <cell r="D1042">
            <v>15268038</v>
          </cell>
          <cell r="E1042">
            <v>1299</v>
          </cell>
          <cell r="F1042" t="str">
            <v>Mon Jul 29 00:00:00 UTC 2024</v>
          </cell>
          <cell r="G1042" t="str">
            <v>3PTY</v>
          </cell>
          <cell r="H1042" t="str">
            <v>Active</v>
          </cell>
          <cell r="I1042" t="str">
            <v>Katyal,Varun</v>
          </cell>
          <cell r="J1042" t="str">
            <v>ADEC</v>
          </cell>
        </row>
        <row r="1043">
          <cell r="A1043">
            <v>203800468</v>
          </cell>
          <cell r="B1043" t="str">
            <v>saoansar</v>
          </cell>
          <cell r="C1043" t="str">
            <v>ANSARI,SAIM</v>
          </cell>
          <cell r="D1043">
            <v>14629025</v>
          </cell>
          <cell r="E1043">
            <v>1299</v>
          </cell>
          <cell r="F1043" t="str">
            <v>Fri Aug 09 00:00:00 UTC 2024</v>
          </cell>
          <cell r="G1043" t="str">
            <v>3PTY</v>
          </cell>
          <cell r="H1043" t="str">
            <v>Active</v>
          </cell>
          <cell r="I1043" t="str">
            <v>POGALA,HAREESH</v>
          </cell>
          <cell r="J1043" t="str">
            <v>KBTS</v>
          </cell>
        </row>
        <row r="1044">
          <cell r="A1044">
            <v>204246604</v>
          </cell>
          <cell r="B1044" t="str">
            <v>amizmoha</v>
          </cell>
          <cell r="C1044" t="str">
            <v>Aminu,Mohammed</v>
          </cell>
          <cell r="D1044">
            <v>13683186</v>
          </cell>
          <cell r="E1044">
            <v>1299</v>
          </cell>
          <cell r="F1044" t="str">
            <v>Mon Oct 14 00:00:00 UTC 2024</v>
          </cell>
          <cell r="G1044" t="str">
            <v>3PTY</v>
          </cell>
          <cell r="H1044" t="str">
            <v>Active</v>
          </cell>
          <cell r="I1044" t="str">
            <v>Katyal,Varun</v>
          </cell>
          <cell r="J1044" t="str">
            <v>QUES</v>
          </cell>
        </row>
        <row r="1045">
          <cell r="A1045">
            <v>205495355</v>
          </cell>
          <cell r="B1045" t="str">
            <v>biyeahe</v>
          </cell>
          <cell r="C1045" t="str">
            <v>BIYEAH,EDWIN</v>
          </cell>
          <cell r="D1045">
            <v>15204042</v>
          </cell>
          <cell r="E1045">
            <v>1299</v>
          </cell>
          <cell r="F1045" t="str">
            <v>Mon Jun 23 00:00:00 UTC 2025</v>
          </cell>
          <cell r="G1045" t="str">
            <v>3PTY</v>
          </cell>
          <cell r="H1045" t="str">
            <v>Active</v>
          </cell>
          <cell r="I1045" t="str">
            <v>Katyal,Varun</v>
          </cell>
          <cell r="J1045" t="str">
            <v>EFSV</v>
          </cell>
        </row>
        <row r="1046">
          <cell r="A1046">
            <v>203800442</v>
          </cell>
          <cell r="B1046" t="str">
            <v>bansmohd</v>
          </cell>
          <cell r="C1046" t="str">
            <v>ANSARI,MOHD ABEJ</v>
          </cell>
          <cell r="D1046">
            <v>15338550</v>
          </cell>
          <cell r="E1046">
            <v>1299</v>
          </cell>
          <cell r="F1046" t="str">
            <v>Fri Aug 09 00:00:00 UTC 2024</v>
          </cell>
          <cell r="G1046" t="str">
            <v>3PTY</v>
          </cell>
          <cell r="H1046" t="str">
            <v>Active</v>
          </cell>
          <cell r="I1046" t="str">
            <v>Rajendran,Ajith Kumar</v>
          </cell>
          <cell r="J1046" t="str">
            <v>KBTS</v>
          </cell>
        </row>
        <row r="1047">
          <cell r="A1047">
            <v>205127248</v>
          </cell>
          <cell r="B1047" t="str">
            <v>wedwinki</v>
          </cell>
          <cell r="C1047" t="str">
            <v>Wandui,Edwin Kimani</v>
          </cell>
          <cell r="D1047">
            <v>11233896</v>
          </cell>
          <cell r="E1047">
            <v>1299</v>
          </cell>
          <cell r="F1047" t="str">
            <v>Thu Apr 10 00:00:00 UTC 2025</v>
          </cell>
          <cell r="G1047" t="str">
            <v>3PTY</v>
          </cell>
          <cell r="H1047" t="str">
            <v>Active</v>
          </cell>
          <cell r="I1047" t="str">
            <v>elrashid,Hassan</v>
          </cell>
          <cell r="J1047" t="str">
            <v>EFSV</v>
          </cell>
        </row>
        <row r="1048">
          <cell r="A1048">
            <v>203800416</v>
          </cell>
          <cell r="B1048" t="str">
            <v>samseran</v>
          </cell>
          <cell r="C1048" t="str">
            <v>ANSARI,SAMSER</v>
          </cell>
          <cell r="D1048">
            <v>12012413</v>
          </cell>
          <cell r="E1048">
            <v>1299</v>
          </cell>
          <cell r="F1048" t="str">
            <v>Fri Aug 09 00:00:00 UTC 2024</v>
          </cell>
          <cell r="G1048" t="str">
            <v>3PTY</v>
          </cell>
          <cell r="H1048" t="str">
            <v>Active</v>
          </cell>
          <cell r="I1048" t="str">
            <v>POGALA,HAREESH</v>
          </cell>
          <cell r="J1048" t="str">
            <v>KBTS</v>
          </cell>
        </row>
        <row r="1049">
          <cell r="A1049">
            <v>204013736</v>
          </cell>
          <cell r="B1049" t="str">
            <v>tabifors</v>
          </cell>
          <cell r="C1049" t="str">
            <v>Tabifor,Sergeo</v>
          </cell>
          <cell r="D1049">
            <v>11945122</v>
          </cell>
          <cell r="E1049">
            <v>1299</v>
          </cell>
          <cell r="F1049" t="str">
            <v>Mon Sep 16 00:00:00 UTC 2024</v>
          </cell>
          <cell r="G1049" t="str">
            <v>3PTY</v>
          </cell>
          <cell r="H1049" t="str">
            <v>Active</v>
          </cell>
          <cell r="I1049" t="str">
            <v>Dinberu,Eden</v>
          </cell>
          <cell r="J1049" t="str">
            <v>FLO</v>
          </cell>
        </row>
        <row r="1050">
          <cell r="A1050">
            <v>206897553</v>
          </cell>
          <cell r="B1050" t="str">
            <v>banjatab</v>
          </cell>
          <cell r="C1050" t="str">
            <v>B JAH,BANJATA</v>
          </cell>
          <cell r="D1050">
            <v>13701673</v>
          </cell>
          <cell r="E1050">
            <v>1299</v>
          </cell>
          <cell r="F1050" t="str">
            <v>Thu Jan 08 00:00:00 UTC 2026</v>
          </cell>
          <cell r="G1050" t="str">
            <v>3PTY</v>
          </cell>
          <cell r="H1050" t="str">
            <v>Active</v>
          </cell>
          <cell r="I1050" t="str">
            <v>Narshad,Muhammad Ashik</v>
          </cell>
          <cell r="J1050" t="str">
            <v>FLO</v>
          </cell>
        </row>
        <row r="1051">
          <cell r="A1051">
            <v>204053439</v>
          </cell>
          <cell r="B1051" t="str">
            <v>moabo</v>
          </cell>
          <cell r="C1051" t="str">
            <v>Abdullah,Mohammed</v>
          </cell>
          <cell r="D1051">
            <v>12998692</v>
          </cell>
          <cell r="E1051">
            <v>1299</v>
          </cell>
          <cell r="F1051" t="str">
            <v>Mon Sep 23 00:00:00 UTC 2024</v>
          </cell>
          <cell r="G1051" t="str">
            <v>3PTY</v>
          </cell>
          <cell r="H1051" t="str">
            <v>Active</v>
          </cell>
          <cell r="I1051" t="str">
            <v>Lakkireddy,Sai Raghavendra Reddy</v>
          </cell>
          <cell r="J1051" t="str">
            <v>ADEC</v>
          </cell>
        </row>
        <row r="1052">
          <cell r="A1052">
            <v>203736781</v>
          </cell>
          <cell r="B1052" t="str">
            <v>zsagramd</v>
          </cell>
          <cell r="C1052" t="str">
            <v>Ramdan,Sagar</v>
          </cell>
          <cell r="D1052">
            <v>15252194</v>
          </cell>
          <cell r="E1052">
            <v>1299</v>
          </cell>
          <cell r="F1052" t="str">
            <v>Mon Jul 29 00:00:00 UTC 2024</v>
          </cell>
          <cell r="G1052" t="str">
            <v>3PTY</v>
          </cell>
          <cell r="H1052" t="str">
            <v>Active</v>
          </cell>
          <cell r="I1052" t="str">
            <v>Katyal,Varun</v>
          </cell>
          <cell r="J1052" t="str">
            <v>ADEC</v>
          </cell>
        </row>
        <row r="1053">
          <cell r="A1053">
            <v>203709595</v>
          </cell>
          <cell r="B1053" t="str">
            <v>moshareb</v>
          </cell>
          <cell r="C1053" t="str">
            <v>SHAREEF KUTTILA,MOHAMMED VALAPPIL</v>
          </cell>
          <cell r="D1053">
            <v>11598997</v>
          </cell>
          <cell r="E1053">
            <v>1299</v>
          </cell>
          <cell r="F1053" t="str">
            <v>Mon Jul 22 00:00:00 UTC 2024</v>
          </cell>
          <cell r="G1053" t="str">
            <v>3PTY</v>
          </cell>
          <cell r="H1053" t="str">
            <v>Active</v>
          </cell>
          <cell r="I1053" t="str">
            <v>Katyal,Varun</v>
          </cell>
          <cell r="J1053" t="str">
            <v>ADEC</v>
          </cell>
        </row>
        <row r="1054">
          <cell r="A1054">
            <v>205845555</v>
          </cell>
          <cell r="B1054" t="str">
            <v>luswatst</v>
          </cell>
          <cell r="C1054" t="str">
            <v>LUSWATA,STEPHEN</v>
          </cell>
          <cell r="D1054">
            <v>14254410</v>
          </cell>
          <cell r="E1054">
            <v>1299</v>
          </cell>
          <cell r="F1054" t="str">
            <v>Mon Aug 25 00:00:00 UTC 2025</v>
          </cell>
          <cell r="G1054" t="str">
            <v>3PTY</v>
          </cell>
          <cell r="H1054" t="str">
            <v>Active</v>
          </cell>
          <cell r="I1054" t="str">
            <v>Ansari,Ammar Abdullah</v>
          </cell>
          <cell r="J1054" t="str">
            <v>DULS</v>
          </cell>
        </row>
        <row r="1055">
          <cell r="A1055">
            <v>206137337</v>
          </cell>
          <cell r="B1055" t="str">
            <v>alisalsu</v>
          </cell>
          <cell r="C1055" t="str">
            <v>Ali Saleh,Suleiman</v>
          </cell>
          <cell r="D1055">
            <v>14253477</v>
          </cell>
          <cell r="E1055">
            <v>1299</v>
          </cell>
          <cell r="F1055" t="str">
            <v>Mon Sep 29 00:00:00 UTC 2025</v>
          </cell>
          <cell r="G1055" t="str">
            <v>3PTY</v>
          </cell>
          <cell r="H1055" t="str">
            <v>Active</v>
          </cell>
          <cell r="I1055" t="str">
            <v>Thomas,Binil</v>
          </cell>
          <cell r="J1055" t="str">
            <v>FLO</v>
          </cell>
        </row>
        <row r="1056">
          <cell r="A1056">
            <v>206137339</v>
          </cell>
          <cell r="B1056" t="str">
            <v>tshomuzh</v>
          </cell>
          <cell r="C1056" t="str">
            <v>SHOMUZHANGA,THERESA</v>
          </cell>
          <cell r="D1056">
            <v>13692594</v>
          </cell>
          <cell r="E1056">
            <v>1299</v>
          </cell>
          <cell r="F1056" t="str">
            <v>Mon Sep 29 00:00:00 UTC 2025</v>
          </cell>
          <cell r="G1056" t="str">
            <v>3PTY</v>
          </cell>
          <cell r="H1056" t="str">
            <v>Active</v>
          </cell>
          <cell r="I1056" t="str">
            <v>Thomas,Binil</v>
          </cell>
          <cell r="J1056" t="str">
            <v>FLO</v>
          </cell>
        </row>
        <row r="1057">
          <cell r="A1057">
            <v>205496019</v>
          </cell>
          <cell r="B1057" t="str">
            <v>rejinaae</v>
          </cell>
          <cell r="C1057" t="str">
            <v>ANNAN,REJINA  ABA</v>
          </cell>
          <cell r="D1057">
            <v>13238885</v>
          </cell>
          <cell r="E1057">
            <v>1299</v>
          </cell>
          <cell r="F1057" t="str">
            <v>Mon Jun 23 00:00:00 UTC 2025</v>
          </cell>
          <cell r="G1057" t="str">
            <v>3PTY</v>
          </cell>
          <cell r="H1057" t="str">
            <v>Active</v>
          </cell>
          <cell r="I1057" t="str">
            <v>Katyal,Varun</v>
          </cell>
          <cell r="J1057" t="str">
            <v>EFSV</v>
          </cell>
        </row>
        <row r="1058">
          <cell r="A1058">
            <v>206604501</v>
          </cell>
          <cell r="B1058" t="str">
            <v>kipkosgj</v>
          </cell>
          <cell r="C1058" t="str">
            <v>KIPKOSGEI,MATHEW KIMELI</v>
          </cell>
          <cell r="D1058">
            <v>11156098</v>
          </cell>
          <cell r="E1058">
            <v>1299</v>
          </cell>
          <cell r="F1058" t="str">
            <v>Mon Nov 17 00:00:00 UTC 2025</v>
          </cell>
          <cell r="G1058" t="str">
            <v>3PTY</v>
          </cell>
          <cell r="H1058" t="str">
            <v>Active</v>
          </cell>
          <cell r="I1058" t="str">
            <v>elrashid,Hassan</v>
          </cell>
          <cell r="J1058" t="str">
            <v>EFSV</v>
          </cell>
        </row>
        <row r="1059">
          <cell r="A1059">
            <v>203908908</v>
          </cell>
          <cell r="B1059" t="str">
            <v>katumbnb</v>
          </cell>
          <cell r="C1059" t="str">
            <v>KATUMBA,NASIB</v>
          </cell>
          <cell r="D1059">
            <v>11527270</v>
          </cell>
          <cell r="E1059">
            <v>1299</v>
          </cell>
          <cell r="F1059" t="str">
            <v>Mon Sep 02 00:00:00 UTC 2024</v>
          </cell>
          <cell r="G1059" t="str">
            <v>3PTY</v>
          </cell>
          <cell r="H1059" t="str">
            <v>Active</v>
          </cell>
          <cell r="I1059" t="str">
            <v>Narshad,Muhammad Ashik</v>
          </cell>
          <cell r="J1059" t="str">
            <v>DULS</v>
          </cell>
        </row>
        <row r="1060">
          <cell r="A1060">
            <v>207572327</v>
          </cell>
          <cell r="B1060" t="str">
            <v>cjunaiij</v>
          </cell>
          <cell r="C1060" t="str">
            <v>Ijaz,Junaid Ijaz Muhammad</v>
          </cell>
          <cell r="D1060">
            <v>15271281</v>
          </cell>
          <cell r="E1060">
            <v>1299</v>
          </cell>
          <cell r="F1060" t="str">
            <v>Tue May 26 00:00:00 UTC 2026</v>
          </cell>
          <cell r="G1060" t="str">
            <v>3PTY</v>
          </cell>
          <cell r="H1060" t="str">
            <v>Active</v>
          </cell>
          <cell r="I1060" t="str">
            <v>Parungao,Priscila Montejo</v>
          </cell>
          <cell r="J1060" t="str">
            <v>VSTG</v>
          </cell>
        </row>
        <row r="1061">
          <cell r="A1061">
            <v>206886735</v>
          </cell>
          <cell r="B1061" t="str">
            <v>mokkwedh</v>
          </cell>
          <cell r="C1061" t="str">
            <v>KWEDI,MOKA EKWALLA</v>
          </cell>
          <cell r="D1061">
            <v>11358909</v>
          </cell>
          <cell r="E1061">
            <v>1299</v>
          </cell>
          <cell r="F1061" t="str">
            <v>Mon Jan 05 00:00:00 UTC 2026</v>
          </cell>
          <cell r="G1061" t="str">
            <v>3PTY</v>
          </cell>
          <cell r="H1061" t="str">
            <v>Active</v>
          </cell>
          <cell r="I1061" t="str">
            <v>Narshad,Muhammad Ashik</v>
          </cell>
          <cell r="J1061" t="str">
            <v>EFSV</v>
          </cell>
        </row>
        <row r="1062">
          <cell r="A1062">
            <v>203816296</v>
          </cell>
          <cell r="B1062" t="str">
            <v>malemuhg</v>
          </cell>
          <cell r="C1062" t="str">
            <v>Male,Muhammed Kiwanuka</v>
          </cell>
          <cell r="D1062">
            <v>188482</v>
          </cell>
          <cell r="E1062">
            <v>1299</v>
          </cell>
          <cell r="F1062" t="str">
            <v>Wed Aug 14 00:00:00 UTC 2024</v>
          </cell>
          <cell r="G1062" t="str">
            <v>3PTY</v>
          </cell>
          <cell r="H1062" t="str">
            <v>Active</v>
          </cell>
          <cell r="I1062" t="str">
            <v>Meera,Bava Bahrudeen</v>
          </cell>
          <cell r="J1062" t="str">
            <v>DULS</v>
          </cell>
        </row>
        <row r="1063">
          <cell r="A1063">
            <v>204010041</v>
          </cell>
          <cell r="B1063" t="str">
            <v>damiakat</v>
          </cell>
          <cell r="C1063" t="str">
            <v>KATO,DAMIANO</v>
          </cell>
          <cell r="D1063">
            <v>13232790</v>
          </cell>
          <cell r="E1063">
            <v>1299</v>
          </cell>
          <cell r="F1063" t="str">
            <v>Mon Sep 16 00:00:00 UTC 2024</v>
          </cell>
          <cell r="G1063" t="str">
            <v>3PTY</v>
          </cell>
          <cell r="H1063" t="str">
            <v>Active</v>
          </cell>
          <cell r="I1063" t="str">
            <v>Scaria,Varghese</v>
          </cell>
          <cell r="J1063" t="str">
            <v>DULS</v>
          </cell>
        </row>
        <row r="1064">
          <cell r="A1064">
            <v>204865037</v>
          </cell>
          <cell r="B1064" t="str">
            <v>cudjoeif</v>
          </cell>
          <cell r="C1064" t="str">
            <v>CUDJOE,FRANCIS</v>
          </cell>
          <cell r="D1064">
            <v>15328958</v>
          </cell>
          <cell r="E1064">
            <v>1299</v>
          </cell>
          <cell r="F1064" t="str">
            <v>Mon Aug 25 00:00:00 UTC 2025</v>
          </cell>
          <cell r="G1064" t="str">
            <v>3PTY</v>
          </cell>
          <cell r="H1064" t="str">
            <v>Active</v>
          </cell>
          <cell r="I1064" t="str">
            <v>Lakkireddy,Sai Raghavendra Reddy</v>
          </cell>
          <cell r="J1064" t="str">
            <v>DULS</v>
          </cell>
        </row>
        <row r="1065">
          <cell r="A1065">
            <v>205848051</v>
          </cell>
          <cell r="B1065" t="str">
            <v>affulben</v>
          </cell>
          <cell r="C1065" t="str">
            <v>AFFUL,BENJAMIN</v>
          </cell>
          <cell r="D1065">
            <v>14008973</v>
          </cell>
          <cell r="E1065">
            <v>1299</v>
          </cell>
          <cell r="F1065" t="str">
            <v>Mon Aug 25 00:00:00 UTC 2025</v>
          </cell>
          <cell r="G1065" t="str">
            <v>3PTY</v>
          </cell>
          <cell r="H1065" t="str">
            <v>Active</v>
          </cell>
          <cell r="I1065" t="str">
            <v>Lakkireddy,Sai Raghavendra Reddy</v>
          </cell>
          <cell r="J1065" t="str">
            <v>EFSV</v>
          </cell>
        </row>
        <row r="1066">
          <cell r="A1066">
            <v>204299070</v>
          </cell>
          <cell r="B1066" t="str">
            <v>naimejes</v>
          </cell>
          <cell r="C1066" t="str">
            <v>Nkurunziza,Aime Jesus</v>
          </cell>
          <cell r="D1066">
            <v>12871964</v>
          </cell>
          <cell r="E1066">
            <v>1299</v>
          </cell>
          <cell r="F1066" t="str">
            <v>Mon Oct 21 00:00:00 UTC 2024</v>
          </cell>
          <cell r="G1066" t="str">
            <v>3PTY</v>
          </cell>
          <cell r="H1066" t="str">
            <v>Active</v>
          </cell>
          <cell r="I1066" t="str">
            <v>Scaria,Varghese</v>
          </cell>
          <cell r="J1066" t="str">
            <v>QUES</v>
          </cell>
        </row>
        <row r="1067">
          <cell r="A1067">
            <v>204868861</v>
          </cell>
          <cell r="B1067" t="str">
            <v>stelasar</v>
          </cell>
          <cell r="C1067" t="str">
            <v>Asare,Stella Nyarko</v>
          </cell>
          <cell r="D1067">
            <v>11074926</v>
          </cell>
          <cell r="E1067">
            <v>1299</v>
          </cell>
          <cell r="F1067" t="str">
            <v>Mon Feb 03 00:00:00 UTC 2025</v>
          </cell>
          <cell r="G1067" t="str">
            <v>3PTY</v>
          </cell>
          <cell r="H1067" t="str">
            <v>Active</v>
          </cell>
          <cell r="I1067" t="str">
            <v>Katyal,Varun</v>
          </cell>
          <cell r="J1067" t="str">
            <v>QUES</v>
          </cell>
        </row>
        <row r="1068">
          <cell r="A1068">
            <v>207282341</v>
          </cell>
          <cell r="B1068" t="str">
            <v>arathikx</v>
          </cell>
          <cell r="C1068" t="str">
            <v>KARICHERY,ARATHI</v>
          </cell>
          <cell r="D1068">
            <v>12145248</v>
          </cell>
          <cell r="E1068">
            <v>1299</v>
          </cell>
          <cell r="F1068" t="str">
            <v>Sat Apr 11 00:00:00 UTC 2026</v>
          </cell>
          <cell r="G1068" t="str">
            <v>3PTY</v>
          </cell>
          <cell r="H1068" t="str">
            <v>Active</v>
          </cell>
          <cell r="I1068" t="str">
            <v>Joshi,Anirudh</v>
          </cell>
          <cell r="J1068" t="str">
            <v>EFSV</v>
          </cell>
        </row>
        <row r="1069">
          <cell r="A1069">
            <v>203816295</v>
          </cell>
          <cell r="B1069" t="str">
            <v>posiblji</v>
          </cell>
          <cell r="C1069" t="str">
            <v>Jingo,Posible</v>
          </cell>
          <cell r="D1069">
            <v>14287779</v>
          </cell>
          <cell r="E1069">
            <v>1299</v>
          </cell>
          <cell r="F1069" t="str">
            <v>Tue Aug 20 00:00:00 UTC 2024</v>
          </cell>
          <cell r="G1069" t="str">
            <v>3PTY</v>
          </cell>
          <cell r="H1069" t="str">
            <v>Active</v>
          </cell>
          <cell r="I1069" t="str">
            <v>Katyal,Varun</v>
          </cell>
          <cell r="J1069" t="str">
            <v>DULS</v>
          </cell>
        </row>
        <row r="1070">
          <cell r="A1070">
            <v>206953801</v>
          </cell>
          <cell r="B1070" t="str">
            <v>jkusasir</v>
          </cell>
          <cell r="C1070" t="str">
            <v>KUSASIRA,JOSEPHATE</v>
          </cell>
          <cell r="D1070">
            <v>11568637</v>
          </cell>
          <cell r="E1070">
            <v>1299</v>
          </cell>
          <cell r="F1070" t="str">
            <v>Wed Jan 28 00:00:00 UTC 2026</v>
          </cell>
          <cell r="G1070" t="str">
            <v>3PTY</v>
          </cell>
          <cell r="H1070" t="str">
            <v>Active</v>
          </cell>
          <cell r="I1070" t="str">
            <v>Katyal,Varun</v>
          </cell>
          <cell r="J1070" t="str">
            <v>DULS</v>
          </cell>
        </row>
        <row r="1071">
          <cell r="A1071">
            <v>203342654</v>
          </cell>
          <cell r="B1071" t="str">
            <v>qcatampa</v>
          </cell>
          <cell r="C1071" t="str">
            <v>TAMPA,CARINTINE</v>
          </cell>
          <cell r="D1071">
            <v>11467261</v>
          </cell>
          <cell r="E1071">
            <v>1299</v>
          </cell>
          <cell r="F1071" t="str">
            <v>Mon May 20 00:00:00 UTC 2024</v>
          </cell>
          <cell r="G1071" t="str">
            <v>3PTY</v>
          </cell>
          <cell r="H1071" t="str">
            <v>Active</v>
          </cell>
          <cell r="I1071" t="str">
            <v>Lakkireddy,Sai Raghavendra Reddy</v>
          </cell>
          <cell r="J1071" t="str">
            <v>ADEC</v>
          </cell>
        </row>
        <row r="1072">
          <cell r="A1072">
            <v>205845554</v>
          </cell>
          <cell r="B1072" t="str">
            <v>yusufoke</v>
          </cell>
          <cell r="C1072" t="str">
            <v>OKELLO,YUSUF</v>
          </cell>
          <cell r="D1072">
            <v>14491832</v>
          </cell>
          <cell r="E1072">
            <v>1299</v>
          </cell>
          <cell r="F1072" t="str">
            <v>Mon Aug 25 00:00:00 UTC 2025</v>
          </cell>
          <cell r="G1072" t="str">
            <v>3PTY</v>
          </cell>
          <cell r="H1072" t="str">
            <v>Active</v>
          </cell>
          <cell r="I1072" t="str">
            <v>Thomas,Binil</v>
          </cell>
          <cell r="J1072" t="str">
            <v>DULS</v>
          </cell>
        </row>
        <row r="1073">
          <cell r="A1073">
            <v>203468401</v>
          </cell>
          <cell r="B1073" t="str">
            <v>francpam</v>
          </cell>
          <cell r="C1073" t="str">
            <v>Ampong,Francis</v>
          </cell>
          <cell r="D1073">
            <v>274650</v>
          </cell>
          <cell r="E1073">
            <v>1299</v>
          </cell>
          <cell r="F1073" t="str">
            <v>Thu Jun 13 00:00:00 UTC 2024</v>
          </cell>
          <cell r="G1073" t="str">
            <v>3PTY</v>
          </cell>
          <cell r="H1073" t="str">
            <v>Active</v>
          </cell>
          <cell r="I1073" t="str">
            <v>Katyal,Varun</v>
          </cell>
          <cell r="J1073" t="str">
            <v>FLO</v>
          </cell>
        </row>
        <row r="1074">
          <cell r="A1074">
            <v>203800443</v>
          </cell>
          <cell r="B1074" t="str">
            <v>remmagra</v>
          </cell>
          <cell r="C1074" t="str">
            <v>RAJ,REMMA</v>
          </cell>
          <cell r="D1074">
            <v>11718296</v>
          </cell>
          <cell r="E1074">
            <v>1299</v>
          </cell>
          <cell r="F1074" t="str">
            <v>Fri Aug 09 00:00:00 UTC 2024</v>
          </cell>
          <cell r="G1074" t="str">
            <v>3PTY</v>
          </cell>
          <cell r="H1074" t="str">
            <v>Active</v>
          </cell>
          <cell r="I1074" t="str">
            <v>Rajendran,Ajith Kumar</v>
          </cell>
          <cell r="J1074" t="str">
            <v>KBTS</v>
          </cell>
        </row>
        <row r="1075">
          <cell r="A1075">
            <v>205108378</v>
          </cell>
          <cell r="B1075" t="str">
            <v>vadhipuj</v>
          </cell>
          <cell r="C1075" t="str">
            <v>Adhikari Bhatta,Puja</v>
          </cell>
          <cell r="D1075">
            <v>13207407</v>
          </cell>
          <cell r="E1075">
            <v>1712</v>
          </cell>
          <cell r="F1075" t="str">
            <v>Thu Apr 03 00:00:00 UTC 2025</v>
          </cell>
          <cell r="G1075" t="str">
            <v>3PTY</v>
          </cell>
          <cell r="H1075" t="str">
            <v>Active</v>
          </cell>
          <cell r="I1075" t="str">
            <v>POGALA,HAREESH</v>
          </cell>
          <cell r="J1075" t="str">
            <v>KBTS</v>
          </cell>
        </row>
        <row r="1076">
          <cell r="A1076">
            <v>203285820</v>
          </cell>
          <cell r="B1076" t="str">
            <v>atuajose</v>
          </cell>
          <cell r="C1076" t="str">
            <v>Atuahene,Joseph</v>
          </cell>
          <cell r="D1076">
            <v>14815433</v>
          </cell>
          <cell r="E1076">
            <v>1299</v>
          </cell>
          <cell r="F1076" t="str">
            <v>Thu Sep 26 00:00:00 UTC 2024</v>
          </cell>
          <cell r="G1076" t="str">
            <v>3PTY</v>
          </cell>
          <cell r="H1076" t="str">
            <v>Active</v>
          </cell>
          <cell r="I1076" t="str">
            <v>Scaria,Varghese</v>
          </cell>
          <cell r="J1076" t="str">
            <v>FLO</v>
          </cell>
        </row>
        <row r="1077">
          <cell r="A1077">
            <v>204246172</v>
          </cell>
          <cell r="B1077" t="str">
            <v>dogfranc</v>
          </cell>
          <cell r="C1077" t="str">
            <v>Dogli,Francis Yaw</v>
          </cell>
          <cell r="D1077">
            <v>14637465</v>
          </cell>
          <cell r="E1077">
            <v>1299</v>
          </cell>
          <cell r="F1077" t="str">
            <v>Mon Dec 29 00:00:00 UTC 2025</v>
          </cell>
          <cell r="G1077" t="str">
            <v>3PTY</v>
          </cell>
          <cell r="H1077" t="str">
            <v>Active</v>
          </cell>
          <cell r="I1077" t="str">
            <v>Sohail,Anis</v>
          </cell>
          <cell r="J1077" t="str">
            <v>QUES</v>
          </cell>
        </row>
        <row r="1078">
          <cell r="A1078">
            <v>203850646</v>
          </cell>
          <cell r="B1078" t="str">
            <v>abrajnse</v>
          </cell>
          <cell r="C1078" t="str">
            <v>Nsengiunva,Abraham</v>
          </cell>
          <cell r="D1078">
            <v>15146525</v>
          </cell>
          <cell r="E1078">
            <v>1299</v>
          </cell>
          <cell r="F1078" t="str">
            <v>Tue Aug 20 00:00:00 UTC 2024</v>
          </cell>
          <cell r="G1078" t="str">
            <v>3PTY</v>
          </cell>
          <cell r="H1078" t="str">
            <v>Active</v>
          </cell>
          <cell r="I1078" t="str">
            <v>Katyal,Varun</v>
          </cell>
          <cell r="J1078" t="str">
            <v>DULS</v>
          </cell>
        </row>
        <row r="1079">
          <cell r="A1079">
            <v>203993281</v>
          </cell>
          <cell r="B1079" t="str">
            <v>turaisha</v>
          </cell>
          <cell r="C1079" t="str">
            <v>Turay,Isha</v>
          </cell>
          <cell r="D1079">
            <v>13120967</v>
          </cell>
          <cell r="E1079">
            <v>1299</v>
          </cell>
          <cell r="F1079" t="str">
            <v>Thu Sep 12 00:00:00 UTC 2024</v>
          </cell>
          <cell r="G1079" t="str">
            <v>3PTY</v>
          </cell>
          <cell r="H1079" t="str">
            <v>Active</v>
          </cell>
          <cell r="I1079" t="str">
            <v>Lakkireddy,Sai Raghavendra Reddy</v>
          </cell>
          <cell r="J1079" t="str">
            <v>FLO</v>
          </cell>
        </row>
        <row r="1080">
          <cell r="A1080">
            <v>203800778</v>
          </cell>
          <cell r="B1080" t="str">
            <v>mohanjhp</v>
          </cell>
          <cell r="C1080" t="str">
            <v>JHA,MOHAN KUMAR</v>
          </cell>
          <cell r="D1080">
            <v>13500715</v>
          </cell>
          <cell r="E1080">
            <v>1299</v>
          </cell>
          <cell r="F1080" t="str">
            <v>Mon Jan 27 00:00:00 UTC 2025</v>
          </cell>
          <cell r="G1080" t="str">
            <v>3PTY</v>
          </cell>
          <cell r="H1080" t="str">
            <v>Active</v>
          </cell>
          <cell r="I1080" t="str">
            <v>Thomas,Binil</v>
          </cell>
          <cell r="J1080" t="str">
            <v>DULS</v>
          </cell>
        </row>
        <row r="1081">
          <cell r="A1081">
            <v>203341964</v>
          </cell>
          <cell r="B1081" t="str">
            <v>ampritac</v>
          </cell>
          <cell r="C1081" t="str">
            <v>AMPONSAH,RITA ABBIW</v>
          </cell>
          <cell r="D1081">
            <v>15065586</v>
          </cell>
          <cell r="E1081">
            <v>1299</v>
          </cell>
          <cell r="F1081" t="str">
            <v>Mon May 20 00:00:00 UTC 2024</v>
          </cell>
          <cell r="G1081" t="str">
            <v>3PTY</v>
          </cell>
          <cell r="H1081" t="str">
            <v>Active</v>
          </cell>
          <cell r="I1081" t="str">
            <v>Narshad,Muhammad Ashik</v>
          </cell>
          <cell r="J1081" t="str">
            <v>ADEC</v>
          </cell>
        </row>
        <row r="1082">
          <cell r="A1082">
            <v>206450389</v>
          </cell>
          <cell r="B1082" t="str">
            <v>narayrip</v>
          </cell>
          <cell r="C1082" t="str">
            <v>Narayan Das,Ripon Das</v>
          </cell>
          <cell r="D1082">
            <v>14495710</v>
          </cell>
          <cell r="E1082">
            <v>1299</v>
          </cell>
          <cell r="F1082" t="str">
            <v>Sat Nov 01 00:00:00 UTC 2025</v>
          </cell>
          <cell r="G1082" t="str">
            <v>3PTY</v>
          </cell>
          <cell r="H1082" t="str">
            <v>Active</v>
          </cell>
          <cell r="I1082" t="str">
            <v>Parungao,Priscila Montejo</v>
          </cell>
          <cell r="J1082" t="str">
            <v>STWC</v>
          </cell>
        </row>
        <row r="1083">
          <cell r="A1083">
            <v>205608621</v>
          </cell>
          <cell r="B1083" t="str">
            <v>abkwaben</v>
          </cell>
          <cell r="C1083" t="str">
            <v>ABOBIRE,KWABENA</v>
          </cell>
          <cell r="D1083">
            <v>14250349</v>
          </cell>
          <cell r="E1083">
            <v>1299</v>
          </cell>
          <cell r="F1083" t="str">
            <v>Mon Jul 07 00:00:00 UTC 2025</v>
          </cell>
          <cell r="G1083" t="str">
            <v>3PTY</v>
          </cell>
          <cell r="H1083" t="str">
            <v>Active</v>
          </cell>
          <cell r="I1083" t="str">
            <v>Katyal,Varun</v>
          </cell>
          <cell r="J1083" t="str">
            <v>DULS</v>
          </cell>
        </row>
        <row r="1084">
          <cell r="A1084">
            <v>207759311</v>
          </cell>
          <cell r="B1084" t="str">
            <v>sanbisha</v>
          </cell>
          <cell r="C1084" t="str">
            <v>sangraula,Bishal</v>
          </cell>
          <cell r="D1084">
            <v>11120925</v>
          </cell>
          <cell r="E1084">
            <v>1316</v>
          </cell>
          <cell r="F1084" t="str">
            <v>Tue Jun 16 00:00:00 UTC 2026</v>
          </cell>
          <cell r="G1084" t="str">
            <v>3PTY</v>
          </cell>
          <cell r="H1084" t="str">
            <v>Active</v>
          </cell>
          <cell r="I1084" t="str">
            <v>Akhtar,Muhammad Zohaib</v>
          </cell>
          <cell r="J1084" t="str">
            <v>WOFZ</v>
          </cell>
        </row>
        <row r="1085">
          <cell r="A1085">
            <v>205852638</v>
          </cell>
          <cell r="B1085" t="str">
            <v>kimufrid</v>
          </cell>
          <cell r="C1085" t="str">
            <v>KIMUNJOS,FRIDAH</v>
          </cell>
          <cell r="D1085">
            <v>13745883</v>
          </cell>
          <cell r="E1085">
            <v>1299</v>
          </cell>
          <cell r="F1085" t="str">
            <v>Mon Aug 25 00:00:00 UTC 2025</v>
          </cell>
          <cell r="G1085" t="str">
            <v>3PTY</v>
          </cell>
          <cell r="H1085" t="str">
            <v>Active</v>
          </cell>
          <cell r="I1085" t="str">
            <v>Scaria,Varghese</v>
          </cell>
          <cell r="J1085" t="str">
            <v>EFSV</v>
          </cell>
        </row>
        <row r="1086">
          <cell r="A1086">
            <v>207419486</v>
          </cell>
          <cell r="B1086" t="str">
            <v>yurbudh</v>
          </cell>
          <cell r="C1086" t="str">
            <v>BUDHA,YURAJ</v>
          </cell>
          <cell r="D1086">
            <v>13868700</v>
          </cell>
          <cell r="E1086">
            <v>1712</v>
          </cell>
          <cell r="F1086" t="str">
            <v>Sat May 02 00:00:00 UTC 2026</v>
          </cell>
          <cell r="G1086" t="str">
            <v>3PTY</v>
          </cell>
          <cell r="H1086" t="str">
            <v>Active</v>
          </cell>
          <cell r="I1086" t="str">
            <v>Rizvan,Mohamed</v>
          </cell>
          <cell r="J1086" t="str">
            <v>KBTS</v>
          </cell>
        </row>
        <row r="1087">
          <cell r="A1087">
            <v>203555845</v>
          </cell>
          <cell r="B1087" t="str">
            <v>visdasab</v>
          </cell>
          <cell r="C1087" t="str">
            <v>DASAN,VISHNU NELLOOLIPADIKKAL</v>
          </cell>
          <cell r="D1087">
            <v>15146378</v>
          </cell>
          <cell r="E1087">
            <v>1299</v>
          </cell>
          <cell r="F1087" t="str">
            <v>Thu Jun 27 00:00:00 UTC 2024</v>
          </cell>
          <cell r="G1087" t="str">
            <v>3PTY</v>
          </cell>
          <cell r="H1087" t="str">
            <v>Active</v>
          </cell>
          <cell r="I1087" t="str">
            <v>Narshad,Muhammad Ashik</v>
          </cell>
          <cell r="J1087" t="str">
            <v>ADEC</v>
          </cell>
        </row>
        <row r="1088">
          <cell r="A1088">
            <v>205231273</v>
          </cell>
          <cell r="B1088" t="str">
            <v>gunasgur</v>
          </cell>
          <cell r="C1088" t="str">
            <v>Gunasekaran,Guruprasath</v>
          </cell>
          <cell r="D1088">
            <v>13331622</v>
          </cell>
          <cell r="E1088">
            <v>1711</v>
          </cell>
          <cell r="F1088" t="str">
            <v>Thu May 01 00:00:00 UTC 2025</v>
          </cell>
          <cell r="G1088" t="str">
            <v>3PTY</v>
          </cell>
          <cell r="H1088" t="str">
            <v>Active</v>
          </cell>
          <cell r="I1088" t="str">
            <v>Abdul Hakkim,Muhammed</v>
          </cell>
          <cell r="J1088" t="str">
            <v>KBTS</v>
          </cell>
        </row>
        <row r="1089">
          <cell r="A1089">
            <v>204117684</v>
          </cell>
          <cell r="B1089" t="str">
            <v>matilove</v>
          </cell>
          <cell r="C1089" t="str">
            <v>Matika,Lovejoy</v>
          </cell>
          <cell r="D1089">
            <v>13095598</v>
          </cell>
          <cell r="E1089">
            <v>1299</v>
          </cell>
          <cell r="F1089" t="str">
            <v>Thu Sep 26 00:00:00 UTC 2024</v>
          </cell>
          <cell r="G1089" t="str">
            <v>3PTY</v>
          </cell>
          <cell r="H1089" t="str">
            <v>Active</v>
          </cell>
          <cell r="I1089" t="str">
            <v>Thomas,Binil</v>
          </cell>
          <cell r="J1089" t="str">
            <v>QUES</v>
          </cell>
        </row>
        <row r="1090">
          <cell r="A1090">
            <v>203521137</v>
          </cell>
          <cell r="B1090" t="str">
            <v>earbajen</v>
          </cell>
          <cell r="C1090" t="str">
            <v>Arbah,Jennifer</v>
          </cell>
          <cell r="D1090">
            <v>11725247</v>
          </cell>
          <cell r="E1090">
            <v>1299</v>
          </cell>
          <cell r="F1090" t="str">
            <v>Thu Jun 20 00:00:00 UTC 2024</v>
          </cell>
          <cell r="G1090" t="str">
            <v>3PTY</v>
          </cell>
          <cell r="H1090" t="str">
            <v>Active</v>
          </cell>
          <cell r="I1090" t="str">
            <v>Narshad,Muhammad Ashik</v>
          </cell>
          <cell r="J1090" t="str">
            <v>FLO</v>
          </cell>
        </row>
        <row r="1091">
          <cell r="A1091">
            <v>205647835</v>
          </cell>
          <cell r="B1091" t="str">
            <v>ustemain</v>
          </cell>
          <cell r="C1091" t="str">
            <v>Maina,Steve Mbugua</v>
          </cell>
          <cell r="D1091">
            <v>15339132</v>
          </cell>
          <cell r="E1091">
            <v>1299</v>
          </cell>
          <cell r="F1091" t="str">
            <v>Mon Jul 14 00:00:00 UTC 2025</v>
          </cell>
          <cell r="G1091" t="str">
            <v>3PTY</v>
          </cell>
          <cell r="H1091" t="str">
            <v>Active</v>
          </cell>
          <cell r="I1091" t="str">
            <v>Meera,Bava Bahrudeen</v>
          </cell>
          <cell r="J1091" t="str">
            <v>EFSV</v>
          </cell>
        </row>
        <row r="1092">
          <cell r="A1092">
            <v>203965458</v>
          </cell>
          <cell r="B1092" t="str">
            <v>apodehan</v>
          </cell>
          <cell r="C1092" t="str">
            <v>Apodei Agudey,Hans</v>
          </cell>
          <cell r="D1092">
            <v>12306719</v>
          </cell>
          <cell r="E1092">
            <v>1299</v>
          </cell>
          <cell r="F1092" t="str">
            <v>Mon Sep 09 00:00:00 UTC 2024</v>
          </cell>
          <cell r="G1092" t="str">
            <v>3PTY</v>
          </cell>
          <cell r="H1092" t="str">
            <v>Active</v>
          </cell>
          <cell r="I1092" t="str">
            <v>Lakkireddy,Sai Raghavendra Reddy</v>
          </cell>
          <cell r="J1092" t="str">
            <v>FLO</v>
          </cell>
        </row>
        <row r="1093">
          <cell r="A1093">
            <v>206072867</v>
          </cell>
          <cell r="B1093" t="str">
            <v>ngabirco</v>
          </cell>
          <cell r="C1093" t="str">
            <v>Ngabirano,Cosma</v>
          </cell>
          <cell r="D1093">
            <v>11983881</v>
          </cell>
          <cell r="E1093">
            <v>1299</v>
          </cell>
          <cell r="F1093" t="str">
            <v>Mon Sep 22 00:00:00 UTC 2025</v>
          </cell>
          <cell r="G1093" t="str">
            <v>3PTY</v>
          </cell>
          <cell r="H1093" t="str">
            <v>Active</v>
          </cell>
          <cell r="I1093" t="str">
            <v>Sohail,Anis</v>
          </cell>
          <cell r="J1093" t="str">
            <v>FLO</v>
          </cell>
        </row>
        <row r="1094">
          <cell r="A1094">
            <v>204967052</v>
          </cell>
          <cell r="B1094" t="str">
            <v>malkmaha</v>
          </cell>
          <cell r="C1094" t="str">
            <v>MAHAMA,MALIK</v>
          </cell>
          <cell r="D1094">
            <v>11231168</v>
          </cell>
          <cell r="E1094">
            <v>1299</v>
          </cell>
          <cell r="F1094" t="str">
            <v>Mon Mar 03 00:00:00 UTC 2025</v>
          </cell>
          <cell r="G1094" t="str">
            <v>3PTY</v>
          </cell>
          <cell r="H1094" t="str">
            <v>Active</v>
          </cell>
          <cell r="I1094" t="str">
            <v>Lakkireddy,Sai Raghavendra Reddy</v>
          </cell>
          <cell r="J1094" t="str">
            <v>DULS</v>
          </cell>
        </row>
        <row r="1095">
          <cell r="A1095">
            <v>204299562</v>
          </cell>
          <cell r="B1095" t="str">
            <v>alectilo</v>
          </cell>
          <cell r="C1095" t="str">
            <v>Tilowakuti,Alec</v>
          </cell>
          <cell r="D1095">
            <v>14035522</v>
          </cell>
          <cell r="E1095">
            <v>1299</v>
          </cell>
          <cell r="F1095" t="str">
            <v>Mon Oct 21 00:00:00 UTC 2024</v>
          </cell>
          <cell r="G1095" t="str">
            <v>3PTY</v>
          </cell>
          <cell r="H1095" t="str">
            <v>Active</v>
          </cell>
          <cell r="I1095" t="str">
            <v>Sohail,Anis</v>
          </cell>
          <cell r="J1095" t="str">
            <v>QUES</v>
          </cell>
        </row>
        <row r="1096">
          <cell r="A1096">
            <v>204869088</v>
          </cell>
          <cell r="B1096" t="str">
            <v>maththum</v>
          </cell>
          <cell r="C1096" t="str">
            <v>Mathe,Thumelo Ethan</v>
          </cell>
          <cell r="D1096">
            <v>14809884</v>
          </cell>
          <cell r="E1096">
            <v>1299</v>
          </cell>
          <cell r="F1096" t="str">
            <v>Mon Feb 03 00:00:00 UTC 2025</v>
          </cell>
          <cell r="G1096" t="str">
            <v>3PTY</v>
          </cell>
          <cell r="H1096" t="str">
            <v>Active</v>
          </cell>
          <cell r="I1096" t="str">
            <v>Katyal,Varun</v>
          </cell>
          <cell r="J1096" t="str">
            <v>QUES</v>
          </cell>
        </row>
        <row r="1097">
          <cell r="A1097">
            <v>207799317</v>
          </cell>
          <cell r="B1097" t="str">
            <v>hrvaibha</v>
          </cell>
          <cell r="C1097" t="str">
            <v>Vaibhav,Ram Ram</v>
          </cell>
          <cell r="D1097">
            <v>15318250</v>
          </cell>
          <cell r="E1097">
            <v>1712</v>
          </cell>
          <cell r="F1097" t="str">
            <v>Mon Jun 22 00:00:00 UTC 2026</v>
          </cell>
          <cell r="G1097" t="str">
            <v>3PTY</v>
          </cell>
          <cell r="H1097" t="str">
            <v>Active</v>
          </cell>
          <cell r="I1097" t="str">
            <v>Raynold,Shine</v>
          </cell>
          <cell r="J1097" t="str">
            <v>KBTS</v>
          </cell>
        </row>
        <row r="1098">
          <cell r="A1098">
            <v>206850964</v>
          </cell>
          <cell r="B1098" t="str">
            <v>akaminno</v>
          </cell>
          <cell r="C1098" t="str">
            <v>AKAMPA,INNOCENT</v>
          </cell>
          <cell r="D1098">
            <v>14201396</v>
          </cell>
          <cell r="E1098">
            <v>1299</v>
          </cell>
          <cell r="F1098" t="str">
            <v>Mon Dec 22 00:00:00 UTC 2025</v>
          </cell>
          <cell r="G1098" t="str">
            <v>3PTY</v>
          </cell>
          <cell r="H1098" t="str">
            <v>Active</v>
          </cell>
          <cell r="I1098" t="str">
            <v>Narshad,Muhammad Ashik</v>
          </cell>
          <cell r="J1098" t="str">
            <v>DULS</v>
          </cell>
        </row>
        <row r="1099">
          <cell r="A1099">
            <v>203908885</v>
          </cell>
          <cell r="B1099" t="str">
            <v>tsindijo</v>
          </cell>
          <cell r="C1099" t="str">
            <v>TSINDIKA,JOCKUS</v>
          </cell>
          <cell r="D1099">
            <v>15153445</v>
          </cell>
          <cell r="E1099">
            <v>1299</v>
          </cell>
          <cell r="F1099" t="str">
            <v>Mon Sep 02 00:00:00 UTC 2024</v>
          </cell>
          <cell r="G1099" t="str">
            <v>3PTY</v>
          </cell>
          <cell r="H1099" t="str">
            <v>Active</v>
          </cell>
          <cell r="I1099" t="str">
            <v>Thomas,Binil</v>
          </cell>
          <cell r="J1099" t="str">
            <v>DULS</v>
          </cell>
        </row>
        <row r="1100">
          <cell r="A1100">
            <v>203342030</v>
          </cell>
          <cell r="B1100" t="str">
            <v>avinkorm</v>
          </cell>
          <cell r="C1100" t="str">
            <v>KORUKONDA,AVINASH KORUKONDA</v>
          </cell>
          <cell r="D1100">
            <v>14662172</v>
          </cell>
          <cell r="E1100">
            <v>1299</v>
          </cell>
          <cell r="F1100" t="str">
            <v>Mon May 20 00:00:00 UTC 2024</v>
          </cell>
          <cell r="G1100" t="str">
            <v>3PTY</v>
          </cell>
          <cell r="H1100" t="str">
            <v>Active</v>
          </cell>
          <cell r="I1100" t="str">
            <v>Narshad,Muhammad Ashik</v>
          </cell>
          <cell r="J1100" t="str">
            <v>ADEC</v>
          </cell>
        </row>
        <row r="1101">
          <cell r="A1101">
            <v>205323362</v>
          </cell>
          <cell r="B1101" t="str">
            <v>ashfnkha</v>
          </cell>
          <cell r="C1101" t="str">
            <v>Khan,Ashfaq Ahmad Mira</v>
          </cell>
          <cell r="D1101">
            <v>11308073</v>
          </cell>
          <cell r="E1101">
            <v>1287</v>
          </cell>
          <cell r="F1101" t="str">
            <v>Fri May 23 00:00:00 UTC 2025</v>
          </cell>
          <cell r="G1101" t="str">
            <v>3PTY</v>
          </cell>
          <cell r="H1101" t="str">
            <v>Active</v>
          </cell>
          <cell r="I1101" t="str">
            <v>Ouseph,Vinu</v>
          </cell>
          <cell r="J1101" t="str">
            <v>MOIZ</v>
          </cell>
        </row>
        <row r="1102">
          <cell r="A1102">
            <v>206926474</v>
          </cell>
          <cell r="B1102" t="str">
            <v>awudkale</v>
          </cell>
          <cell r="C1102" t="str">
            <v>KALENZI,AWUDU</v>
          </cell>
          <cell r="D1102">
            <v>11434801</v>
          </cell>
          <cell r="E1102">
            <v>1299</v>
          </cell>
          <cell r="F1102" t="str">
            <v>Thu Jan 15 00:00:00 UTC 2026</v>
          </cell>
          <cell r="G1102" t="str">
            <v>3PTY</v>
          </cell>
          <cell r="H1102" t="str">
            <v>Active</v>
          </cell>
          <cell r="I1102" t="str">
            <v>Lakkireddy,Sai Raghavendra Reddy</v>
          </cell>
          <cell r="J1102" t="str">
            <v>DULS</v>
          </cell>
        </row>
        <row r="1103">
          <cell r="A1103">
            <v>206504132</v>
          </cell>
          <cell r="B1103" t="str">
            <v>ssegilbe</v>
          </cell>
          <cell r="C1103" t="str">
            <v>SSEMBOGGA,GILBERT</v>
          </cell>
          <cell r="D1103">
            <v>15245859</v>
          </cell>
          <cell r="E1103">
            <v>1299</v>
          </cell>
          <cell r="F1103" t="str">
            <v>Mon Nov 10 00:00:00 UTC 2025</v>
          </cell>
          <cell r="G1103" t="str">
            <v>3PTY</v>
          </cell>
          <cell r="H1103" t="str">
            <v>Active</v>
          </cell>
          <cell r="I1103" t="str">
            <v>Katyal,Varun</v>
          </cell>
          <cell r="J1103" t="str">
            <v>DULS</v>
          </cell>
        </row>
        <row r="1104">
          <cell r="A1104">
            <v>203815016</v>
          </cell>
          <cell r="B1104" t="str">
            <v>ansariqk</v>
          </cell>
          <cell r="C1104" t="str">
            <v>Ansari,Kalamuddin</v>
          </cell>
          <cell r="D1104">
            <v>12274591</v>
          </cell>
          <cell r="E1104">
            <v>1299</v>
          </cell>
          <cell r="F1104" t="str">
            <v>Mon Aug 12 00:00:00 UTC 2024</v>
          </cell>
          <cell r="G1104" t="str">
            <v>3PTY</v>
          </cell>
          <cell r="H1104" t="str">
            <v>Active</v>
          </cell>
          <cell r="I1104" t="str">
            <v>Adhikari,Nayab</v>
          </cell>
          <cell r="J1104" t="str">
            <v>TDTS</v>
          </cell>
        </row>
        <row r="1105">
          <cell r="A1105">
            <v>205477618</v>
          </cell>
          <cell r="B1105" t="str">
            <v>alusikor</v>
          </cell>
          <cell r="C1105" t="str">
            <v>KOROMA,ALUSINE</v>
          </cell>
          <cell r="D1105">
            <v>13867546</v>
          </cell>
          <cell r="E1105">
            <v>1299</v>
          </cell>
          <cell r="F1105" t="str">
            <v>Mon Jun 23 00:00:00 UTC 2025</v>
          </cell>
          <cell r="G1105" t="str">
            <v>3PTY</v>
          </cell>
          <cell r="H1105" t="str">
            <v>Active</v>
          </cell>
          <cell r="I1105" t="str">
            <v>Katyal,Varun</v>
          </cell>
          <cell r="J1105" t="str">
            <v>DULS</v>
          </cell>
        </row>
        <row r="1106">
          <cell r="A1106">
            <v>205231263</v>
          </cell>
          <cell r="B1106" t="str">
            <v>kartbmut</v>
          </cell>
          <cell r="C1106" t="str">
            <v>Muthukumar,Karthickeyan</v>
          </cell>
          <cell r="D1106">
            <v>11655510</v>
          </cell>
          <cell r="E1106">
            <v>1711</v>
          </cell>
          <cell r="F1106" t="str">
            <v>Thu May 01 00:00:00 UTC 2025</v>
          </cell>
          <cell r="G1106" t="str">
            <v>3PTY</v>
          </cell>
          <cell r="H1106" t="str">
            <v>Active</v>
          </cell>
          <cell r="I1106" t="str">
            <v>Abdul Hakkim,Muhammed</v>
          </cell>
          <cell r="J1106" t="str">
            <v>KBTS</v>
          </cell>
        </row>
        <row r="1107">
          <cell r="A1107">
            <v>206247771</v>
          </cell>
          <cell r="B1107" t="str">
            <v>depporah</v>
          </cell>
          <cell r="C1107" t="str">
            <v>Samwel,Depporah Nyamusi</v>
          </cell>
          <cell r="D1107">
            <v>14405567</v>
          </cell>
          <cell r="E1107">
            <v>1299</v>
          </cell>
          <cell r="F1107" t="str">
            <v>Thu Jul 23 00:00:00 UTC 2026</v>
          </cell>
          <cell r="G1107" t="str">
            <v>3PTY</v>
          </cell>
          <cell r="H1107" t="str">
            <v>Active</v>
          </cell>
          <cell r="I1107" t="str">
            <v>Thomas,Binil</v>
          </cell>
          <cell r="J1107" t="str">
            <v>EFSV</v>
          </cell>
        </row>
        <row r="1108">
          <cell r="A1108">
            <v>206015634</v>
          </cell>
          <cell r="B1108" t="str">
            <v>umarkas</v>
          </cell>
          <cell r="C1108" t="str">
            <v>Umar,Kassim</v>
          </cell>
          <cell r="D1108">
            <v>14215662</v>
          </cell>
          <cell r="E1108">
            <v>1299</v>
          </cell>
          <cell r="F1108" t="str">
            <v>Mon Sep 15 00:00:00 UTC 2025</v>
          </cell>
          <cell r="G1108" t="str">
            <v>3PTY</v>
          </cell>
          <cell r="H1108" t="str">
            <v>Active</v>
          </cell>
          <cell r="I1108" t="str">
            <v>Katyal,Varun</v>
          </cell>
          <cell r="J1108" t="str">
            <v>FLO</v>
          </cell>
        </row>
        <row r="1109">
          <cell r="A1109">
            <v>205214478</v>
          </cell>
          <cell r="B1109" t="str">
            <v>rsaphari</v>
          </cell>
          <cell r="C1109" t="str">
            <v>Harijan,Sappu</v>
          </cell>
          <cell r="D1109">
            <v>13399840</v>
          </cell>
          <cell r="E1109">
            <v>1712</v>
          </cell>
          <cell r="F1109" t="str">
            <v>Sun Apr 27 00:00:00 UTC 2025</v>
          </cell>
          <cell r="G1109" t="str">
            <v>3PTY</v>
          </cell>
          <cell r="H1109" t="str">
            <v>Active</v>
          </cell>
          <cell r="I1109" t="str">
            <v>POGALA,HAREESH</v>
          </cell>
          <cell r="J1109" t="str">
            <v>KBTS</v>
          </cell>
        </row>
        <row r="1110">
          <cell r="A1110">
            <v>203735959</v>
          </cell>
          <cell r="B1110" t="str">
            <v>arinasap</v>
          </cell>
          <cell r="C1110" t="str">
            <v>ARINAITWE,ASAPH</v>
          </cell>
          <cell r="D1110">
            <v>163530</v>
          </cell>
          <cell r="E1110">
            <v>1299</v>
          </cell>
          <cell r="F1110" t="str">
            <v>Mon Jul 29 00:00:00 UTC 2024</v>
          </cell>
          <cell r="G1110" t="str">
            <v>3PTY</v>
          </cell>
          <cell r="H1110" t="str">
            <v>Active</v>
          </cell>
          <cell r="I1110" t="str">
            <v>Thomas,Binil</v>
          </cell>
          <cell r="J1110" t="str">
            <v>DULS</v>
          </cell>
        </row>
        <row r="1111">
          <cell r="A1111">
            <v>206845692</v>
          </cell>
          <cell r="B1111" t="str">
            <v>mukamaay</v>
          </cell>
          <cell r="C1111" t="str">
            <v>MUKAMA,AYUBU</v>
          </cell>
          <cell r="D1111">
            <v>13277995</v>
          </cell>
          <cell r="E1111">
            <v>1299</v>
          </cell>
          <cell r="F1111" t="str">
            <v>Mon Dec 22 00:00:00 UTC 2025</v>
          </cell>
          <cell r="G1111" t="str">
            <v>3PTY</v>
          </cell>
          <cell r="H1111" t="str">
            <v>Active</v>
          </cell>
          <cell r="I1111" t="str">
            <v>Katyal,Varun</v>
          </cell>
          <cell r="J1111" t="str">
            <v>DULS</v>
          </cell>
        </row>
        <row r="1112">
          <cell r="A1112">
            <v>204967148</v>
          </cell>
          <cell r="B1112" t="str">
            <v>muhapibr</v>
          </cell>
          <cell r="C1112" t="str">
            <v>IBRAHIM,MUHAMMED</v>
          </cell>
          <cell r="D1112">
            <v>14655090</v>
          </cell>
          <cell r="E1112">
            <v>1299</v>
          </cell>
          <cell r="F1112" t="str">
            <v>Wed Jun 18 00:00:00 UTC 2025</v>
          </cell>
          <cell r="G1112" t="str">
            <v>3PTY</v>
          </cell>
          <cell r="H1112" t="str">
            <v>Active</v>
          </cell>
          <cell r="I1112" t="str">
            <v>Katyal,Varun</v>
          </cell>
          <cell r="J1112" t="str">
            <v>DULS</v>
          </cell>
        </row>
        <row r="1113">
          <cell r="A1113">
            <v>203850934</v>
          </cell>
          <cell r="B1113" t="str">
            <v>uemodoom</v>
          </cell>
          <cell r="C1113" t="str">
            <v>Odoom,Emmanuel</v>
          </cell>
          <cell r="D1113">
            <v>11589372</v>
          </cell>
          <cell r="E1113">
            <v>1299</v>
          </cell>
          <cell r="F1113" t="str">
            <v>Tue Aug 20 00:00:00 UTC 2024</v>
          </cell>
          <cell r="G1113" t="str">
            <v>3PTY</v>
          </cell>
          <cell r="H1113" t="str">
            <v>Active</v>
          </cell>
          <cell r="I1113" t="str">
            <v>Dinberu,Eden</v>
          </cell>
          <cell r="J1113" t="str">
            <v>FLO</v>
          </cell>
        </row>
        <row r="1114">
          <cell r="A1114">
            <v>203850929</v>
          </cell>
          <cell r="B1114" t="str">
            <v>emmafian</v>
          </cell>
          <cell r="C1114" t="str">
            <v>Fianu,Emmanuel</v>
          </cell>
          <cell r="D1114">
            <v>12916746</v>
          </cell>
          <cell r="E1114">
            <v>1299</v>
          </cell>
          <cell r="F1114" t="str">
            <v>Tue Aug 20 00:00:00 UTC 2024</v>
          </cell>
          <cell r="G1114" t="str">
            <v>3PTY</v>
          </cell>
          <cell r="H1114" t="str">
            <v>Active</v>
          </cell>
          <cell r="I1114" t="str">
            <v>Sohail,Anis</v>
          </cell>
          <cell r="J1114" t="str">
            <v>FLO</v>
          </cell>
        </row>
        <row r="1115">
          <cell r="A1115">
            <v>206192237</v>
          </cell>
          <cell r="B1115" t="str">
            <v>chkwinni</v>
          </cell>
          <cell r="C1115" t="str">
            <v>Chepchirchir,Winnie</v>
          </cell>
          <cell r="D1115">
            <v>12120262</v>
          </cell>
          <cell r="E1115">
            <v>1290</v>
          </cell>
          <cell r="F1115" t="str">
            <v>Thu Jul 23 00:00:00 UTC 2026</v>
          </cell>
          <cell r="G1115" t="str">
            <v>3PTY</v>
          </cell>
          <cell r="H1115" t="str">
            <v>Active</v>
          </cell>
          <cell r="I1115" t="str">
            <v>Thomas,Binil</v>
          </cell>
          <cell r="J1115" t="str">
            <v>EFSV</v>
          </cell>
        </row>
        <row r="1116">
          <cell r="A1116">
            <v>203850937</v>
          </cell>
          <cell r="B1116" t="str">
            <v>yenorber</v>
          </cell>
          <cell r="C1116" t="str">
            <v>Yeboah,Norbert</v>
          </cell>
          <cell r="D1116">
            <v>12708068</v>
          </cell>
          <cell r="E1116">
            <v>1299</v>
          </cell>
          <cell r="F1116" t="str">
            <v>Tue Aug 20 00:00:00 UTC 2024</v>
          </cell>
          <cell r="G1116" t="str">
            <v>3PTY</v>
          </cell>
          <cell r="H1116" t="str">
            <v>Active</v>
          </cell>
          <cell r="I1116" t="str">
            <v>Katyal,Varun</v>
          </cell>
          <cell r="J1116" t="str">
            <v>FLO</v>
          </cell>
        </row>
        <row r="1117">
          <cell r="A1117">
            <v>206846535</v>
          </cell>
          <cell r="B1117" t="str">
            <v>btugumea</v>
          </cell>
          <cell r="C1117" t="str">
            <v>BRIAN,TUGUME</v>
          </cell>
          <cell r="D1117">
            <v>12259946</v>
          </cell>
          <cell r="E1117">
            <v>1299</v>
          </cell>
          <cell r="F1117" t="str">
            <v>Mon Dec 22 00:00:00 UTC 2025</v>
          </cell>
          <cell r="G1117" t="str">
            <v>3PTY</v>
          </cell>
          <cell r="H1117" t="str">
            <v>Active</v>
          </cell>
          <cell r="I1117" t="str">
            <v>elrashid,Hassan</v>
          </cell>
          <cell r="J1117" t="str">
            <v>DULS</v>
          </cell>
        </row>
        <row r="1118">
          <cell r="A1118">
            <v>203160804</v>
          </cell>
          <cell r="B1118" t="str">
            <v>bahadudg</v>
          </cell>
          <cell r="C1118" t="str">
            <v>BAHADUR,DIL</v>
          </cell>
          <cell r="D1118">
            <v>14687535</v>
          </cell>
          <cell r="E1118">
            <v>1299</v>
          </cell>
          <cell r="F1118" t="str">
            <v>Sun Mar 31 00:00:00 UTC 2024</v>
          </cell>
          <cell r="G1118" t="str">
            <v>3PTY</v>
          </cell>
          <cell r="H1118" t="str">
            <v>Active</v>
          </cell>
          <cell r="I1118" t="str">
            <v>Akhtar,Muhammad Zohaib</v>
          </cell>
          <cell r="J1118" t="str">
            <v>WOFZ</v>
          </cell>
        </row>
        <row r="1119">
          <cell r="A1119">
            <v>203813078</v>
          </cell>
          <cell r="B1119" t="str">
            <v>sudqsonu</v>
          </cell>
          <cell r="C1119" t="str">
            <v>SUDHA,SONU KRISHNA</v>
          </cell>
          <cell r="D1119">
            <v>15292290</v>
          </cell>
          <cell r="E1119">
            <v>1299</v>
          </cell>
          <cell r="F1119" t="str">
            <v>Tue Aug 13 00:00:00 UTC 2024</v>
          </cell>
          <cell r="G1119" t="str">
            <v>3PTY</v>
          </cell>
          <cell r="H1119" t="str">
            <v>Active</v>
          </cell>
          <cell r="I1119" t="str">
            <v>Meera,Bava Bahrudeen</v>
          </cell>
          <cell r="J1119" t="str">
            <v>ADEC</v>
          </cell>
        </row>
        <row r="1120">
          <cell r="A1120">
            <v>205938163</v>
          </cell>
          <cell r="B1120" t="str">
            <v>ibrnafig</v>
          </cell>
          <cell r="C1120" t="str">
            <v>Ibrahim,Nafiu</v>
          </cell>
          <cell r="D1120">
            <v>11265829</v>
          </cell>
          <cell r="E1120">
            <v>1299</v>
          </cell>
          <cell r="F1120" t="str">
            <v>Mon Sep 08 00:00:00 UTC 2025</v>
          </cell>
          <cell r="G1120" t="str">
            <v>3PTY</v>
          </cell>
          <cell r="H1120" t="str">
            <v>Active</v>
          </cell>
          <cell r="I1120" t="str">
            <v>Narshad,Muhammad Ashik</v>
          </cell>
          <cell r="J1120" t="str">
            <v>EFSV</v>
          </cell>
        </row>
        <row r="1121">
          <cell r="A1121">
            <v>206897636</v>
          </cell>
          <cell r="B1121" t="str">
            <v>wafulakv</v>
          </cell>
          <cell r="C1121" t="str">
            <v>WAFULA KHAMILA,EMMANUEL</v>
          </cell>
          <cell r="D1121">
            <v>15197435</v>
          </cell>
          <cell r="E1121">
            <v>1299</v>
          </cell>
          <cell r="F1121" t="str">
            <v>Thu Jan 08 00:00:00 UTC 2026</v>
          </cell>
          <cell r="G1121" t="str">
            <v>3PTY</v>
          </cell>
          <cell r="H1121" t="str">
            <v>Active</v>
          </cell>
          <cell r="I1121" t="str">
            <v>Narshad,Muhammad Ashik</v>
          </cell>
          <cell r="J1121" t="str">
            <v>FLO</v>
          </cell>
        </row>
        <row r="1122">
          <cell r="A1122">
            <v>204013737</v>
          </cell>
          <cell r="B1122" t="str">
            <v>roabatab</v>
          </cell>
          <cell r="C1122" t="str">
            <v>Aba Taboh,Roland</v>
          </cell>
          <cell r="D1122">
            <v>12059708</v>
          </cell>
          <cell r="E1122">
            <v>1299</v>
          </cell>
          <cell r="F1122" t="str">
            <v>Mon Sep 16 00:00:00 UTC 2024</v>
          </cell>
          <cell r="G1122" t="str">
            <v>3PTY</v>
          </cell>
          <cell r="H1122" t="str">
            <v>Active</v>
          </cell>
          <cell r="I1122" t="str">
            <v>Katyal,Varun</v>
          </cell>
          <cell r="J1122" t="str">
            <v>FLO</v>
          </cell>
        </row>
        <row r="1123">
          <cell r="A1123">
            <v>204246601</v>
          </cell>
          <cell r="B1123" t="str">
            <v>honoadan</v>
          </cell>
          <cell r="C1123" t="str">
            <v>Adang,Honorine Eyandong</v>
          </cell>
          <cell r="D1123">
            <v>14522538</v>
          </cell>
          <cell r="E1123">
            <v>1299</v>
          </cell>
          <cell r="F1123" t="str">
            <v>Mon Oct 14 00:00:00 UTC 2024</v>
          </cell>
          <cell r="G1123" t="str">
            <v>3PTY</v>
          </cell>
          <cell r="H1123" t="str">
            <v>Active</v>
          </cell>
          <cell r="I1123" t="str">
            <v>Katyal,Varun</v>
          </cell>
          <cell r="J1123" t="str">
            <v>QUES</v>
          </cell>
        </row>
        <row r="1124">
          <cell r="A1124">
            <v>206006416</v>
          </cell>
          <cell r="B1124" t="str">
            <v>chinaabo</v>
          </cell>
          <cell r="C1124" t="str">
            <v>CHINARINE EFEUTLAKA,ABOUH</v>
          </cell>
          <cell r="D1124">
            <v>70987</v>
          </cell>
          <cell r="E1124">
            <v>1299</v>
          </cell>
          <cell r="F1124" t="str">
            <v>Mon Sep 15 00:00:00 UTC 2025</v>
          </cell>
          <cell r="G1124" t="str">
            <v>3PTY</v>
          </cell>
          <cell r="H1124" t="str">
            <v>Active</v>
          </cell>
          <cell r="I1124" t="str">
            <v>Katyal,Varun</v>
          </cell>
          <cell r="J1124" t="str">
            <v>FLO</v>
          </cell>
        </row>
        <row r="1125">
          <cell r="A1125">
            <v>203512964</v>
          </cell>
          <cell r="B1125" t="str">
            <v>adjsusan</v>
          </cell>
          <cell r="C1125" t="str">
            <v>Adjei,Susana</v>
          </cell>
          <cell r="D1125">
            <v>12462970</v>
          </cell>
          <cell r="E1125">
            <v>1299</v>
          </cell>
          <cell r="F1125" t="str">
            <v>Thu Jun 20 00:00:00 UTC 2024</v>
          </cell>
          <cell r="G1125" t="str">
            <v>3PTY</v>
          </cell>
          <cell r="H1125" t="str">
            <v>Active</v>
          </cell>
          <cell r="I1125" t="str">
            <v>Narshad,Muhammad Ashik</v>
          </cell>
          <cell r="J1125" t="str">
            <v>FLO</v>
          </cell>
        </row>
        <row r="1126">
          <cell r="A1126">
            <v>207514977</v>
          </cell>
          <cell r="B1126" t="str">
            <v>pramuha</v>
          </cell>
          <cell r="C1126" t="str">
            <v>Rashid,Muhammad</v>
          </cell>
          <cell r="D1126">
            <v>12995168</v>
          </cell>
          <cell r="E1126">
            <v>1712</v>
          </cell>
          <cell r="F1126" t="str">
            <v>Sun May 17 00:00:00 UTC 2026</v>
          </cell>
          <cell r="G1126" t="str">
            <v>3PTY</v>
          </cell>
          <cell r="H1126" t="str">
            <v>Active</v>
          </cell>
          <cell r="I1126" t="str">
            <v>ramadoss,vadivel</v>
          </cell>
          <cell r="J1126" t="str">
            <v>KBTS</v>
          </cell>
        </row>
        <row r="1127">
          <cell r="A1127">
            <v>207820206</v>
          </cell>
          <cell r="B1127" t="str">
            <v>eliaswis</v>
          </cell>
          <cell r="C1127" t="str">
            <v>Schuchnig,Elias Willibald</v>
          </cell>
          <cell r="D1127">
            <v>13425898</v>
          </cell>
          <cell r="E1127">
            <v>1200</v>
          </cell>
          <cell r="F1127" t="str">
            <v>Wed Jul 01 00:00:00 UTC 2026</v>
          </cell>
          <cell r="G1127" t="str">
            <v>3PTY</v>
          </cell>
          <cell r="H1127" t="str">
            <v>Active</v>
          </cell>
          <cell r="I1127" t="str">
            <v>Alhashmi,Abdulla</v>
          </cell>
          <cell r="J1127" t="str">
            <v>SSIS</v>
          </cell>
        </row>
        <row r="1128">
          <cell r="A1128">
            <v>203555404</v>
          </cell>
          <cell r="B1128" t="str">
            <v>tashindu</v>
          </cell>
          <cell r="C1128" t="str">
            <v>Dumba,Tashinga Widdy</v>
          </cell>
          <cell r="D1128">
            <v>12362784</v>
          </cell>
          <cell r="E1128">
            <v>1299</v>
          </cell>
          <cell r="F1128" t="str">
            <v>Thu Jun 27 00:00:00 UTC 2024</v>
          </cell>
          <cell r="G1128" t="str">
            <v>3PTY</v>
          </cell>
          <cell r="H1128" t="str">
            <v>Active</v>
          </cell>
          <cell r="I1128" t="str">
            <v>Meera,Bava Bahrudeen</v>
          </cell>
          <cell r="J1128" t="str">
            <v>FLO</v>
          </cell>
        </row>
        <row r="1129">
          <cell r="A1129">
            <v>201536170</v>
          </cell>
          <cell r="B1129" t="str">
            <v>thusaidu</v>
          </cell>
          <cell r="C1129" t="str">
            <v>Thullah,Saidu Brima</v>
          </cell>
          <cell r="D1129">
            <v>13445355</v>
          </cell>
          <cell r="E1129">
            <v>1299</v>
          </cell>
          <cell r="F1129" t="str">
            <v>Thu Oct 03 00:00:00 UTC 2024</v>
          </cell>
          <cell r="G1129" t="str">
            <v>3PTY</v>
          </cell>
          <cell r="H1129" t="str">
            <v>Active</v>
          </cell>
          <cell r="I1129" t="str">
            <v>Ansari,Ammar Abdullah</v>
          </cell>
          <cell r="J1129" t="str">
            <v>QUES</v>
          </cell>
        </row>
        <row r="1130">
          <cell r="A1130">
            <v>206964130</v>
          </cell>
          <cell r="B1130" t="str">
            <v>niwandig</v>
          </cell>
          <cell r="C1130" t="str">
            <v>NIWANDINDA,GIFT</v>
          </cell>
          <cell r="D1130">
            <v>12571336</v>
          </cell>
          <cell r="E1130">
            <v>1712</v>
          </cell>
          <cell r="F1130" t="str">
            <v>Fri Jan 23 00:00:00 UTC 2026</v>
          </cell>
          <cell r="G1130" t="str">
            <v>3PTY</v>
          </cell>
          <cell r="H1130" t="str">
            <v>Active</v>
          </cell>
          <cell r="I1130" t="str">
            <v>Rajendran,Ajith Kumar</v>
          </cell>
          <cell r="J1130" t="str">
            <v>KBTS</v>
          </cell>
        </row>
        <row r="1131">
          <cell r="A1131">
            <v>206129616</v>
          </cell>
          <cell r="B1131" t="str">
            <v>adorrabq</v>
          </cell>
          <cell r="C1131" t="str">
            <v>Ador,Rabbi</v>
          </cell>
          <cell r="D1131">
            <v>11915442</v>
          </cell>
          <cell r="E1131">
            <v>1299</v>
          </cell>
          <cell r="F1131" t="str">
            <v>Mon Sep 29 00:00:00 UTC 2025</v>
          </cell>
          <cell r="G1131" t="str">
            <v>3PTY</v>
          </cell>
          <cell r="H1131" t="str">
            <v>Active</v>
          </cell>
          <cell r="I1131" t="str">
            <v>Ansari,Ammar Abdullah</v>
          </cell>
          <cell r="J1131" t="str">
            <v>FLO</v>
          </cell>
        </row>
        <row r="1132">
          <cell r="A1132">
            <v>113090848</v>
          </cell>
          <cell r="B1132" t="str">
            <v>arsmuhar</v>
          </cell>
          <cell r="C1132" t="str">
            <v>Arshad,Muhammad Ali</v>
          </cell>
          <cell r="D1132">
            <v>14181866</v>
          </cell>
          <cell r="E1132">
            <v>1299</v>
          </cell>
          <cell r="F1132" t="str">
            <v>Mon Oct 21 00:00:00 UTC 2024</v>
          </cell>
          <cell r="G1132" t="str">
            <v>3PTY</v>
          </cell>
          <cell r="H1132" t="str">
            <v>Active</v>
          </cell>
          <cell r="I1132" t="str">
            <v>Scaria,Varghese</v>
          </cell>
          <cell r="J1132" t="str">
            <v>QUES</v>
          </cell>
        </row>
        <row r="1133">
          <cell r="A1133">
            <v>206348214</v>
          </cell>
          <cell r="B1133" t="str">
            <v>lestanak</v>
          </cell>
          <cell r="C1133" t="str">
            <v>NYAMVURA,TANAKA LESLIE</v>
          </cell>
          <cell r="D1133">
            <v>11095445</v>
          </cell>
          <cell r="E1133">
            <v>1299</v>
          </cell>
          <cell r="F1133" t="str">
            <v>Mon Oct 27 00:00:00 UTC 2025</v>
          </cell>
          <cell r="G1133" t="str">
            <v>3PTY</v>
          </cell>
          <cell r="H1133" t="str">
            <v>Active</v>
          </cell>
          <cell r="I1133" t="str">
            <v>Dinberu,Eden</v>
          </cell>
          <cell r="J1133" t="str">
            <v>FLO</v>
          </cell>
        </row>
        <row r="1134">
          <cell r="A1134">
            <v>204053437</v>
          </cell>
          <cell r="B1134" t="str">
            <v>kallbnik</v>
          </cell>
          <cell r="C1134" t="str">
            <v>Kallingal,Nikhil</v>
          </cell>
          <cell r="D1134">
            <v>14779531</v>
          </cell>
          <cell r="E1134">
            <v>1299</v>
          </cell>
          <cell r="F1134" t="str">
            <v>Mon Sep 23 00:00:00 UTC 2024</v>
          </cell>
          <cell r="G1134" t="str">
            <v>3PTY</v>
          </cell>
          <cell r="H1134" t="str">
            <v>Active</v>
          </cell>
          <cell r="I1134" t="str">
            <v>Ansari,Ammar Abdullah</v>
          </cell>
          <cell r="J1134" t="str">
            <v>ADEC</v>
          </cell>
        </row>
        <row r="1135">
          <cell r="A1135">
            <v>203468395</v>
          </cell>
          <cell r="B1135" t="str">
            <v>frimpofr</v>
          </cell>
          <cell r="C1135" t="str">
            <v>Frimpong,Francis Owusu</v>
          </cell>
          <cell r="D1135">
            <v>12367688</v>
          </cell>
          <cell r="E1135">
            <v>1299</v>
          </cell>
          <cell r="F1135" t="str">
            <v>Thu Jun 13 00:00:00 UTC 2024</v>
          </cell>
          <cell r="G1135" t="str">
            <v>3PTY</v>
          </cell>
          <cell r="H1135" t="str">
            <v>Active</v>
          </cell>
          <cell r="I1135" t="str">
            <v>Katyal,Varun</v>
          </cell>
          <cell r="J1135" t="str">
            <v>FLO</v>
          </cell>
        </row>
        <row r="1136">
          <cell r="A1136">
            <v>205406277</v>
          </cell>
          <cell r="B1136" t="str">
            <v>rjkumary</v>
          </cell>
          <cell r="C1136" t="str">
            <v>Kumar Yadav,Rajesh</v>
          </cell>
          <cell r="D1136">
            <v>14616232</v>
          </cell>
          <cell r="E1136">
            <v>1712</v>
          </cell>
          <cell r="F1136" t="str">
            <v>Fri Jun 06 00:00:00 UTC 2025</v>
          </cell>
          <cell r="G1136" t="str">
            <v>3PTY</v>
          </cell>
          <cell r="H1136" t="str">
            <v>Active</v>
          </cell>
          <cell r="I1136" t="str">
            <v>POGALA,HAREESH</v>
          </cell>
          <cell r="J1136" t="str">
            <v>KBTS</v>
          </cell>
        </row>
        <row r="1137">
          <cell r="A1137">
            <v>203965493</v>
          </cell>
          <cell r="B1137" t="str">
            <v>bibrahio</v>
          </cell>
          <cell r="C1137" t="str">
            <v>Ibrahim,Osman</v>
          </cell>
          <cell r="D1137">
            <v>12365248</v>
          </cell>
          <cell r="E1137">
            <v>1299</v>
          </cell>
          <cell r="F1137" t="str">
            <v>Mon Sep 09 00:00:00 UTC 2024</v>
          </cell>
          <cell r="G1137" t="str">
            <v>3PTY</v>
          </cell>
          <cell r="H1137" t="str">
            <v>Active</v>
          </cell>
          <cell r="I1137" t="str">
            <v>Katyal,Varun</v>
          </cell>
          <cell r="J1137" t="str">
            <v>FLO</v>
          </cell>
        </row>
        <row r="1138">
          <cell r="A1138">
            <v>203964990</v>
          </cell>
          <cell r="B1138" t="str">
            <v>roycshub</v>
          </cell>
          <cell r="C1138" t="str">
            <v>Roy,Shubhadeep</v>
          </cell>
          <cell r="D1138">
            <v>14272115</v>
          </cell>
          <cell r="E1138">
            <v>1299</v>
          </cell>
          <cell r="F1138" t="str">
            <v>Mon Sep 09 00:00:00 UTC 2024</v>
          </cell>
          <cell r="G1138" t="str">
            <v>3PTY</v>
          </cell>
          <cell r="H1138" t="str">
            <v>Active</v>
          </cell>
          <cell r="I1138" t="str">
            <v>Ansari,Ammar Abdullah</v>
          </cell>
          <cell r="J1138" t="str">
            <v>ADEC</v>
          </cell>
        </row>
        <row r="1139">
          <cell r="A1139">
            <v>203736776</v>
          </cell>
          <cell r="B1139" t="str">
            <v>ikeharsa</v>
          </cell>
          <cell r="C1139" t="str">
            <v>Sing,Kehar Sing</v>
          </cell>
          <cell r="D1139">
            <v>11672443</v>
          </cell>
          <cell r="E1139">
            <v>1299</v>
          </cell>
          <cell r="F1139" t="str">
            <v>Mon Jul 29 00:00:00 UTC 2024</v>
          </cell>
          <cell r="G1139" t="str">
            <v>3PTY</v>
          </cell>
          <cell r="H1139" t="str">
            <v>Active</v>
          </cell>
          <cell r="I1139" t="str">
            <v>Katyal,Varun</v>
          </cell>
          <cell r="J1139" t="str">
            <v>ADEC</v>
          </cell>
        </row>
        <row r="1140">
          <cell r="A1140">
            <v>202383469</v>
          </cell>
          <cell r="B1140" t="str">
            <v>javmuhak</v>
          </cell>
          <cell r="C1140" t="str">
            <v>Usman,Muhammad</v>
          </cell>
          <cell r="D1140">
            <v>11158110</v>
          </cell>
          <cell r="E1140">
            <v>1299</v>
          </cell>
          <cell r="F1140" t="str">
            <v>Thu Oct 31 00:00:00 UTC 2024</v>
          </cell>
          <cell r="G1140" t="str">
            <v>3PTY</v>
          </cell>
          <cell r="H1140" t="str">
            <v>Active</v>
          </cell>
          <cell r="I1140" t="str">
            <v>Joshi,Anirudh</v>
          </cell>
          <cell r="J1140" t="str">
            <v>QUES</v>
          </cell>
        </row>
        <row r="1141">
          <cell r="A1141">
            <v>203512949</v>
          </cell>
          <cell r="B1141" t="str">
            <v>hnkansah</v>
          </cell>
          <cell r="C1141" t="str">
            <v>Nkansah,Harriet Anto</v>
          </cell>
          <cell r="D1141">
            <v>11085199</v>
          </cell>
          <cell r="E1141">
            <v>1299</v>
          </cell>
          <cell r="F1141" t="str">
            <v>Thu Jun 20 00:00:00 UTC 2024</v>
          </cell>
          <cell r="G1141" t="str">
            <v>3PTY</v>
          </cell>
          <cell r="H1141" t="str">
            <v>Active</v>
          </cell>
          <cell r="I1141" t="str">
            <v>Scaria,Varghese</v>
          </cell>
          <cell r="J1141" t="str">
            <v>FLO</v>
          </cell>
        </row>
        <row r="1142">
          <cell r="A1142">
            <v>205608373</v>
          </cell>
          <cell r="B1142" t="str">
            <v>tiacquah</v>
          </cell>
          <cell r="C1142" t="str">
            <v>TIMOTHY,ACQUAH</v>
          </cell>
          <cell r="D1142">
            <v>11557143</v>
          </cell>
          <cell r="E1142">
            <v>1299</v>
          </cell>
          <cell r="F1142" t="str">
            <v>Mon Jul 07 00:00:00 UTC 2025</v>
          </cell>
          <cell r="G1142" t="str">
            <v>3PTY</v>
          </cell>
          <cell r="H1142" t="str">
            <v>Active</v>
          </cell>
          <cell r="I1142" t="str">
            <v>Sohail,Anis</v>
          </cell>
          <cell r="J1142" t="str">
            <v>DULS</v>
          </cell>
        </row>
        <row r="1143">
          <cell r="A1143">
            <v>203635494</v>
          </cell>
          <cell r="B1143" t="str">
            <v>kudapinj</v>
          </cell>
          <cell r="C1143" t="str">
            <v>Pinjisi,Kudakwashe Ernest</v>
          </cell>
          <cell r="D1143">
            <v>12942036</v>
          </cell>
          <cell r="E1143">
            <v>1299</v>
          </cell>
          <cell r="F1143" t="str">
            <v>Wed Oct 09 00:00:00 UTC 2024</v>
          </cell>
          <cell r="G1143" t="str">
            <v>3PTY</v>
          </cell>
          <cell r="H1143" t="str">
            <v>Active</v>
          </cell>
          <cell r="I1143" t="str">
            <v>Lakkireddy,Sai Raghavendra Reddy</v>
          </cell>
          <cell r="J1143" t="str">
            <v>FLO</v>
          </cell>
        </row>
        <row r="1144">
          <cell r="A1144">
            <v>203850771</v>
          </cell>
          <cell r="B1144" t="str">
            <v>museriya</v>
          </cell>
          <cell r="C1144" t="str">
            <v>Musoke,Eriya</v>
          </cell>
          <cell r="D1144">
            <v>14641236</v>
          </cell>
          <cell r="E1144">
            <v>1299</v>
          </cell>
          <cell r="F1144" t="str">
            <v>Tue Aug 20 00:00:00 UTC 2024</v>
          </cell>
          <cell r="G1144" t="str">
            <v>3PTY</v>
          </cell>
          <cell r="H1144" t="str">
            <v>Active</v>
          </cell>
          <cell r="I1144" t="str">
            <v>Lakkireddy,Sai Raghavendra Reddy</v>
          </cell>
          <cell r="J1144" t="str">
            <v>DULS</v>
          </cell>
        </row>
        <row r="1145">
          <cell r="A1145">
            <v>206191926</v>
          </cell>
          <cell r="B1145" t="str">
            <v>bushirna</v>
          </cell>
          <cell r="C1145" t="str">
            <v>Nassonko,Bushira</v>
          </cell>
          <cell r="D1145">
            <v>13348730</v>
          </cell>
          <cell r="E1145">
            <v>1299</v>
          </cell>
          <cell r="F1145" t="str">
            <v>Mon Oct 06 00:00:00 UTC 2025</v>
          </cell>
          <cell r="G1145" t="str">
            <v>3PTY</v>
          </cell>
          <cell r="H1145" t="str">
            <v>Active</v>
          </cell>
          <cell r="I1145" t="str">
            <v>Ansari,Ammar Abdullah</v>
          </cell>
          <cell r="J1145" t="str">
            <v>EFSV</v>
          </cell>
        </row>
        <row r="1146">
          <cell r="A1146">
            <v>206853664</v>
          </cell>
          <cell r="B1146" t="str">
            <v>mugenkag</v>
          </cell>
          <cell r="C1146" t="str">
            <v>MUGENYI,KAAWA</v>
          </cell>
          <cell r="D1146">
            <v>11986914</v>
          </cell>
          <cell r="E1146">
            <v>1299</v>
          </cell>
          <cell r="F1146" t="str">
            <v>Mon Dec 22 00:00:00 UTC 2025</v>
          </cell>
          <cell r="G1146" t="str">
            <v>3PTY</v>
          </cell>
          <cell r="H1146" t="str">
            <v>Active</v>
          </cell>
          <cell r="I1146" t="str">
            <v>Meera,Bava Bahrudeen</v>
          </cell>
          <cell r="J1146" t="str">
            <v>DULS</v>
          </cell>
        </row>
        <row r="1147">
          <cell r="A1147">
            <v>204094216</v>
          </cell>
          <cell r="B1147" t="str">
            <v>ndiranio</v>
          </cell>
          <cell r="C1147" t="str">
            <v>Omah,Diranie Buteh</v>
          </cell>
          <cell r="D1147">
            <v>197144</v>
          </cell>
          <cell r="E1147">
            <v>1299</v>
          </cell>
          <cell r="F1147" t="str">
            <v>Thu Sep 26 00:00:00 UTC 2024</v>
          </cell>
          <cell r="G1147" t="str">
            <v>3PTY</v>
          </cell>
          <cell r="H1147" t="str">
            <v>Active</v>
          </cell>
          <cell r="I1147" t="str">
            <v>Scaria,Varghese</v>
          </cell>
          <cell r="J1147" t="str">
            <v>QUES</v>
          </cell>
        </row>
        <row r="1148">
          <cell r="A1148">
            <v>205252357</v>
          </cell>
          <cell r="B1148" t="str">
            <v>bremwang</v>
          </cell>
          <cell r="C1148" t="str">
            <v>Mwangi,Brenda Wangui</v>
          </cell>
          <cell r="D1148">
            <v>13167272</v>
          </cell>
          <cell r="E1148">
            <v>1299</v>
          </cell>
          <cell r="F1148" t="str">
            <v>Tue Aug 04 00:00:00 UTC 2026</v>
          </cell>
          <cell r="G1148" t="str">
            <v>3PTY</v>
          </cell>
          <cell r="H1148" t="str">
            <v>Active</v>
          </cell>
          <cell r="I1148" t="str">
            <v>Narshad,Muhammad Ashik</v>
          </cell>
          <cell r="J1148" t="str">
            <v>EFSV</v>
          </cell>
        </row>
        <row r="1149">
          <cell r="A1149">
            <v>203881601</v>
          </cell>
          <cell r="B1149" t="str">
            <v>ashiegbi</v>
          </cell>
          <cell r="C1149" t="str">
            <v>Ashiegbi,Clemence</v>
          </cell>
          <cell r="D1149">
            <v>13238914</v>
          </cell>
          <cell r="E1149">
            <v>1299</v>
          </cell>
          <cell r="F1149" t="str">
            <v>Mon Aug 26 00:00:00 UTC 2024</v>
          </cell>
          <cell r="G1149" t="str">
            <v>3PTY</v>
          </cell>
          <cell r="H1149" t="str">
            <v>Active</v>
          </cell>
          <cell r="I1149" t="str">
            <v>Katyal,Varun</v>
          </cell>
          <cell r="J1149" t="str">
            <v>FLO</v>
          </cell>
        </row>
        <row r="1150">
          <cell r="A1150">
            <v>204029060</v>
          </cell>
          <cell r="B1150" t="str">
            <v>arconcey</v>
          </cell>
          <cell r="C1150" t="str">
            <v>Concepcion,Artemio</v>
          </cell>
          <cell r="D1150">
            <v>14581477</v>
          </cell>
          <cell r="E1150">
            <v>1299</v>
          </cell>
          <cell r="F1150" t="str">
            <v>Sun Sep 15 00:00:00 UTC 2024</v>
          </cell>
          <cell r="G1150" t="str">
            <v>3PTY</v>
          </cell>
          <cell r="H1150" t="str">
            <v>Active</v>
          </cell>
          <cell r="I1150" t="str">
            <v>Akhtar,Muhammad Zohaib</v>
          </cell>
          <cell r="J1150" t="str">
            <v>WOFZ</v>
          </cell>
        </row>
        <row r="1151">
          <cell r="A1151">
            <v>203851001</v>
          </cell>
          <cell r="B1151" t="str">
            <v>maragbev</v>
          </cell>
          <cell r="C1151" t="str">
            <v>Agbeviade,Mary</v>
          </cell>
          <cell r="D1151">
            <v>11636674</v>
          </cell>
          <cell r="E1151">
            <v>1299</v>
          </cell>
          <cell r="F1151" t="str">
            <v>Mon Sep 09 00:00:00 UTC 2024</v>
          </cell>
          <cell r="G1151" t="str">
            <v>3PTY</v>
          </cell>
          <cell r="H1151" t="str">
            <v>Active</v>
          </cell>
          <cell r="I1151" t="str">
            <v>Ansari,Ammar Abdullah</v>
          </cell>
          <cell r="J1151" t="str">
            <v>FLO</v>
          </cell>
        </row>
        <row r="1152">
          <cell r="A1152">
            <v>206015654</v>
          </cell>
          <cell r="B1152" t="str">
            <v>roedieme</v>
          </cell>
          <cell r="C1152" t="str">
            <v>Ediemejang Muankume,Roland</v>
          </cell>
          <cell r="D1152">
            <v>14236273</v>
          </cell>
          <cell r="E1152">
            <v>1299</v>
          </cell>
          <cell r="F1152" t="str">
            <v>Mon Sep 15 00:00:00 UTC 2025</v>
          </cell>
          <cell r="G1152" t="str">
            <v>3PTY</v>
          </cell>
          <cell r="H1152" t="str">
            <v>Active</v>
          </cell>
          <cell r="I1152" t="str">
            <v>Dinberu,Eden</v>
          </cell>
          <cell r="J1152" t="str">
            <v>FLO</v>
          </cell>
        </row>
        <row r="1153">
          <cell r="A1153">
            <v>206930130</v>
          </cell>
          <cell r="B1153" t="str">
            <v>annwamum</v>
          </cell>
          <cell r="C1153" t="str">
            <v>MUHIAH,ANN WAMBUI</v>
          </cell>
          <cell r="D1153">
            <v>13048175</v>
          </cell>
          <cell r="E1153">
            <v>1299</v>
          </cell>
          <cell r="F1153" t="str">
            <v>Thu Jan 15 00:00:00 UTC 2026</v>
          </cell>
          <cell r="G1153" t="str">
            <v>3PTY</v>
          </cell>
          <cell r="H1153" t="str">
            <v>Active</v>
          </cell>
          <cell r="I1153" t="str">
            <v>Thomas,Binil</v>
          </cell>
          <cell r="J1153" t="str">
            <v>EFSV</v>
          </cell>
        </row>
        <row r="1154">
          <cell r="A1154">
            <v>204403651</v>
          </cell>
          <cell r="B1154" t="str">
            <v>jalanssh</v>
          </cell>
          <cell r="C1154" t="str">
            <v>SHIJU,ALAN SHIJU</v>
          </cell>
          <cell r="D1154">
            <v>12885098</v>
          </cell>
          <cell r="E1154">
            <v>1299</v>
          </cell>
          <cell r="F1154" t="str">
            <v>Thu Oct 31 00:00:00 UTC 2024</v>
          </cell>
          <cell r="G1154" t="str">
            <v>3PTY</v>
          </cell>
          <cell r="H1154" t="str">
            <v>Active</v>
          </cell>
          <cell r="I1154" t="str">
            <v>Sohail,Anis</v>
          </cell>
          <cell r="J1154" t="str">
            <v>ADEC</v>
          </cell>
        </row>
        <row r="1155">
          <cell r="A1155">
            <v>206239215</v>
          </cell>
          <cell r="B1155" t="str">
            <v>wendpoku</v>
          </cell>
          <cell r="C1155" t="str">
            <v>POKUAAH,WENDY</v>
          </cell>
          <cell r="D1155">
            <v>13643493</v>
          </cell>
          <cell r="E1155">
            <v>1299</v>
          </cell>
          <cell r="F1155" t="str">
            <v>Mon Oct 13 00:00:00 UTC 2025</v>
          </cell>
          <cell r="G1155" t="str">
            <v>3PTY</v>
          </cell>
          <cell r="H1155" t="str">
            <v>Active</v>
          </cell>
          <cell r="I1155" t="str">
            <v>Narshad,Muhammad Ashik</v>
          </cell>
          <cell r="J1155" t="str">
            <v>FLO</v>
          </cell>
        </row>
        <row r="1156">
          <cell r="A1156">
            <v>204967145</v>
          </cell>
          <cell r="B1156" t="str">
            <v>prisarpo</v>
          </cell>
          <cell r="C1156" t="str">
            <v>SARPONG,PRINCE</v>
          </cell>
          <cell r="D1156">
            <v>14137418</v>
          </cell>
          <cell r="E1156">
            <v>1299</v>
          </cell>
          <cell r="F1156" t="str">
            <v>Mon Mar 03 00:00:00 UTC 2025</v>
          </cell>
          <cell r="G1156" t="str">
            <v>3PTY</v>
          </cell>
          <cell r="H1156" t="str">
            <v>Active</v>
          </cell>
          <cell r="I1156" t="str">
            <v>Narshad,Muhammad Ashik</v>
          </cell>
          <cell r="J1156" t="str">
            <v>DULS</v>
          </cell>
        </row>
        <row r="1157">
          <cell r="A1157">
            <v>203521427</v>
          </cell>
          <cell r="B1157" t="str">
            <v>kamargib</v>
          </cell>
          <cell r="C1157" t="str">
            <v>kamara,Gibrilla</v>
          </cell>
          <cell r="D1157">
            <v>14533338</v>
          </cell>
          <cell r="E1157">
            <v>1299</v>
          </cell>
          <cell r="F1157" t="str">
            <v>Thu Jun 20 00:00:00 UTC 2024</v>
          </cell>
          <cell r="G1157" t="str">
            <v>3PTY</v>
          </cell>
          <cell r="H1157" t="str">
            <v>Active</v>
          </cell>
          <cell r="I1157" t="str">
            <v>Katyal,Varun</v>
          </cell>
          <cell r="J1157" t="str">
            <v>FLO</v>
          </cell>
        </row>
        <row r="1158">
          <cell r="A1158">
            <v>206930700</v>
          </cell>
          <cell r="B1158" t="str">
            <v>andmutun</v>
          </cell>
          <cell r="C1158" t="str">
            <v>MUTUNGI,ANDREW</v>
          </cell>
          <cell r="D1158">
            <v>12205585</v>
          </cell>
          <cell r="E1158">
            <v>1299</v>
          </cell>
          <cell r="F1158" t="str">
            <v>Mon Jan 26 00:00:00 UTC 2026</v>
          </cell>
          <cell r="G1158" t="str">
            <v>3PTY</v>
          </cell>
          <cell r="H1158" t="str">
            <v>Active</v>
          </cell>
          <cell r="I1158" t="str">
            <v>Sohail,Anis</v>
          </cell>
          <cell r="J1158" t="str">
            <v>DULS</v>
          </cell>
        </row>
        <row r="1159">
          <cell r="A1159">
            <v>206915794</v>
          </cell>
          <cell r="B1159" t="str">
            <v>vincphir</v>
          </cell>
          <cell r="C1159" t="str">
            <v>PHIRI,VINCENT</v>
          </cell>
          <cell r="D1159">
            <v>14392027</v>
          </cell>
          <cell r="E1159">
            <v>1299</v>
          </cell>
          <cell r="F1159" t="str">
            <v>Mon Jan 12 00:00:00 UTC 2026</v>
          </cell>
          <cell r="G1159" t="str">
            <v>3PTY</v>
          </cell>
          <cell r="H1159" t="str">
            <v>Active</v>
          </cell>
          <cell r="I1159" t="str">
            <v>Ansari,Ammar Abdullah</v>
          </cell>
          <cell r="J1159" t="str">
            <v>DULS</v>
          </cell>
        </row>
        <row r="1160">
          <cell r="A1160">
            <v>205839585</v>
          </cell>
          <cell r="B1160" t="str">
            <v>faroukki</v>
          </cell>
          <cell r="C1160" t="str">
            <v>KIBALAMA,FAROUK</v>
          </cell>
          <cell r="D1160">
            <v>14361390</v>
          </cell>
          <cell r="E1160">
            <v>1299</v>
          </cell>
          <cell r="F1160" t="str">
            <v>Mon Aug 25 00:00:00 UTC 2025</v>
          </cell>
          <cell r="G1160" t="str">
            <v>3PTY</v>
          </cell>
          <cell r="H1160" t="str">
            <v>Active</v>
          </cell>
          <cell r="I1160" t="str">
            <v>Thomas,Binil</v>
          </cell>
          <cell r="J1160" t="str">
            <v>DULS</v>
          </cell>
        </row>
        <row r="1161">
          <cell r="A1161">
            <v>204138503</v>
          </cell>
          <cell r="B1161" t="str">
            <v>kodugraf</v>
          </cell>
          <cell r="C1161" t="str">
            <v>kodua,grace</v>
          </cell>
          <cell r="D1161">
            <v>303931</v>
          </cell>
          <cell r="E1161">
            <v>1299</v>
          </cell>
          <cell r="F1161" t="str">
            <v>Mon Sep 30 00:00:00 UTC 2024</v>
          </cell>
          <cell r="G1161" t="str">
            <v>3PTY</v>
          </cell>
          <cell r="H1161" t="str">
            <v>Active</v>
          </cell>
          <cell r="I1161" t="str">
            <v>Ansari,Ammar Abdullah</v>
          </cell>
          <cell r="J1161" t="str">
            <v>FLO</v>
          </cell>
        </row>
        <row r="1162">
          <cell r="A1162">
            <v>203813082</v>
          </cell>
          <cell r="B1162" t="str">
            <v>gprincsi</v>
          </cell>
          <cell r="C1162" t="str">
            <v>SINGH,PRINCEPAL</v>
          </cell>
          <cell r="D1162">
            <v>12050137</v>
          </cell>
          <cell r="E1162">
            <v>1299</v>
          </cell>
          <cell r="F1162" t="str">
            <v>Tue Aug 13 00:00:00 UTC 2024</v>
          </cell>
          <cell r="G1162" t="str">
            <v>3PTY</v>
          </cell>
          <cell r="H1162" t="str">
            <v>Active</v>
          </cell>
          <cell r="I1162" t="str">
            <v>Katyal,Varun</v>
          </cell>
          <cell r="J1162" t="str">
            <v>ADEC</v>
          </cell>
        </row>
        <row r="1163">
          <cell r="A1163">
            <v>204009672</v>
          </cell>
          <cell r="B1163" t="str">
            <v>ankinew</v>
          </cell>
          <cell r="C1163" t="str">
            <v>NEWAR,ANKIT</v>
          </cell>
          <cell r="D1163">
            <v>778811</v>
          </cell>
          <cell r="E1163">
            <v>1299</v>
          </cell>
          <cell r="F1163" t="str">
            <v>Mon Sep 16 00:00:00 UTC 2024</v>
          </cell>
          <cell r="G1163" t="str">
            <v>3PTY</v>
          </cell>
          <cell r="H1163" t="str">
            <v>Active</v>
          </cell>
          <cell r="I1163" t="str">
            <v>Narshad,Muhammad Ashik</v>
          </cell>
          <cell r="J1163" t="str">
            <v>DULS</v>
          </cell>
        </row>
        <row r="1164">
          <cell r="A1164">
            <v>207019316</v>
          </cell>
          <cell r="B1164" t="str">
            <v>nkentasi</v>
          </cell>
          <cell r="C1164" t="str">
            <v>kentara,Asire alko</v>
          </cell>
          <cell r="D1164">
            <v>13123253</v>
          </cell>
          <cell r="E1164">
            <v>1712</v>
          </cell>
          <cell r="F1164" t="str">
            <v>Tue Feb 10 00:00:00 UTC 2026</v>
          </cell>
          <cell r="G1164" t="str">
            <v>3PTY</v>
          </cell>
          <cell r="H1164" t="str">
            <v>Active</v>
          </cell>
          <cell r="I1164" t="str">
            <v>ramadoss,vadivel</v>
          </cell>
          <cell r="J1164" t="str">
            <v>KBTS</v>
          </cell>
        </row>
        <row r="1165">
          <cell r="A1165">
            <v>203800523</v>
          </cell>
          <cell r="B1165" t="str">
            <v>ansjirfa</v>
          </cell>
          <cell r="C1165" t="str">
            <v>ANSARI,IRFAN</v>
          </cell>
          <cell r="D1165">
            <v>12424171</v>
          </cell>
          <cell r="E1165">
            <v>1299</v>
          </cell>
          <cell r="F1165" t="str">
            <v>Fri Aug 09 00:00:00 UTC 2024</v>
          </cell>
          <cell r="G1165" t="str">
            <v>3PTY</v>
          </cell>
          <cell r="H1165" t="str">
            <v>Active</v>
          </cell>
          <cell r="I1165" t="str">
            <v>Rajendran,Ajith Kumar</v>
          </cell>
          <cell r="J1165" t="str">
            <v>KBTS</v>
          </cell>
        </row>
        <row r="1166">
          <cell r="A1166">
            <v>206607035</v>
          </cell>
          <cell r="B1166" t="str">
            <v>rjwanjir</v>
          </cell>
          <cell r="C1166" t="str">
            <v>WANJIRU,JOSEPH NJUGUNA</v>
          </cell>
          <cell r="D1166">
            <v>13760885</v>
          </cell>
          <cell r="E1166">
            <v>1299</v>
          </cell>
          <cell r="F1166" t="str">
            <v>Mon Nov 17 00:00:00 UTC 2025</v>
          </cell>
          <cell r="G1166" t="str">
            <v>3PTY</v>
          </cell>
          <cell r="H1166" t="str">
            <v>Active</v>
          </cell>
          <cell r="I1166" t="str">
            <v>Thomas,Binil</v>
          </cell>
          <cell r="J1166" t="str">
            <v>EFSV</v>
          </cell>
        </row>
        <row r="1167">
          <cell r="A1167">
            <v>203850767</v>
          </cell>
          <cell r="B1167" t="str">
            <v>frategek</v>
          </cell>
          <cell r="C1167" t="str">
            <v>Ategeka,Francis</v>
          </cell>
          <cell r="D1167">
            <v>12778647</v>
          </cell>
          <cell r="E1167">
            <v>1299</v>
          </cell>
          <cell r="F1167" t="str">
            <v>Tue Aug 20 00:00:00 UTC 2024</v>
          </cell>
          <cell r="G1167" t="str">
            <v>3PTY</v>
          </cell>
          <cell r="H1167" t="str">
            <v>Active</v>
          </cell>
          <cell r="I1167" t="str">
            <v>Thomas,Binil</v>
          </cell>
          <cell r="J1167" t="str">
            <v>DULS</v>
          </cell>
        </row>
        <row r="1168">
          <cell r="A1168">
            <v>203521134</v>
          </cell>
          <cell r="B1168" t="str">
            <v>evanasam</v>
          </cell>
          <cell r="C1168" t="str">
            <v>Asamoah,Evans</v>
          </cell>
          <cell r="D1168">
            <v>12478863</v>
          </cell>
          <cell r="E1168">
            <v>1299</v>
          </cell>
          <cell r="F1168" t="str">
            <v>Thu Jun 20 00:00:00 UTC 2024</v>
          </cell>
          <cell r="G1168" t="str">
            <v>3PTY</v>
          </cell>
          <cell r="H1168" t="str">
            <v>Active</v>
          </cell>
          <cell r="I1168" t="str">
            <v>Katyal,Varun</v>
          </cell>
          <cell r="J1168" t="str">
            <v>FLO</v>
          </cell>
        </row>
        <row r="1169">
          <cell r="A1169">
            <v>206930336</v>
          </cell>
          <cell r="B1169" t="str">
            <v>jeropfar</v>
          </cell>
          <cell r="C1169" t="str">
            <v>JEROP,FAITH</v>
          </cell>
          <cell r="D1169">
            <v>13141256</v>
          </cell>
          <cell r="E1169">
            <v>1299</v>
          </cell>
          <cell r="F1169" t="str">
            <v>Thu Jan 15 00:00:00 UTC 2026</v>
          </cell>
          <cell r="G1169" t="str">
            <v>3PTY</v>
          </cell>
          <cell r="H1169" t="str">
            <v>Active</v>
          </cell>
          <cell r="I1169" t="str">
            <v>Thomas,Binil</v>
          </cell>
          <cell r="J1169" t="str">
            <v>EFSV</v>
          </cell>
        </row>
        <row r="1170">
          <cell r="A1170">
            <v>203030143</v>
          </cell>
          <cell r="B1170" t="str">
            <v>kishjaga</v>
          </cell>
          <cell r="C1170" t="str">
            <v>Kishan,Jagatiya</v>
          </cell>
          <cell r="D1170">
            <v>13926065</v>
          </cell>
          <cell r="E1170">
            <v>1299</v>
          </cell>
          <cell r="F1170" t="str">
            <v>Mon Feb 19 00:00:00 UTC 2024</v>
          </cell>
          <cell r="G1170" t="str">
            <v>3PTY</v>
          </cell>
          <cell r="H1170" t="str">
            <v>Active</v>
          </cell>
          <cell r="I1170" t="str">
            <v>Rizvan,Mohamed</v>
          </cell>
          <cell r="J1170" t="str">
            <v>KBTS</v>
          </cell>
        </row>
        <row r="1171">
          <cell r="A1171">
            <v>207868611</v>
          </cell>
          <cell r="B1171" t="str">
            <v>nelliojo</v>
          </cell>
          <cell r="C1171" t="str">
            <v>Elliot,Josh</v>
          </cell>
          <cell r="D1171">
            <v>12966584</v>
          </cell>
          <cell r="E1171">
            <v>1200</v>
          </cell>
          <cell r="F1171" t="str">
            <v>Mon Jul 06 00:00:00 UTC 2026</v>
          </cell>
          <cell r="G1171" t="str">
            <v>3PTY</v>
          </cell>
          <cell r="H1171" t="str">
            <v>Active</v>
          </cell>
          <cell r="I1171" t="str">
            <v>Alhashmi,Abdulla</v>
          </cell>
          <cell r="J1171" t="str">
            <v>MEUE</v>
          </cell>
        </row>
        <row r="1172">
          <cell r="A1172">
            <v>205609884</v>
          </cell>
          <cell r="B1172" t="str">
            <v>sattabob</v>
          </cell>
          <cell r="C1172" t="str">
            <v>ATTA BOAHENE,BRIGHT</v>
          </cell>
          <cell r="D1172">
            <v>14706671</v>
          </cell>
          <cell r="E1172">
            <v>1299</v>
          </cell>
          <cell r="F1172" t="str">
            <v>Mon Jul 07 00:00:00 UTC 2025</v>
          </cell>
          <cell r="G1172" t="str">
            <v>3PTY</v>
          </cell>
          <cell r="H1172" t="str">
            <v>Active</v>
          </cell>
          <cell r="I1172" t="str">
            <v>Katyal,Varun</v>
          </cell>
          <cell r="J1172" t="str">
            <v>DULS</v>
          </cell>
        </row>
        <row r="1173">
          <cell r="A1173">
            <v>206915790</v>
          </cell>
          <cell r="B1173" t="str">
            <v>amativin</v>
          </cell>
          <cell r="C1173" t="str">
            <v>AMATI,VINCENT</v>
          </cell>
          <cell r="D1173">
            <v>12552714</v>
          </cell>
          <cell r="E1173">
            <v>1299</v>
          </cell>
          <cell r="F1173" t="str">
            <v>Mon Jan 12 00:00:00 UTC 2026</v>
          </cell>
          <cell r="G1173" t="str">
            <v>3PTY</v>
          </cell>
          <cell r="H1173" t="str">
            <v>Active</v>
          </cell>
          <cell r="I1173" t="str">
            <v>elrashid,Hassan</v>
          </cell>
          <cell r="J1173" t="str">
            <v>DULS</v>
          </cell>
        </row>
        <row r="1174">
          <cell r="A1174">
            <v>205214438</v>
          </cell>
          <cell r="B1174" t="str">
            <v>dybahadu</v>
          </cell>
          <cell r="C1174" t="str">
            <v>Bahadur Rokaya,Dhoj</v>
          </cell>
          <cell r="D1174">
            <v>14966311</v>
          </cell>
          <cell r="E1174">
            <v>1712</v>
          </cell>
          <cell r="F1174" t="str">
            <v>Sun Apr 27 00:00:00 UTC 2025</v>
          </cell>
          <cell r="G1174" t="str">
            <v>3PTY</v>
          </cell>
          <cell r="H1174" t="str">
            <v>Active</v>
          </cell>
          <cell r="I1174" t="str">
            <v>POGALA,HAREESH</v>
          </cell>
          <cell r="J1174" t="str">
            <v>KBTS</v>
          </cell>
        </row>
        <row r="1175">
          <cell r="A1175">
            <v>203468402</v>
          </cell>
          <cell r="B1175" t="str">
            <v>mbvirapf</v>
          </cell>
          <cell r="C1175" t="str">
            <v>Mbvira Pfouma,Rogers Francis</v>
          </cell>
          <cell r="D1175">
            <v>13410827</v>
          </cell>
          <cell r="E1175">
            <v>1299</v>
          </cell>
          <cell r="F1175" t="str">
            <v>Thu Jun 13 00:00:00 UTC 2024</v>
          </cell>
          <cell r="G1175" t="str">
            <v>3PTY</v>
          </cell>
          <cell r="H1175" t="str">
            <v>Active</v>
          </cell>
          <cell r="I1175" t="str">
            <v>Katyal,Varun</v>
          </cell>
          <cell r="J1175" t="str">
            <v>FLO</v>
          </cell>
        </row>
        <row r="1176">
          <cell r="A1176">
            <v>206131223</v>
          </cell>
          <cell r="B1176" t="str">
            <v>thefokuo</v>
          </cell>
          <cell r="C1176" t="str">
            <v>Fokuo,Theresah</v>
          </cell>
          <cell r="D1176">
            <v>11157345</v>
          </cell>
          <cell r="E1176">
            <v>1712</v>
          </cell>
          <cell r="F1176" t="str">
            <v>Wed Sep 24 00:00:00 UTC 2025</v>
          </cell>
          <cell r="G1176" t="str">
            <v>3PTY</v>
          </cell>
          <cell r="H1176" t="str">
            <v>Active</v>
          </cell>
          <cell r="I1176" t="str">
            <v>Rizvan,Mohamed</v>
          </cell>
          <cell r="J1176" t="str">
            <v>KBTS</v>
          </cell>
        </row>
        <row r="1177">
          <cell r="A1177">
            <v>203908354</v>
          </cell>
          <cell r="B1177" t="str">
            <v>ksesteph</v>
          </cell>
          <cell r="C1177" t="str">
            <v>SEETA,STEPHEN</v>
          </cell>
          <cell r="D1177">
            <v>14020529</v>
          </cell>
          <cell r="E1177">
            <v>1299</v>
          </cell>
          <cell r="F1177" t="str">
            <v>Mon Jan 27 00:00:00 UTC 2025</v>
          </cell>
          <cell r="G1177" t="str">
            <v>3PTY</v>
          </cell>
          <cell r="H1177" t="str">
            <v>Active</v>
          </cell>
          <cell r="I1177" t="str">
            <v>Meera,Bava Bahrudeen</v>
          </cell>
          <cell r="J1177" t="str">
            <v>DULS</v>
          </cell>
        </row>
        <row r="1178">
          <cell r="A1178">
            <v>203709884</v>
          </cell>
          <cell r="B1178" t="str">
            <v>pyaminso</v>
          </cell>
          <cell r="C1178" t="str">
            <v>Soe,Yamin Kyaw</v>
          </cell>
          <cell r="D1178">
            <v>14851329</v>
          </cell>
          <cell r="E1178">
            <v>1299</v>
          </cell>
          <cell r="F1178" t="str">
            <v>Mon Jul 22 00:00:00 UTC 2024</v>
          </cell>
          <cell r="G1178" t="str">
            <v>3PTY</v>
          </cell>
          <cell r="H1178" t="str">
            <v>Active</v>
          </cell>
          <cell r="I1178" t="str">
            <v>Dinberu,Eden</v>
          </cell>
          <cell r="J1178" t="str">
            <v>ADEC</v>
          </cell>
        </row>
        <row r="1179">
          <cell r="A1179">
            <v>203469051</v>
          </cell>
          <cell r="B1179" t="str">
            <v>bowusuda</v>
          </cell>
          <cell r="C1179" t="str">
            <v>Owusu,Daniel</v>
          </cell>
          <cell r="D1179">
            <v>11503784</v>
          </cell>
          <cell r="E1179">
            <v>1299</v>
          </cell>
          <cell r="F1179" t="str">
            <v>Thu Jun 13 00:00:00 UTC 2024</v>
          </cell>
          <cell r="G1179" t="str">
            <v>3PTY</v>
          </cell>
          <cell r="H1179" t="str">
            <v>Active</v>
          </cell>
          <cell r="I1179" t="str">
            <v>Sohail,Anis</v>
          </cell>
          <cell r="J1179" t="str">
            <v>FLO</v>
          </cell>
        </row>
        <row r="1180">
          <cell r="A1180">
            <v>203782887</v>
          </cell>
          <cell r="B1180" t="str">
            <v>eumshehz</v>
          </cell>
          <cell r="C1180" t="str">
            <v>Shehzad,Umer</v>
          </cell>
          <cell r="D1180">
            <v>15040423</v>
          </cell>
          <cell r="E1180">
            <v>1299</v>
          </cell>
          <cell r="F1180" t="str">
            <v>Tue Aug 06 00:00:00 UTC 2024</v>
          </cell>
          <cell r="G1180" t="str">
            <v>3PTY</v>
          </cell>
          <cell r="H1180" t="str">
            <v>Active</v>
          </cell>
          <cell r="I1180" t="str">
            <v>Islam,Emdadul</v>
          </cell>
          <cell r="J1180" t="str">
            <v>WOFZ</v>
          </cell>
        </row>
        <row r="1181">
          <cell r="A1181">
            <v>206873549</v>
          </cell>
          <cell r="B1181" t="str">
            <v>embatavi</v>
          </cell>
          <cell r="C1181" t="str">
            <v>VIVIAN,EMBATA</v>
          </cell>
          <cell r="D1181">
            <v>14759895</v>
          </cell>
          <cell r="E1181">
            <v>1299</v>
          </cell>
          <cell r="F1181" t="str">
            <v>Mon Dec 29 00:00:00 UTC 2025</v>
          </cell>
          <cell r="G1181" t="str">
            <v>3PTY</v>
          </cell>
          <cell r="H1181" t="str">
            <v>Active</v>
          </cell>
          <cell r="I1181" t="str">
            <v>Katyal,Varun</v>
          </cell>
          <cell r="J1181" t="str">
            <v>FLO</v>
          </cell>
        </row>
        <row r="1182">
          <cell r="A1182">
            <v>203813135</v>
          </cell>
          <cell r="B1182" t="str">
            <v>vislrave</v>
          </cell>
          <cell r="C1182" t="str">
            <v>RAVEENDRAN,VISHNU KIZHAKKERIKAL</v>
          </cell>
          <cell r="D1182">
            <v>11228191</v>
          </cell>
          <cell r="E1182">
            <v>1299</v>
          </cell>
          <cell r="F1182" t="str">
            <v>Tue Aug 13 00:00:00 UTC 2024</v>
          </cell>
          <cell r="G1182" t="str">
            <v>3PTY</v>
          </cell>
          <cell r="H1182" t="str">
            <v>Active</v>
          </cell>
          <cell r="I1182" t="str">
            <v>Katyal,Varun</v>
          </cell>
          <cell r="J1182" t="str">
            <v>ADEC</v>
          </cell>
        </row>
        <row r="1183">
          <cell r="A1183">
            <v>205615858</v>
          </cell>
          <cell r="B1183" t="str">
            <v>roquearn</v>
          </cell>
          <cell r="C1183" t="str">
            <v>ROQUE,ARNOLD LIMON</v>
          </cell>
          <cell r="D1183">
            <v>11194292</v>
          </cell>
          <cell r="E1183">
            <v>1287</v>
          </cell>
          <cell r="F1183" t="str">
            <v>Fri Jul 04 00:00:00 UTC 2025</v>
          </cell>
          <cell r="G1183" t="str">
            <v>3PTY</v>
          </cell>
          <cell r="H1183" t="str">
            <v>Active</v>
          </cell>
          <cell r="I1183" t="str">
            <v>Ouseph,Vinu</v>
          </cell>
          <cell r="J1183" t="str">
            <v>MGFZ</v>
          </cell>
        </row>
        <row r="1184">
          <cell r="A1184">
            <v>205252530</v>
          </cell>
          <cell r="B1184" t="str">
            <v>kourever</v>
          </cell>
          <cell r="C1184" t="str">
            <v>Ouru,Everline Nyamoita</v>
          </cell>
          <cell r="D1184">
            <v>15195048</v>
          </cell>
          <cell r="E1184">
            <v>1299</v>
          </cell>
          <cell r="F1184" t="str">
            <v>Mon May 12 00:00:00 UTC 2025</v>
          </cell>
          <cell r="G1184" t="str">
            <v>3PTY</v>
          </cell>
          <cell r="H1184" t="str">
            <v>Active</v>
          </cell>
          <cell r="I1184" t="str">
            <v>Narshad,Muhammad Ashik</v>
          </cell>
          <cell r="J1184" t="str">
            <v>EFSV</v>
          </cell>
        </row>
        <row r="1185">
          <cell r="A1185">
            <v>203512666</v>
          </cell>
          <cell r="B1185" t="str">
            <v>ykwadwoj</v>
          </cell>
          <cell r="C1185" t="str">
            <v>Kwadwo,Joseph Sunkwa</v>
          </cell>
          <cell r="D1185">
            <v>11049582</v>
          </cell>
          <cell r="E1185">
            <v>1299</v>
          </cell>
          <cell r="F1185" t="str">
            <v>Thu Jun 20 00:00:00 UTC 2024</v>
          </cell>
          <cell r="G1185" t="str">
            <v>3PTY</v>
          </cell>
          <cell r="H1185" t="str">
            <v>Active</v>
          </cell>
          <cell r="I1185" t="str">
            <v>Lakkireddy,Sai Raghavendra Reddy</v>
          </cell>
          <cell r="J1185" t="str">
            <v>FLO</v>
          </cell>
        </row>
        <row r="1186">
          <cell r="A1186">
            <v>206016552</v>
          </cell>
          <cell r="B1186" t="str">
            <v>nyasnoah</v>
          </cell>
          <cell r="C1186" t="str">
            <v>NYASHA BUNU,NOAH</v>
          </cell>
          <cell r="D1186">
            <v>14736734</v>
          </cell>
          <cell r="E1186">
            <v>1299</v>
          </cell>
          <cell r="F1186" t="str">
            <v>Mon Sep 15 00:00:00 UTC 2025</v>
          </cell>
          <cell r="G1186" t="str">
            <v>3PTY</v>
          </cell>
          <cell r="H1186" t="str">
            <v>Active</v>
          </cell>
          <cell r="I1186" t="str">
            <v>Meera,Bava Bahrudeen</v>
          </cell>
          <cell r="J1186" t="str">
            <v>FLO</v>
          </cell>
        </row>
        <row r="1187">
          <cell r="A1187">
            <v>205113887</v>
          </cell>
          <cell r="B1187" t="str">
            <v>ismaimdd</v>
          </cell>
          <cell r="C1187" t="str">
            <v>Ismail Hossain,MD</v>
          </cell>
          <cell r="D1187">
            <v>14218719</v>
          </cell>
          <cell r="E1187">
            <v>1712</v>
          </cell>
          <cell r="F1187" t="str">
            <v>Fri Apr 04 00:00:00 UTC 2025</v>
          </cell>
          <cell r="G1187" t="str">
            <v>3PTY</v>
          </cell>
          <cell r="H1187" t="str">
            <v>Active</v>
          </cell>
          <cell r="I1187" t="str">
            <v>POGALA,HAREESH</v>
          </cell>
          <cell r="J1187" t="str">
            <v>KBTS</v>
          </cell>
        </row>
        <row r="1188">
          <cell r="A1188">
            <v>205214432</v>
          </cell>
          <cell r="B1188" t="str">
            <v>mkamarea</v>
          </cell>
          <cell r="C1188" t="str">
            <v>Kamare Alam,MD</v>
          </cell>
          <cell r="D1188">
            <v>14583298</v>
          </cell>
          <cell r="E1188">
            <v>1712</v>
          </cell>
          <cell r="F1188" t="str">
            <v>Sun Apr 27 00:00:00 UTC 2025</v>
          </cell>
          <cell r="G1188" t="str">
            <v>3PTY</v>
          </cell>
          <cell r="H1188" t="str">
            <v>Active</v>
          </cell>
          <cell r="I1188" t="str">
            <v>POGALA,HAREESH</v>
          </cell>
          <cell r="J1188" t="str">
            <v>KBTS</v>
          </cell>
        </row>
        <row r="1189">
          <cell r="A1189">
            <v>207865023</v>
          </cell>
          <cell r="B1189" t="str">
            <v>varbaran</v>
          </cell>
          <cell r="C1189" t="str">
            <v>Baranov,Artem</v>
          </cell>
          <cell r="D1189">
            <v>14432659</v>
          </cell>
          <cell r="E1189">
            <v>1200</v>
          </cell>
          <cell r="F1189" t="str">
            <v>Sun Jul 05 00:00:00 UTC 2026</v>
          </cell>
          <cell r="G1189" t="str">
            <v>3PTY</v>
          </cell>
          <cell r="H1189" t="str">
            <v>Active</v>
          </cell>
          <cell r="I1189" t="str">
            <v>Alhashmi,Abdulla</v>
          </cell>
          <cell r="J1189" t="str">
            <v>SSIS</v>
          </cell>
        </row>
        <row r="1190">
          <cell r="A1190">
            <v>203850923</v>
          </cell>
          <cell r="B1190" t="str">
            <v>rssemand</v>
          </cell>
          <cell r="C1190" t="str">
            <v>Ssemanda,Ronald</v>
          </cell>
          <cell r="D1190">
            <v>345728</v>
          </cell>
          <cell r="E1190">
            <v>1299</v>
          </cell>
          <cell r="F1190" t="str">
            <v>Tue Aug 20 00:00:00 UTC 2024</v>
          </cell>
          <cell r="G1190" t="str">
            <v>3PTY</v>
          </cell>
          <cell r="H1190" t="str">
            <v>Active</v>
          </cell>
          <cell r="I1190" t="str">
            <v>Scaria,Varghese</v>
          </cell>
          <cell r="J1190" t="str">
            <v>DULS</v>
          </cell>
        </row>
        <row r="1191">
          <cell r="A1191">
            <v>206926475</v>
          </cell>
          <cell r="B1191" t="str">
            <v>basmagan</v>
          </cell>
          <cell r="C1191" t="str">
            <v>MAGANDA,BASHIR</v>
          </cell>
          <cell r="D1191">
            <v>11800463</v>
          </cell>
          <cell r="E1191">
            <v>1299</v>
          </cell>
          <cell r="F1191" t="str">
            <v>Thu Jan 15 00:00:00 UTC 2026</v>
          </cell>
          <cell r="G1191" t="str">
            <v>3PTY</v>
          </cell>
          <cell r="H1191" t="str">
            <v>Active</v>
          </cell>
          <cell r="I1191" t="str">
            <v>elrashid,Hassan</v>
          </cell>
          <cell r="J1191" t="str">
            <v>DULS</v>
          </cell>
        </row>
        <row r="1192">
          <cell r="A1192">
            <v>206791438</v>
          </cell>
          <cell r="B1192" t="str">
            <v>twinamas</v>
          </cell>
          <cell r="C1192" t="str">
            <v>TWINAMASIKO,COLLINS</v>
          </cell>
          <cell r="D1192">
            <v>13875771</v>
          </cell>
          <cell r="E1192">
            <v>1299</v>
          </cell>
          <cell r="F1192" t="str">
            <v>Mon Dec 08 00:00:00 UTC 2025</v>
          </cell>
          <cell r="G1192" t="str">
            <v>3PTY</v>
          </cell>
          <cell r="H1192" t="str">
            <v>Active</v>
          </cell>
          <cell r="I1192" t="str">
            <v>Katyal,Varun</v>
          </cell>
          <cell r="J1192" t="str">
            <v>DULS</v>
          </cell>
        </row>
        <row r="1193">
          <cell r="A1193">
            <v>204883244</v>
          </cell>
          <cell r="B1193" t="str">
            <v>pkamhuru</v>
          </cell>
          <cell r="C1193" t="str">
            <v>Kamhuru,Sharon Shingirirai</v>
          </cell>
          <cell r="D1193">
            <v>14112437</v>
          </cell>
          <cell r="E1193">
            <v>1299</v>
          </cell>
          <cell r="F1193" t="str">
            <v>Mon Feb 03 00:00:00 UTC 2025</v>
          </cell>
          <cell r="G1193" t="str">
            <v>3PTY</v>
          </cell>
          <cell r="H1193" t="str">
            <v>Active</v>
          </cell>
          <cell r="I1193" t="str">
            <v>Meera,Bava Bahrudeen</v>
          </cell>
          <cell r="J1193" t="str">
            <v>QUES</v>
          </cell>
        </row>
        <row r="1194">
          <cell r="A1194">
            <v>203030142</v>
          </cell>
          <cell r="B1194" t="str">
            <v>veeragkr</v>
          </cell>
          <cell r="C1194" t="str">
            <v>Veeragopi,Krishanan</v>
          </cell>
          <cell r="D1194">
            <v>12963875</v>
          </cell>
          <cell r="E1194">
            <v>1299</v>
          </cell>
          <cell r="F1194" t="str">
            <v>Mon Feb 19 00:00:00 UTC 2024</v>
          </cell>
          <cell r="G1194" t="str">
            <v>3PTY</v>
          </cell>
          <cell r="H1194" t="str">
            <v>Active</v>
          </cell>
          <cell r="I1194" t="str">
            <v>Rizvan,Mohamed</v>
          </cell>
          <cell r="J1194" t="str">
            <v>KBTS</v>
          </cell>
        </row>
        <row r="1195">
          <cell r="A1195">
            <v>206873785</v>
          </cell>
          <cell r="B1195" t="str">
            <v>ocpjohnc</v>
          </cell>
          <cell r="C1195" t="str">
            <v>JOHN CHARLES,OCHOM</v>
          </cell>
          <cell r="D1195">
            <v>14791276</v>
          </cell>
          <cell r="E1195">
            <v>1299</v>
          </cell>
          <cell r="F1195" t="str">
            <v>Mon Dec 29 00:00:00 UTC 2025</v>
          </cell>
          <cell r="G1195" t="str">
            <v>3PTY</v>
          </cell>
          <cell r="H1195" t="str">
            <v>Active</v>
          </cell>
          <cell r="I1195" t="str">
            <v>Meera,Bava Bahrudeen</v>
          </cell>
          <cell r="J1195" t="str">
            <v>DULS</v>
          </cell>
        </row>
        <row r="1196">
          <cell r="A1196">
            <v>203800471</v>
          </cell>
          <cell r="B1196" t="str">
            <v>kamdipen</v>
          </cell>
          <cell r="C1196" t="str">
            <v>KAMAIT,DIPENDRA KUMAR</v>
          </cell>
          <cell r="D1196">
            <v>11830873</v>
          </cell>
          <cell r="E1196">
            <v>1299</v>
          </cell>
          <cell r="F1196" t="str">
            <v>Fri Aug 09 00:00:00 UTC 2024</v>
          </cell>
          <cell r="G1196" t="str">
            <v>3PTY</v>
          </cell>
          <cell r="H1196" t="str">
            <v>Active</v>
          </cell>
          <cell r="I1196" t="str">
            <v>POGALA,HAREESH</v>
          </cell>
          <cell r="J1196" t="str">
            <v>KBTS</v>
          </cell>
        </row>
        <row r="1197">
          <cell r="A1197">
            <v>203682331</v>
          </cell>
          <cell r="B1197" t="str">
            <v>franokai</v>
          </cell>
          <cell r="C1197" t="str">
            <v>Okai,Francis</v>
          </cell>
          <cell r="D1197">
            <v>11086776</v>
          </cell>
          <cell r="E1197">
            <v>1299</v>
          </cell>
          <cell r="F1197" t="str">
            <v>Mon Jul 15 00:00:00 UTC 2024</v>
          </cell>
          <cell r="G1197" t="str">
            <v>3PTY</v>
          </cell>
          <cell r="H1197" t="str">
            <v>Active</v>
          </cell>
          <cell r="I1197" t="str">
            <v>Sohail,Anis</v>
          </cell>
          <cell r="J1197" t="str">
            <v>ADEC</v>
          </cell>
        </row>
        <row r="1198">
          <cell r="A1198">
            <v>204009348</v>
          </cell>
          <cell r="B1198" t="str">
            <v>shrashif</v>
          </cell>
          <cell r="C1198" t="str">
            <v>SHRESTHA,ASHISH</v>
          </cell>
          <cell r="D1198">
            <v>11474085</v>
          </cell>
          <cell r="E1198">
            <v>1299</v>
          </cell>
          <cell r="F1198" t="str">
            <v>Mon Sep 16 00:00:00 UTC 2024</v>
          </cell>
          <cell r="G1198" t="str">
            <v>3PTY</v>
          </cell>
          <cell r="H1198" t="str">
            <v>Active</v>
          </cell>
          <cell r="I1198" t="str">
            <v>Thomas,Binil</v>
          </cell>
          <cell r="J1198" t="str">
            <v>DULS</v>
          </cell>
        </row>
        <row r="1199">
          <cell r="A1199">
            <v>203911255</v>
          </cell>
          <cell r="B1199" t="str">
            <v>okumarje</v>
          </cell>
          <cell r="C1199" t="str">
            <v>Kumar,Jeevan</v>
          </cell>
          <cell r="D1199">
            <v>14432012</v>
          </cell>
          <cell r="E1199">
            <v>1299</v>
          </cell>
          <cell r="F1199" t="str">
            <v>Mon Sep 02 00:00:00 UTC 2024</v>
          </cell>
          <cell r="G1199" t="str">
            <v>3PTY</v>
          </cell>
          <cell r="H1199" t="str">
            <v>Active</v>
          </cell>
          <cell r="I1199" t="str">
            <v>Thomas,Binil</v>
          </cell>
          <cell r="J1199" t="str">
            <v>ADEC</v>
          </cell>
        </row>
        <row r="1200">
          <cell r="A1200">
            <v>203737252</v>
          </cell>
          <cell r="B1200" t="str">
            <v>shafinda</v>
          </cell>
          <cell r="C1200" t="str">
            <v>NDAWULA,SHAFIK KYAZE</v>
          </cell>
          <cell r="D1200">
            <v>12175465</v>
          </cell>
          <cell r="E1200">
            <v>1299</v>
          </cell>
          <cell r="F1200" t="str">
            <v>Mon Jul 29 00:00:00 UTC 2024</v>
          </cell>
          <cell r="G1200" t="str">
            <v>3PTY</v>
          </cell>
          <cell r="H1200" t="str">
            <v>Active</v>
          </cell>
          <cell r="I1200" t="str">
            <v>Katyal,Varun</v>
          </cell>
          <cell r="J1200" t="str">
            <v>DULS</v>
          </cell>
        </row>
        <row r="1201">
          <cell r="A1201">
            <v>207590448</v>
          </cell>
          <cell r="B1201" t="str">
            <v>samiudkh</v>
          </cell>
          <cell r="C1201" t="str">
            <v>Khan,Samiuddin Momin</v>
          </cell>
          <cell r="D1201">
            <v>39151</v>
          </cell>
          <cell r="E1201">
            <v>1299</v>
          </cell>
          <cell r="F1201" t="str">
            <v>Wed May 27 00:00:00 UTC 2026</v>
          </cell>
          <cell r="G1201" t="str">
            <v>3PTY</v>
          </cell>
          <cell r="H1201" t="str">
            <v>Active</v>
          </cell>
          <cell r="I1201" t="str">
            <v>Parungao,Priscila Montejo</v>
          </cell>
          <cell r="J1201" t="str">
            <v>VSTG</v>
          </cell>
        </row>
        <row r="1202">
          <cell r="A1202">
            <v>205647585</v>
          </cell>
          <cell r="B1202" t="str">
            <v>sentshaf</v>
          </cell>
          <cell r="C1202" t="str">
            <v>Sentongo,Shafik</v>
          </cell>
          <cell r="D1202">
            <v>11749291</v>
          </cell>
          <cell r="E1202">
            <v>1299</v>
          </cell>
          <cell r="F1202" t="str">
            <v>Mon Jul 14 00:00:00 UTC 2025</v>
          </cell>
          <cell r="G1202" t="str">
            <v>3PTY</v>
          </cell>
          <cell r="H1202" t="str">
            <v>Active</v>
          </cell>
          <cell r="I1202" t="str">
            <v>Meera,Bava Bahrudeen</v>
          </cell>
          <cell r="J1202" t="str">
            <v>EFSV</v>
          </cell>
        </row>
        <row r="1203">
          <cell r="A1203">
            <v>203800277</v>
          </cell>
          <cell r="B1203" t="str">
            <v>sanataku</v>
          </cell>
          <cell r="C1203" t="str">
            <v>KUMAR,SANATA</v>
          </cell>
          <cell r="D1203">
            <v>14979519</v>
          </cell>
          <cell r="E1203">
            <v>1299</v>
          </cell>
          <cell r="F1203" t="str">
            <v>Fri Aug 09 00:00:00 UTC 2024</v>
          </cell>
          <cell r="G1203" t="str">
            <v>3PTY</v>
          </cell>
          <cell r="H1203" t="str">
            <v>Active</v>
          </cell>
          <cell r="I1203" t="str">
            <v>Rajendran,Ajith Kumar</v>
          </cell>
          <cell r="J1203" t="str">
            <v>KBTS</v>
          </cell>
        </row>
        <row r="1204">
          <cell r="A1204">
            <v>206192253</v>
          </cell>
          <cell r="B1204" t="str">
            <v>kipngehi</v>
          </cell>
          <cell r="C1204" t="str">
            <v>kipngetich,Hillary kiprop</v>
          </cell>
          <cell r="D1204">
            <v>12225591</v>
          </cell>
          <cell r="E1204">
            <v>1299</v>
          </cell>
          <cell r="F1204" t="str">
            <v>Mon Oct 06 00:00:00 UTC 2025</v>
          </cell>
          <cell r="G1204" t="str">
            <v>3PTY</v>
          </cell>
          <cell r="H1204" t="str">
            <v>Active</v>
          </cell>
          <cell r="I1204" t="str">
            <v>Sohail,Anis</v>
          </cell>
          <cell r="J1204" t="str">
            <v>EFSV</v>
          </cell>
        </row>
        <row r="1205">
          <cell r="A1205">
            <v>203851004</v>
          </cell>
          <cell r="B1205" t="str">
            <v>denniaap</v>
          </cell>
          <cell r="C1205" t="str">
            <v>Appau,Dennis Kwabena</v>
          </cell>
          <cell r="D1205">
            <v>14587023</v>
          </cell>
          <cell r="E1205">
            <v>1299</v>
          </cell>
          <cell r="F1205" t="str">
            <v>Tue Aug 20 00:00:00 UTC 2024</v>
          </cell>
          <cell r="G1205" t="str">
            <v>3PTY</v>
          </cell>
          <cell r="H1205" t="str">
            <v>Active</v>
          </cell>
          <cell r="I1205" t="str">
            <v>Katyal,Varun</v>
          </cell>
          <cell r="J1205" t="str">
            <v>FLO</v>
          </cell>
        </row>
        <row r="1206">
          <cell r="A1206">
            <v>207867353</v>
          </cell>
          <cell r="B1206" t="str">
            <v>fazleeil</v>
          </cell>
          <cell r="C1206" t="str">
            <v>Fazleev,Ilmir</v>
          </cell>
          <cell r="D1206">
            <v>11749276</v>
          </cell>
          <cell r="E1206">
            <v>1200</v>
          </cell>
          <cell r="F1206" t="str">
            <v>Fri Jul 03 00:00:00 UTC 2026</v>
          </cell>
          <cell r="G1206" t="str">
            <v>3PTY</v>
          </cell>
          <cell r="H1206" t="str">
            <v>Active</v>
          </cell>
          <cell r="I1206" t="str">
            <v>Alhashmi,Abdulla</v>
          </cell>
          <cell r="J1206" t="str">
            <v>SSIS</v>
          </cell>
        </row>
        <row r="1207">
          <cell r="A1207">
            <v>202436104</v>
          </cell>
          <cell r="B1207" t="str">
            <v>kingklik</v>
          </cell>
          <cell r="C1207" t="str">
            <v>Kliko,Kingsford</v>
          </cell>
          <cell r="D1207">
            <v>13553718</v>
          </cell>
          <cell r="E1207">
            <v>1299</v>
          </cell>
          <cell r="F1207" t="str">
            <v>Mon Oct 21 00:00:00 UTC 2024</v>
          </cell>
          <cell r="G1207" t="str">
            <v>3PTY</v>
          </cell>
          <cell r="H1207" t="str">
            <v>Active</v>
          </cell>
          <cell r="I1207" t="str">
            <v>Thomas,Binil</v>
          </cell>
          <cell r="J1207" t="str">
            <v>QUES</v>
          </cell>
        </row>
        <row r="1208">
          <cell r="A1208">
            <v>203555224</v>
          </cell>
          <cell r="B1208" t="str">
            <v>beryllin</v>
          </cell>
          <cell r="C1208" t="str">
            <v>Okine,Berylline Naa Ayeley</v>
          </cell>
          <cell r="D1208">
            <v>12797290</v>
          </cell>
          <cell r="E1208">
            <v>1299</v>
          </cell>
          <cell r="F1208" t="str">
            <v>Thu Jun 27 00:00:00 UTC 2024</v>
          </cell>
          <cell r="G1208" t="str">
            <v>3PTY</v>
          </cell>
          <cell r="H1208" t="str">
            <v>Active</v>
          </cell>
          <cell r="I1208" t="str">
            <v>Dinberu,Eden</v>
          </cell>
          <cell r="J1208" t="str">
            <v>FLO</v>
          </cell>
        </row>
        <row r="1209">
          <cell r="A1209">
            <v>206934195</v>
          </cell>
          <cell r="B1209" t="str">
            <v>javahmai</v>
          </cell>
          <cell r="C1209" t="str">
            <v>MAINA,JAVANES KINGORI</v>
          </cell>
          <cell r="D1209">
            <v>13054739</v>
          </cell>
          <cell r="E1209">
            <v>1299</v>
          </cell>
          <cell r="F1209" t="str">
            <v>Mon Jan 19 00:00:00 UTC 2026</v>
          </cell>
          <cell r="G1209" t="str">
            <v>3PTY</v>
          </cell>
          <cell r="H1209" t="str">
            <v>Active</v>
          </cell>
          <cell r="I1209" t="str">
            <v>Katyal,Varun</v>
          </cell>
          <cell r="J1209" t="str">
            <v>EFSV</v>
          </cell>
        </row>
        <row r="1210">
          <cell r="A1210">
            <v>204869099</v>
          </cell>
          <cell r="B1210" t="str">
            <v>fondwhit</v>
          </cell>
          <cell r="C1210" t="str">
            <v>Fondanui,Whitney-Lois Fenui</v>
          </cell>
          <cell r="D1210">
            <v>11954429</v>
          </cell>
          <cell r="E1210">
            <v>1299</v>
          </cell>
          <cell r="F1210" t="str">
            <v>Mon Feb 03 00:00:00 UTC 2025</v>
          </cell>
          <cell r="G1210" t="str">
            <v>3PTY</v>
          </cell>
          <cell r="H1210" t="str">
            <v>Active</v>
          </cell>
          <cell r="I1210" t="str">
            <v>Narshad,Muhammad Ashik</v>
          </cell>
          <cell r="J1210" t="str">
            <v>QUES</v>
          </cell>
        </row>
        <row r="1211">
          <cell r="A1211">
            <v>203817154</v>
          </cell>
          <cell r="B1211" t="str">
            <v>vicwquay</v>
          </cell>
          <cell r="C1211" t="str">
            <v>QUAYSON,VICTORIA</v>
          </cell>
          <cell r="D1211">
            <v>15054588</v>
          </cell>
          <cell r="E1211">
            <v>1299</v>
          </cell>
          <cell r="F1211" t="str">
            <v>Tue Aug 13 00:00:00 UTC 2024</v>
          </cell>
          <cell r="G1211" t="str">
            <v>3PTY</v>
          </cell>
          <cell r="H1211" t="str">
            <v>Active</v>
          </cell>
          <cell r="I1211" t="str">
            <v>Meera,Bava Bahrudeen</v>
          </cell>
          <cell r="J1211" t="str">
            <v>FLO</v>
          </cell>
        </row>
        <row r="1212">
          <cell r="A1212">
            <v>203802272</v>
          </cell>
          <cell r="B1212" t="str">
            <v>fuseawal</v>
          </cell>
          <cell r="C1212" t="str">
            <v>FUSEINI,AWAL</v>
          </cell>
          <cell r="D1212">
            <v>12975385</v>
          </cell>
          <cell r="E1212">
            <v>1299</v>
          </cell>
          <cell r="F1212" t="str">
            <v>Tue Aug 13 00:00:00 UTC 2024</v>
          </cell>
          <cell r="G1212" t="str">
            <v>3PTY</v>
          </cell>
          <cell r="H1212" t="str">
            <v>Active</v>
          </cell>
          <cell r="I1212" t="str">
            <v>Katyal,Varun</v>
          </cell>
          <cell r="J1212" t="str">
            <v>FLO</v>
          </cell>
        </row>
        <row r="1213">
          <cell r="A1213">
            <v>204967558</v>
          </cell>
          <cell r="B1213" t="str">
            <v>kwlsimon</v>
          </cell>
          <cell r="C1213" t="str">
            <v>KWAO,SIMON</v>
          </cell>
          <cell r="D1213">
            <v>12376142</v>
          </cell>
          <cell r="E1213">
            <v>1299</v>
          </cell>
          <cell r="F1213" t="str">
            <v>Wed Jun 18 00:00:00 UTC 2025</v>
          </cell>
          <cell r="G1213" t="str">
            <v>3PTY</v>
          </cell>
          <cell r="H1213" t="str">
            <v>Active</v>
          </cell>
          <cell r="I1213" t="str">
            <v>Katyal,Varun</v>
          </cell>
          <cell r="J1213" t="str">
            <v>DULS</v>
          </cell>
        </row>
        <row r="1214">
          <cell r="A1214">
            <v>203850933</v>
          </cell>
          <cell r="B1214" t="str">
            <v>emmaabug</v>
          </cell>
          <cell r="C1214" t="str">
            <v>Abugri,Emmanuel</v>
          </cell>
          <cell r="D1214">
            <v>13058218</v>
          </cell>
          <cell r="E1214">
            <v>1299</v>
          </cell>
          <cell r="F1214" t="str">
            <v>Tue Aug 20 00:00:00 UTC 2024</v>
          </cell>
          <cell r="G1214" t="str">
            <v>3PTY</v>
          </cell>
          <cell r="H1214" t="str">
            <v>Active</v>
          </cell>
          <cell r="I1214" t="str">
            <v>Dinberu,Eden</v>
          </cell>
          <cell r="J1214" t="str">
            <v>FLO</v>
          </cell>
        </row>
        <row r="1215">
          <cell r="A1215">
            <v>204072301</v>
          </cell>
          <cell r="B1215" t="str">
            <v>musingge</v>
          </cell>
          <cell r="C1215" t="str">
            <v>MUSINGUZI,GERALD</v>
          </cell>
          <cell r="D1215">
            <v>12142585</v>
          </cell>
          <cell r="E1215">
            <v>1299</v>
          </cell>
          <cell r="F1215" t="str">
            <v>Mon Sep 23 00:00:00 UTC 2024</v>
          </cell>
          <cell r="G1215" t="str">
            <v>3PTY</v>
          </cell>
          <cell r="H1215" t="str">
            <v>Active</v>
          </cell>
          <cell r="I1215" t="str">
            <v>Ansari,Ammar Abdullah</v>
          </cell>
          <cell r="J1215" t="str">
            <v>DULS</v>
          </cell>
        </row>
        <row r="1216">
          <cell r="A1216">
            <v>206006079</v>
          </cell>
          <cell r="B1216" t="str">
            <v>agyarjac</v>
          </cell>
          <cell r="C1216" t="str">
            <v>AGYARE,JACOBEL</v>
          </cell>
          <cell r="D1216">
            <v>11769133</v>
          </cell>
          <cell r="E1216">
            <v>1299</v>
          </cell>
          <cell r="F1216" t="str">
            <v>Mon Sep 15 00:00:00 UTC 2025</v>
          </cell>
          <cell r="G1216" t="str">
            <v>3PTY</v>
          </cell>
          <cell r="H1216" t="str">
            <v>Active</v>
          </cell>
          <cell r="I1216" t="str">
            <v>Sohail,Anis</v>
          </cell>
          <cell r="J1216" t="str">
            <v>FLO</v>
          </cell>
        </row>
        <row r="1217">
          <cell r="A1217">
            <v>203800527</v>
          </cell>
          <cell r="B1217" t="str">
            <v>bhyammar</v>
          </cell>
          <cell r="C1217" t="str">
            <v>BHANDARI,AMMAR</v>
          </cell>
          <cell r="D1217">
            <v>14290069</v>
          </cell>
          <cell r="E1217">
            <v>1299</v>
          </cell>
          <cell r="F1217" t="str">
            <v>Fri Aug 09 00:00:00 UTC 2024</v>
          </cell>
          <cell r="G1217" t="str">
            <v>3PTY</v>
          </cell>
          <cell r="H1217" t="str">
            <v>Active</v>
          </cell>
          <cell r="I1217" t="str">
            <v>Rajendran,Ajith Kumar</v>
          </cell>
          <cell r="J1217" t="str">
            <v>KBTS</v>
          </cell>
        </row>
        <row r="1218">
          <cell r="A1218">
            <v>204246612</v>
          </cell>
          <cell r="B1218" t="str">
            <v>tamanyet</v>
          </cell>
          <cell r="C1218" t="str">
            <v>Manyetu,Tariro</v>
          </cell>
          <cell r="D1218">
            <v>13514432</v>
          </cell>
          <cell r="E1218">
            <v>1299</v>
          </cell>
          <cell r="F1218" t="str">
            <v>Mon Oct 14 00:00:00 UTC 2024</v>
          </cell>
          <cell r="G1218" t="str">
            <v>3PTY</v>
          </cell>
          <cell r="H1218" t="str">
            <v>Active</v>
          </cell>
          <cell r="I1218" t="str">
            <v>Katyal,Varun</v>
          </cell>
          <cell r="J1218" t="str">
            <v>QUES</v>
          </cell>
        </row>
        <row r="1219">
          <cell r="A1219">
            <v>204883236</v>
          </cell>
          <cell r="B1219" t="str">
            <v>makaflor</v>
          </cell>
          <cell r="C1219" t="str">
            <v>Makamure,Florence Ottilia Tsitsi</v>
          </cell>
          <cell r="D1219">
            <v>11401371</v>
          </cell>
          <cell r="E1219">
            <v>1299</v>
          </cell>
          <cell r="F1219" t="str">
            <v>Mon Feb 03 00:00:00 UTC 2025</v>
          </cell>
          <cell r="G1219" t="str">
            <v>3PTY</v>
          </cell>
          <cell r="H1219" t="str">
            <v>Active</v>
          </cell>
          <cell r="I1219" t="str">
            <v>Katyal,Varun</v>
          </cell>
          <cell r="J1219" t="str">
            <v>QUES</v>
          </cell>
        </row>
        <row r="1220">
          <cell r="A1220">
            <v>203469458</v>
          </cell>
          <cell r="B1220" t="str">
            <v>ndanzyco</v>
          </cell>
          <cell r="C1220" t="str">
            <v>NDANZE,CONGRATES MOFORKENG</v>
          </cell>
          <cell r="D1220">
            <v>14482387</v>
          </cell>
          <cell r="E1220">
            <v>1299</v>
          </cell>
          <cell r="F1220" t="str">
            <v>Thu Jun 13 00:00:00 UTC 2024</v>
          </cell>
          <cell r="G1220" t="str">
            <v>3PTY</v>
          </cell>
          <cell r="H1220" t="str">
            <v>Active</v>
          </cell>
          <cell r="I1220" t="str">
            <v>Sohail,Anis</v>
          </cell>
          <cell r="J1220" t="str">
            <v>ADEC</v>
          </cell>
        </row>
        <row r="1221">
          <cell r="A1221">
            <v>207865016</v>
          </cell>
          <cell r="B1221" t="str">
            <v>jnurkhoz</v>
          </cell>
          <cell r="C1221" t="str">
            <v>Nurkhozhayev,Samat</v>
          </cell>
          <cell r="D1221">
            <v>13550036</v>
          </cell>
          <cell r="E1221">
            <v>1200</v>
          </cell>
          <cell r="F1221" t="str">
            <v>Sun Jul 05 00:00:00 UTC 2026</v>
          </cell>
          <cell r="G1221" t="str">
            <v>3PTY</v>
          </cell>
          <cell r="H1221" t="str">
            <v>Active</v>
          </cell>
          <cell r="I1221" t="str">
            <v>Alhashmi,Abdulla</v>
          </cell>
          <cell r="J1221" t="str">
            <v>SSIS</v>
          </cell>
        </row>
        <row r="1222">
          <cell r="A1222">
            <v>203964997</v>
          </cell>
          <cell r="B1222" t="str">
            <v>lmathewt</v>
          </cell>
          <cell r="C1222" t="str">
            <v>Mathew,Tom</v>
          </cell>
          <cell r="D1222">
            <v>11954398</v>
          </cell>
          <cell r="E1222">
            <v>1299</v>
          </cell>
          <cell r="F1222" t="str">
            <v>Mon Sep 09 00:00:00 UTC 2024</v>
          </cell>
          <cell r="G1222" t="str">
            <v>3PTY</v>
          </cell>
          <cell r="H1222" t="str">
            <v>Active</v>
          </cell>
          <cell r="I1222" t="str">
            <v>Ansari,Ammar Abdullah</v>
          </cell>
          <cell r="J1222" t="str">
            <v>ADEC</v>
          </cell>
        </row>
        <row r="1223">
          <cell r="A1223">
            <v>203341966</v>
          </cell>
          <cell r="B1223" t="str">
            <v>lanshapa</v>
          </cell>
          <cell r="C1223" t="str">
            <v>LANSHA,PAUL TAPING</v>
          </cell>
          <cell r="D1223">
            <v>14440944</v>
          </cell>
          <cell r="E1223">
            <v>1299</v>
          </cell>
          <cell r="F1223" t="str">
            <v>Mon May 20 00:00:00 UTC 2024</v>
          </cell>
          <cell r="G1223" t="str">
            <v>3PTY</v>
          </cell>
          <cell r="H1223" t="str">
            <v>Active</v>
          </cell>
          <cell r="I1223" t="str">
            <v>Ansari,Ammar Abdullah</v>
          </cell>
          <cell r="J1223" t="str">
            <v>ADEC</v>
          </cell>
        </row>
        <row r="1224">
          <cell r="A1224">
            <v>207019330</v>
          </cell>
          <cell r="B1224" t="str">
            <v>eyobmerm</v>
          </cell>
          <cell r="C1224" t="str">
            <v>mejo,Eyob merteta</v>
          </cell>
          <cell r="D1224">
            <v>11774394</v>
          </cell>
          <cell r="E1224">
            <v>1712</v>
          </cell>
          <cell r="F1224" t="str">
            <v>Tue Feb 10 00:00:00 UTC 2026</v>
          </cell>
          <cell r="G1224" t="str">
            <v>3PTY</v>
          </cell>
          <cell r="H1224" t="str">
            <v>Active</v>
          </cell>
          <cell r="I1224" t="str">
            <v>ramadoss,vadivel</v>
          </cell>
          <cell r="J1224" t="str">
            <v>KBTS</v>
          </cell>
        </row>
        <row r="1225">
          <cell r="A1225">
            <v>204319462</v>
          </cell>
          <cell r="B1225" t="str">
            <v>emmanhme</v>
          </cell>
          <cell r="C1225" t="str">
            <v>Mensah,Emmanuel</v>
          </cell>
          <cell r="D1225">
            <v>12685696</v>
          </cell>
          <cell r="E1225">
            <v>1299</v>
          </cell>
          <cell r="F1225" t="str">
            <v>Thu Oct 24 00:00:00 UTC 2024</v>
          </cell>
          <cell r="G1225" t="str">
            <v>3PTY</v>
          </cell>
          <cell r="H1225" t="str">
            <v>Active</v>
          </cell>
          <cell r="I1225" t="str">
            <v>Sohail,Anis</v>
          </cell>
          <cell r="J1225" t="str">
            <v>QUES</v>
          </cell>
        </row>
        <row r="1226">
          <cell r="A1226">
            <v>206065208</v>
          </cell>
          <cell r="B1226" t="str">
            <v>araalfra</v>
          </cell>
          <cell r="C1226" t="str">
            <v>ARAALI MUTEGEKI,FRANCIS</v>
          </cell>
          <cell r="D1226">
            <v>13676093</v>
          </cell>
          <cell r="E1226">
            <v>1299</v>
          </cell>
          <cell r="F1226" t="str">
            <v>Thu Jul 23 00:00:00 UTC 2026</v>
          </cell>
          <cell r="G1226" t="str">
            <v>3PTY</v>
          </cell>
          <cell r="H1226" t="str">
            <v>Active</v>
          </cell>
          <cell r="I1226" t="str">
            <v>elrashid,Hassan</v>
          </cell>
          <cell r="J1226" t="str">
            <v>FLO</v>
          </cell>
        </row>
        <row r="1227">
          <cell r="A1227">
            <v>206873654</v>
          </cell>
          <cell r="B1227" t="str">
            <v>ahiakosa</v>
          </cell>
          <cell r="C1227" t="str">
            <v>AHIAKOR,SANDRA</v>
          </cell>
          <cell r="D1227">
            <v>14700942</v>
          </cell>
          <cell r="E1227">
            <v>1299</v>
          </cell>
          <cell r="F1227" t="str">
            <v>Mon Dec 29 00:00:00 UTC 2025</v>
          </cell>
          <cell r="G1227" t="str">
            <v>3PTY</v>
          </cell>
          <cell r="H1227" t="str">
            <v>Active</v>
          </cell>
          <cell r="I1227" t="str">
            <v>Katyal,Varun</v>
          </cell>
          <cell r="J1227" t="str">
            <v>FLO</v>
          </cell>
        </row>
        <row r="1228">
          <cell r="A1228">
            <v>206239763</v>
          </cell>
          <cell r="B1228" t="str">
            <v>anitofoc</v>
          </cell>
          <cell r="C1228" t="str">
            <v>OFORIWAA ADU,ANITA</v>
          </cell>
          <cell r="D1228">
            <v>11637656</v>
          </cell>
          <cell r="E1228">
            <v>1299</v>
          </cell>
          <cell r="F1228" t="str">
            <v>Mon Oct 13 00:00:00 UTC 2025</v>
          </cell>
          <cell r="G1228" t="str">
            <v>3PTY</v>
          </cell>
          <cell r="H1228" t="str">
            <v>Active</v>
          </cell>
          <cell r="I1228" t="str">
            <v>Narshad,Muhammad Ashik</v>
          </cell>
          <cell r="J1228" t="str">
            <v>FLO</v>
          </cell>
        </row>
        <row r="1229">
          <cell r="A1229">
            <v>204930908</v>
          </cell>
          <cell r="B1229" t="str">
            <v>sarwasee</v>
          </cell>
          <cell r="C1229" t="str">
            <v>Waseem,Sarafraz Mohd</v>
          </cell>
          <cell r="D1229">
            <v>12293926</v>
          </cell>
          <cell r="E1229">
            <v>1299</v>
          </cell>
          <cell r="F1229" t="str">
            <v>Thu Feb 13 00:00:00 UTC 2025</v>
          </cell>
          <cell r="G1229" t="str">
            <v>3PTY</v>
          </cell>
          <cell r="H1229" t="str">
            <v>Active</v>
          </cell>
          <cell r="I1229" t="str">
            <v>Parungao,Priscila Montejo</v>
          </cell>
          <cell r="J1229" t="str">
            <v>VSTG</v>
          </cell>
        </row>
        <row r="1230">
          <cell r="A1230">
            <v>207047584</v>
          </cell>
          <cell r="B1230" t="str">
            <v>uzsarwar</v>
          </cell>
          <cell r="C1230" t="str">
            <v>sarwar,usman</v>
          </cell>
          <cell r="D1230">
            <v>14701282</v>
          </cell>
          <cell r="E1230">
            <v>1299</v>
          </cell>
          <cell r="F1230" t="str">
            <v>Wed Feb 18 00:00:00 UTC 2026</v>
          </cell>
          <cell r="G1230" t="str">
            <v>3PTY</v>
          </cell>
          <cell r="H1230" t="str">
            <v>Active</v>
          </cell>
          <cell r="I1230" t="str">
            <v>Elsaadany,Sara</v>
          </cell>
          <cell r="J1230" t="str">
            <v>EFS</v>
          </cell>
        </row>
        <row r="1231">
          <cell r="A1231">
            <v>206886515</v>
          </cell>
          <cell r="B1231" t="str">
            <v>merabelf</v>
          </cell>
          <cell r="C1231" t="str">
            <v>MBIYDZENYUY,MERABEL FENIBEE</v>
          </cell>
          <cell r="D1231">
            <v>11233433</v>
          </cell>
          <cell r="E1231">
            <v>1299</v>
          </cell>
          <cell r="F1231" t="str">
            <v>Mon Jan 05 00:00:00 UTC 2026</v>
          </cell>
          <cell r="G1231" t="str">
            <v>3PTY</v>
          </cell>
          <cell r="H1231" t="str">
            <v>Active</v>
          </cell>
          <cell r="I1231" t="str">
            <v>Thomas,Binil</v>
          </cell>
          <cell r="J1231" t="str">
            <v>EFSV</v>
          </cell>
        </row>
        <row r="1232">
          <cell r="A1232">
            <v>203851274</v>
          </cell>
          <cell r="B1232" t="str">
            <v>munisuku</v>
          </cell>
          <cell r="C1232" t="str">
            <v>Kumar,Munish</v>
          </cell>
          <cell r="D1232">
            <v>12925789</v>
          </cell>
          <cell r="E1232">
            <v>1299</v>
          </cell>
          <cell r="F1232" t="str">
            <v>Tue Aug 20 00:00:00 UTC 2024</v>
          </cell>
          <cell r="G1232" t="str">
            <v>3PTY</v>
          </cell>
          <cell r="H1232" t="str">
            <v>Active</v>
          </cell>
          <cell r="I1232" t="str">
            <v>Katyal,Varun</v>
          </cell>
          <cell r="J1232" t="str">
            <v>ADEC</v>
          </cell>
        </row>
        <row r="1233">
          <cell r="A1233">
            <v>206846698</v>
          </cell>
          <cell r="B1233" t="str">
            <v>mosekiiz</v>
          </cell>
          <cell r="C1233" t="str">
            <v>MOSES,KIIZA</v>
          </cell>
          <cell r="D1233">
            <v>14270749</v>
          </cell>
          <cell r="E1233">
            <v>1299</v>
          </cell>
          <cell r="F1233" t="str">
            <v>Mon Dec 22 00:00:00 UTC 2025</v>
          </cell>
          <cell r="G1233" t="str">
            <v>3PTY</v>
          </cell>
          <cell r="H1233" t="str">
            <v>Active</v>
          </cell>
          <cell r="I1233" t="str">
            <v>elrashid,Hassan</v>
          </cell>
          <cell r="J1233" t="str">
            <v>DULS</v>
          </cell>
        </row>
        <row r="1234">
          <cell r="A1234">
            <v>113433097</v>
          </cell>
          <cell r="B1234" t="str">
            <v>kamorash</v>
          </cell>
          <cell r="C1234" t="str">
            <v>KAMAL..,MORAS.</v>
          </cell>
          <cell r="D1234">
            <v>14424899</v>
          </cell>
          <cell r="E1234">
            <v>1299</v>
          </cell>
          <cell r="F1234" t="str">
            <v>Mon Sep 02 00:00:00 UTC 2024</v>
          </cell>
          <cell r="G1234" t="str">
            <v>3PTY</v>
          </cell>
          <cell r="H1234" t="str">
            <v>Active</v>
          </cell>
          <cell r="I1234" t="str">
            <v>Narshad,Muhammad Ashik</v>
          </cell>
          <cell r="J1234" t="str">
            <v>ADEC</v>
          </cell>
        </row>
        <row r="1235">
          <cell r="A1235">
            <v>201228114</v>
          </cell>
          <cell r="B1235" t="str">
            <v>tuleoleo</v>
          </cell>
          <cell r="C1235" t="str">
            <v>Tumay,Leo Leonardo</v>
          </cell>
          <cell r="D1235">
            <v>12433619</v>
          </cell>
          <cell r="E1235">
            <v>1299</v>
          </cell>
          <cell r="F1235" t="str">
            <v>Thu Oct 31 00:00:00 UTC 2024</v>
          </cell>
          <cell r="G1235" t="str">
            <v>3PTY</v>
          </cell>
          <cell r="H1235" t="str">
            <v>Active</v>
          </cell>
          <cell r="I1235" t="str">
            <v>Dinberu,Eden</v>
          </cell>
          <cell r="J1235" t="str">
            <v>QUES</v>
          </cell>
        </row>
        <row r="1236">
          <cell r="A1236">
            <v>206873651</v>
          </cell>
          <cell r="B1236" t="str">
            <v>mtsagued</v>
          </cell>
          <cell r="C1236" t="str">
            <v>TSAGUE DONFACK EPSE NDONGO,MAIVA</v>
          </cell>
          <cell r="D1236">
            <v>13742340</v>
          </cell>
          <cell r="E1236">
            <v>1299</v>
          </cell>
          <cell r="F1236" t="str">
            <v>Mon Dec 29 00:00:00 UTC 2025</v>
          </cell>
          <cell r="G1236" t="str">
            <v>3PTY</v>
          </cell>
          <cell r="H1236" t="str">
            <v>Active</v>
          </cell>
          <cell r="I1236" t="str">
            <v>Katyal,Varun</v>
          </cell>
          <cell r="J1236" t="str">
            <v>FLO</v>
          </cell>
        </row>
        <row r="1237">
          <cell r="A1237">
            <v>204226130</v>
          </cell>
          <cell r="B1237" t="str">
            <v>grajanbk</v>
          </cell>
          <cell r="C1237" t="str">
            <v>B K,Rajan</v>
          </cell>
          <cell r="D1237">
            <v>12490770</v>
          </cell>
          <cell r="E1237">
            <v>1299</v>
          </cell>
          <cell r="F1237" t="str">
            <v>Thu Oct 10 00:00:00 UTC 2024</v>
          </cell>
          <cell r="G1237" t="str">
            <v>3PTY</v>
          </cell>
          <cell r="H1237" t="str">
            <v>Active</v>
          </cell>
          <cell r="I1237" t="str">
            <v>Rizvan,Mohamed</v>
          </cell>
          <cell r="J1237" t="str">
            <v>KBTS</v>
          </cell>
        </row>
        <row r="1238">
          <cell r="A1238">
            <v>207867359</v>
          </cell>
          <cell r="B1238" t="str">
            <v>vrajneup</v>
          </cell>
          <cell r="C1238" t="str">
            <v>Neupane,Rajesh</v>
          </cell>
          <cell r="D1238">
            <v>13743039</v>
          </cell>
          <cell r="E1238">
            <v>1200</v>
          </cell>
          <cell r="F1238" t="str">
            <v>Fri Jul 03 00:00:00 UTC 2026</v>
          </cell>
          <cell r="G1238" t="str">
            <v>3PTY</v>
          </cell>
          <cell r="H1238" t="str">
            <v>Active</v>
          </cell>
          <cell r="I1238" t="str">
            <v>Alhashmi,Abdulla</v>
          </cell>
          <cell r="J1238" t="str">
            <v>SSIS</v>
          </cell>
        </row>
        <row r="1239">
          <cell r="A1239">
            <v>206200807</v>
          </cell>
          <cell r="B1239" t="str">
            <v>pyisikib</v>
          </cell>
          <cell r="C1239" t="str">
            <v>YISIKIBA MBENKUM,PILATE</v>
          </cell>
          <cell r="D1239">
            <v>14783557</v>
          </cell>
          <cell r="E1239">
            <v>1299</v>
          </cell>
          <cell r="F1239" t="str">
            <v>Mon Oct 06 00:00:00 UTC 2025</v>
          </cell>
          <cell r="G1239" t="str">
            <v>3PTY</v>
          </cell>
          <cell r="H1239" t="str">
            <v>Active</v>
          </cell>
          <cell r="I1239" t="str">
            <v>elrashid,Hassan</v>
          </cell>
          <cell r="J1239" t="str">
            <v>FLO</v>
          </cell>
        </row>
        <row r="1240">
          <cell r="A1240">
            <v>207740269</v>
          </cell>
          <cell r="B1240" t="str">
            <v>emmabonl</v>
          </cell>
          <cell r="C1240" t="str">
            <v>bonsu,Emmanuel</v>
          </cell>
          <cell r="D1240">
            <v>14559788</v>
          </cell>
          <cell r="E1240">
            <v>1712</v>
          </cell>
          <cell r="F1240" t="str">
            <v>Sat Jun 13 00:00:00 UTC 2026</v>
          </cell>
          <cell r="G1240" t="str">
            <v>3PTY</v>
          </cell>
          <cell r="H1240" t="str">
            <v>Active</v>
          </cell>
          <cell r="I1240" t="str">
            <v>ramadoss,vadivel</v>
          </cell>
          <cell r="J1240" t="str">
            <v>KBTS</v>
          </cell>
        </row>
        <row r="1241">
          <cell r="A1241">
            <v>206491340</v>
          </cell>
          <cell r="B1241" t="str">
            <v>jopkolin</v>
          </cell>
          <cell r="C1241" t="str">
            <v>JOPKOEECH,LINDAH</v>
          </cell>
          <cell r="D1241">
            <v>13730562</v>
          </cell>
          <cell r="E1241">
            <v>1299</v>
          </cell>
          <cell r="F1241" t="str">
            <v>Mon Nov 10 00:00:00 UTC 2025</v>
          </cell>
          <cell r="G1241" t="str">
            <v>3PTY</v>
          </cell>
          <cell r="H1241" t="str">
            <v>Active</v>
          </cell>
          <cell r="I1241" t="str">
            <v>Narshad,Muhammad Ashik</v>
          </cell>
          <cell r="J1241" t="str">
            <v>EFSV</v>
          </cell>
        </row>
        <row r="1242">
          <cell r="A1242">
            <v>203522194</v>
          </cell>
          <cell r="B1242" t="str">
            <v>ramjbang</v>
          </cell>
          <cell r="C1242" t="str">
            <v>Bangura,Ramatu</v>
          </cell>
          <cell r="D1242">
            <v>12446320</v>
          </cell>
          <cell r="E1242">
            <v>1299</v>
          </cell>
          <cell r="F1242" t="str">
            <v>Thu Jun 20 00:00:00 UTC 2024</v>
          </cell>
          <cell r="G1242" t="str">
            <v>3PTY</v>
          </cell>
          <cell r="H1242" t="str">
            <v>Active</v>
          </cell>
          <cell r="I1242" t="str">
            <v>Ansari,Ammar Abdullah</v>
          </cell>
          <cell r="J1242" t="str">
            <v>ADEC</v>
          </cell>
        </row>
        <row r="1243">
          <cell r="A1243">
            <v>203965497</v>
          </cell>
          <cell r="B1243" t="str">
            <v>bundtenl</v>
          </cell>
          <cell r="C1243" t="str">
            <v>Bundoo,Tengbeh</v>
          </cell>
          <cell r="D1243">
            <v>12293274</v>
          </cell>
          <cell r="E1243">
            <v>1299</v>
          </cell>
          <cell r="F1243" t="str">
            <v>Mon Sep 09 00:00:00 UTC 2024</v>
          </cell>
          <cell r="G1243" t="str">
            <v>3PTY</v>
          </cell>
          <cell r="H1243" t="str">
            <v>Active</v>
          </cell>
          <cell r="I1243" t="str">
            <v>Narshad,Muhammad Ashik</v>
          </cell>
          <cell r="J1243" t="str">
            <v>FLO</v>
          </cell>
        </row>
        <row r="1244">
          <cell r="A1244">
            <v>204009358</v>
          </cell>
          <cell r="B1244" t="str">
            <v>shamumbe</v>
          </cell>
          <cell r="C1244" t="str">
            <v>MUMBERE,SHAFFI</v>
          </cell>
          <cell r="D1244">
            <v>14710999</v>
          </cell>
          <cell r="E1244">
            <v>1299</v>
          </cell>
          <cell r="F1244" t="str">
            <v>Mon Sep 16 00:00:00 UTC 2024</v>
          </cell>
          <cell r="G1244" t="str">
            <v>3PTY</v>
          </cell>
          <cell r="H1244" t="str">
            <v>Active</v>
          </cell>
          <cell r="I1244" t="str">
            <v>Ansari,Ammar Abdullah</v>
          </cell>
          <cell r="J1244" t="str">
            <v>DULS</v>
          </cell>
        </row>
        <row r="1245">
          <cell r="A1245">
            <v>206192232</v>
          </cell>
          <cell r="B1245" t="str">
            <v>maurrono</v>
          </cell>
          <cell r="C1245" t="str">
            <v>Rono,Maureen Chebet</v>
          </cell>
          <cell r="D1245">
            <v>77442</v>
          </cell>
          <cell r="E1245">
            <v>1299</v>
          </cell>
          <cell r="F1245" t="str">
            <v>Tue Aug 04 00:00:00 UTC 2026</v>
          </cell>
          <cell r="G1245" t="str">
            <v>3PTY</v>
          </cell>
          <cell r="H1245" t="str">
            <v>Active</v>
          </cell>
          <cell r="I1245" t="str">
            <v>Narshad,Muhammad Ashik</v>
          </cell>
          <cell r="J1245" t="str">
            <v>EFSV</v>
          </cell>
        </row>
        <row r="1246">
          <cell r="A1246">
            <v>205608619</v>
          </cell>
          <cell r="B1246" t="str">
            <v>omamudka</v>
          </cell>
          <cell r="C1246" t="str">
            <v>KASSIM,MAMUDU</v>
          </cell>
          <cell r="D1246">
            <v>11330835</v>
          </cell>
          <cell r="E1246">
            <v>1299</v>
          </cell>
          <cell r="F1246" t="str">
            <v>Mon Jul 07 00:00:00 UTC 2025</v>
          </cell>
          <cell r="G1246" t="str">
            <v>3PTY</v>
          </cell>
          <cell r="H1246" t="str">
            <v>Active</v>
          </cell>
          <cell r="I1246" t="str">
            <v>Meera,Bava Bahrudeen</v>
          </cell>
          <cell r="J1246" t="str">
            <v>DULS</v>
          </cell>
        </row>
        <row r="1247">
          <cell r="A1247">
            <v>204010043</v>
          </cell>
          <cell r="B1247" t="str">
            <v>juesaidi</v>
          </cell>
          <cell r="C1247" t="str">
            <v>JUNIOR LUBEGA,SAIDI</v>
          </cell>
          <cell r="D1247">
            <v>11728605</v>
          </cell>
          <cell r="E1247">
            <v>1299</v>
          </cell>
          <cell r="F1247" t="str">
            <v>Mon Sep 16 00:00:00 UTC 2024</v>
          </cell>
          <cell r="G1247" t="str">
            <v>3PTY</v>
          </cell>
          <cell r="H1247" t="str">
            <v>Active</v>
          </cell>
          <cell r="I1247" t="str">
            <v>Narshad,Muhammad Ashik</v>
          </cell>
          <cell r="J1247" t="str">
            <v>DULS</v>
          </cell>
        </row>
        <row r="1248">
          <cell r="A1248">
            <v>206850966</v>
          </cell>
          <cell r="B1248" t="str">
            <v>niwjames</v>
          </cell>
          <cell r="C1248" t="str">
            <v>JAMES,NIWARINDA</v>
          </cell>
          <cell r="D1248">
            <v>11555565</v>
          </cell>
          <cell r="E1248">
            <v>1299</v>
          </cell>
          <cell r="F1248" t="str">
            <v>Thu Jan 08 00:00:00 UTC 2026</v>
          </cell>
          <cell r="G1248" t="str">
            <v>3PTY</v>
          </cell>
          <cell r="H1248" t="str">
            <v>Active</v>
          </cell>
          <cell r="I1248" t="str">
            <v>Ansari,Ammar Abdullah</v>
          </cell>
          <cell r="J1248" t="str">
            <v>DULS</v>
          </cell>
        </row>
        <row r="1249">
          <cell r="A1249">
            <v>203816298</v>
          </cell>
          <cell r="B1249" t="str">
            <v>ainisaac</v>
          </cell>
          <cell r="C1249" t="str">
            <v>Ainebyona,Isaac</v>
          </cell>
          <cell r="D1249">
            <v>13390442</v>
          </cell>
          <cell r="E1249">
            <v>1299</v>
          </cell>
          <cell r="F1249" t="str">
            <v>Wed Jun 18 00:00:00 UTC 2025</v>
          </cell>
          <cell r="G1249" t="str">
            <v>3PTY</v>
          </cell>
          <cell r="H1249" t="str">
            <v>Active</v>
          </cell>
          <cell r="I1249" t="str">
            <v>Katyal,Varun</v>
          </cell>
          <cell r="J1249" t="str">
            <v>DULS</v>
          </cell>
        </row>
        <row r="1250">
          <cell r="A1250">
            <v>204013689</v>
          </cell>
          <cell r="B1250" t="str">
            <v>curtgonl</v>
          </cell>
          <cell r="C1250" t="str">
            <v>Gonluee Scell,Curtis</v>
          </cell>
          <cell r="D1250">
            <v>12791092</v>
          </cell>
          <cell r="E1250">
            <v>1299</v>
          </cell>
          <cell r="F1250" t="str">
            <v>Mon Sep 16 00:00:00 UTC 2024</v>
          </cell>
          <cell r="G1250" t="str">
            <v>3PTY</v>
          </cell>
          <cell r="H1250" t="str">
            <v>Active</v>
          </cell>
          <cell r="I1250" t="str">
            <v>Thomas,Binil</v>
          </cell>
          <cell r="J1250" t="str">
            <v>FLO</v>
          </cell>
        </row>
        <row r="1251">
          <cell r="A1251">
            <v>204246611</v>
          </cell>
          <cell r="B1251" t="str">
            <v>appiajul</v>
          </cell>
          <cell r="C1251" t="str">
            <v>Appiah,Juliet</v>
          </cell>
          <cell r="D1251">
            <v>12805181</v>
          </cell>
          <cell r="E1251">
            <v>1299</v>
          </cell>
          <cell r="F1251" t="str">
            <v>Mon Oct 14 00:00:00 UTC 2024</v>
          </cell>
          <cell r="G1251" t="str">
            <v>3PTY</v>
          </cell>
          <cell r="H1251" t="str">
            <v>Active</v>
          </cell>
          <cell r="I1251" t="str">
            <v>Katyal,Varun</v>
          </cell>
          <cell r="J1251" t="str">
            <v>QUES</v>
          </cell>
        </row>
        <row r="1252">
          <cell r="A1252">
            <v>207513794</v>
          </cell>
          <cell r="B1252" t="str">
            <v>gmushari</v>
          </cell>
          <cell r="C1252" t="str">
            <v>Sharif,Ahsan</v>
          </cell>
          <cell r="D1252">
            <v>13185224</v>
          </cell>
          <cell r="E1252">
            <v>1171</v>
          </cell>
          <cell r="F1252" t="str">
            <v>Mon Jul 06 00:00:00 UTC 2026</v>
          </cell>
          <cell r="G1252" t="str">
            <v>3PTY</v>
          </cell>
          <cell r="H1252" t="str">
            <v>Active</v>
          </cell>
          <cell r="I1252" t="str">
            <v>Niazi,Mohammad Fazal</v>
          </cell>
          <cell r="J1252" t="str">
            <v>CSDS</v>
          </cell>
        </row>
        <row r="1253">
          <cell r="A1253">
            <v>206294541</v>
          </cell>
          <cell r="B1253" t="str">
            <v>amkkamar</v>
          </cell>
          <cell r="C1253" t="str">
            <v>KAMARA,AMIDU</v>
          </cell>
          <cell r="D1253">
            <v>12612065</v>
          </cell>
          <cell r="E1253">
            <v>1299</v>
          </cell>
          <cell r="F1253" t="str">
            <v>Mon Oct 20 00:00:00 UTC 2025</v>
          </cell>
          <cell r="G1253" t="str">
            <v>3PTY</v>
          </cell>
          <cell r="H1253" t="str">
            <v>Active</v>
          </cell>
          <cell r="I1253" t="str">
            <v>Sohail,Anis</v>
          </cell>
          <cell r="J1253" t="str">
            <v>EFSV</v>
          </cell>
        </row>
        <row r="1254">
          <cell r="A1254">
            <v>205256720</v>
          </cell>
          <cell r="B1254" t="str">
            <v>abdallhg</v>
          </cell>
          <cell r="C1254" t="str">
            <v>Haza,Abdallah</v>
          </cell>
          <cell r="D1254">
            <v>15333914</v>
          </cell>
          <cell r="E1254">
            <v>1299</v>
          </cell>
          <cell r="F1254" t="str">
            <v>Thu May 15 00:00:00 UTC 2025</v>
          </cell>
          <cell r="G1254" t="str">
            <v>3PTY</v>
          </cell>
          <cell r="H1254" t="str">
            <v>Active</v>
          </cell>
          <cell r="I1254" t="str">
            <v>Lakkireddy,Sai Raghavendra Reddy</v>
          </cell>
          <cell r="J1254" t="str">
            <v>EFSV</v>
          </cell>
        </row>
        <row r="1255">
          <cell r="A1255">
            <v>203342033</v>
          </cell>
          <cell r="B1255" t="str">
            <v>lleonakw</v>
          </cell>
          <cell r="C1255" t="str">
            <v>KWAMOGHA,LEONARD LIWIEKWO</v>
          </cell>
          <cell r="D1255">
            <v>187992</v>
          </cell>
          <cell r="E1255">
            <v>1299</v>
          </cell>
          <cell r="F1255" t="str">
            <v>Mon May 20 00:00:00 UTC 2024</v>
          </cell>
          <cell r="G1255" t="str">
            <v>3PTY</v>
          </cell>
          <cell r="H1255" t="str">
            <v>Active</v>
          </cell>
          <cell r="I1255" t="str">
            <v>Lakkireddy,Sai Raghavendra Reddy</v>
          </cell>
          <cell r="J1255" t="str">
            <v>ADEC</v>
          </cell>
        </row>
        <row r="1256">
          <cell r="A1256">
            <v>203850997</v>
          </cell>
          <cell r="B1256" t="str">
            <v>auguszad</v>
          </cell>
          <cell r="C1256" t="str">
            <v>Adjei,Augustine</v>
          </cell>
          <cell r="D1256">
            <v>13205387</v>
          </cell>
          <cell r="E1256">
            <v>1299</v>
          </cell>
          <cell r="F1256" t="str">
            <v>Tue Aug 20 00:00:00 UTC 2024</v>
          </cell>
          <cell r="G1256" t="str">
            <v>3PTY</v>
          </cell>
          <cell r="H1256" t="str">
            <v>Active</v>
          </cell>
          <cell r="I1256" t="str">
            <v>Scaria,Varghese</v>
          </cell>
          <cell r="J1256" t="str">
            <v>FLO</v>
          </cell>
        </row>
        <row r="1257">
          <cell r="A1257">
            <v>203709876</v>
          </cell>
          <cell r="B1257" t="str">
            <v>qkhinmek</v>
          </cell>
          <cell r="C1257" t="str">
            <v>Me Ko,Khin Me</v>
          </cell>
          <cell r="D1257">
            <v>115243</v>
          </cell>
          <cell r="E1257">
            <v>1299</v>
          </cell>
          <cell r="F1257" t="str">
            <v>Mon Jul 22 00:00:00 UTC 2024</v>
          </cell>
          <cell r="G1257" t="str">
            <v>3PTY</v>
          </cell>
          <cell r="H1257" t="str">
            <v>Active</v>
          </cell>
          <cell r="I1257" t="str">
            <v>Dinberu,Eden</v>
          </cell>
          <cell r="J1257" t="str">
            <v>ADEC</v>
          </cell>
        </row>
        <row r="1258">
          <cell r="A1258">
            <v>203800417</v>
          </cell>
          <cell r="B1258" t="str">
            <v>santchao</v>
          </cell>
          <cell r="C1258" t="str">
            <v>CHANDRA,SANTARAM KUMAL</v>
          </cell>
          <cell r="D1258">
            <v>13183232</v>
          </cell>
          <cell r="E1258">
            <v>1299</v>
          </cell>
          <cell r="F1258" t="str">
            <v>Fri Aug 09 00:00:00 UTC 2024</v>
          </cell>
          <cell r="G1258" t="str">
            <v>3PTY</v>
          </cell>
          <cell r="H1258" t="str">
            <v>Active</v>
          </cell>
          <cell r="I1258" t="str">
            <v>POGALA,HAREESH</v>
          </cell>
          <cell r="J1258" t="str">
            <v>KBTS</v>
          </cell>
        </row>
        <row r="1259">
          <cell r="A1259">
            <v>203881713</v>
          </cell>
          <cell r="B1259" t="str">
            <v>cctakund</v>
          </cell>
          <cell r="C1259" t="str">
            <v>Chagwedera,Takundanashe Irvine</v>
          </cell>
          <cell r="D1259">
            <v>14836986</v>
          </cell>
          <cell r="E1259">
            <v>1299</v>
          </cell>
          <cell r="F1259" t="str">
            <v>Mon Aug 26 00:00:00 UTC 2024</v>
          </cell>
          <cell r="G1259" t="str">
            <v>3PTY</v>
          </cell>
          <cell r="H1259" t="str">
            <v>Active</v>
          </cell>
          <cell r="I1259" t="str">
            <v>Ansari,Ammar Abdullah</v>
          </cell>
          <cell r="J1259" t="str">
            <v>FLO</v>
          </cell>
        </row>
        <row r="1260">
          <cell r="A1260">
            <v>206137334</v>
          </cell>
          <cell r="B1260" t="str">
            <v>erneyebo</v>
          </cell>
          <cell r="C1260" t="str">
            <v>YEBOAH,ERNESTINA</v>
          </cell>
          <cell r="D1260">
            <v>41935</v>
          </cell>
          <cell r="E1260">
            <v>1299</v>
          </cell>
          <cell r="F1260" t="str">
            <v>Mon Sep 29 00:00:00 UTC 2025</v>
          </cell>
          <cell r="G1260" t="str">
            <v>3PTY</v>
          </cell>
          <cell r="H1260" t="str">
            <v>Active</v>
          </cell>
          <cell r="I1260" t="str">
            <v>Thomas,Binil</v>
          </cell>
          <cell r="J1260" t="str">
            <v>FLO</v>
          </cell>
        </row>
        <row r="1261">
          <cell r="A1261">
            <v>204882806</v>
          </cell>
          <cell r="B1261" t="str">
            <v>moiddris</v>
          </cell>
          <cell r="C1261" t="str">
            <v>MOHAMMED,IDDRISS</v>
          </cell>
          <cell r="D1261">
            <v>14876388</v>
          </cell>
          <cell r="E1261">
            <v>1299</v>
          </cell>
          <cell r="F1261" t="str">
            <v>Mon Feb 03 00:00:00 UTC 2025</v>
          </cell>
          <cell r="G1261" t="str">
            <v>3PTY</v>
          </cell>
          <cell r="H1261" t="str">
            <v>Active</v>
          </cell>
          <cell r="I1261" t="str">
            <v>Katyal,Varun</v>
          </cell>
          <cell r="J1261" t="str">
            <v>DULS</v>
          </cell>
        </row>
        <row r="1262">
          <cell r="A1262">
            <v>206873878</v>
          </cell>
          <cell r="B1262" t="str">
            <v>lubsulah</v>
          </cell>
          <cell r="C1262" t="str">
            <v>LUBWAMA,SULAH</v>
          </cell>
          <cell r="D1262">
            <v>15360374</v>
          </cell>
          <cell r="E1262">
            <v>1299</v>
          </cell>
          <cell r="F1262" t="str">
            <v>Mon Dec 29 00:00:00 UTC 2025</v>
          </cell>
          <cell r="G1262" t="str">
            <v>3PTY</v>
          </cell>
          <cell r="H1262" t="str">
            <v>Active</v>
          </cell>
          <cell r="I1262" t="str">
            <v>Katyal,Varun</v>
          </cell>
          <cell r="J1262" t="str">
            <v>DULS</v>
          </cell>
        </row>
        <row r="1263">
          <cell r="A1263">
            <v>206957735</v>
          </cell>
          <cell r="B1263" t="str">
            <v>bfedwink</v>
          </cell>
          <cell r="C1263" t="str">
            <v>Bomet,Edwin Kiplimo</v>
          </cell>
          <cell r="D1263">
            <v>11260050</v>
          </cell>
          <cell r="E1263">
            <v>1299</v>
          </cell>
          <cell r="F1263" t="str">
            <v>Mon Jan 26 00:00:00 UTC 2026</v>
          </cell>
          <cell r="G1263" t="str">
            <v>3PTY</v>
          </cell>
          <cell r="H1263" t="str">
            <v>Active</v>
          </cell>
          <cell r="I1263" t="str">
            <v>Sohail,Anis</v>
          </cell>
          <cell r="J1263" t="str">
            <v>EFSV</v>
          </cell>
        </row>
        <row r="1264">
          <cell r="A1264">
            <v>203993118</v>
          </cell>
          <cell r="B1264" t="str">
            <v>nkamivan</v>
          </cell>
          <cell r="C1264" t="str">
            <v>NKAMUHABWA,IVAN</v>
          </cell>
          <cell r="D1264">
            <v>12452867</v>
          </cell>
          <cell r="E1264">
            <v>1299</v>
          </cell>
          <cell r="F1264" t="str">
            <v>Thu Sep 12 00:00:00 UTC 2024</v>
          </cell>
          <cell r="G1264" t="str">
            <v>3PTY</v>
          </cell>
          <cell r="H1264" t="str">
            <v>Active</v>
          </cell>
          <cell r="I1264" t="str">
            <v>Scaria,Varghese</v>
          </cell>
          <cell r="J1264" t="str">
            <v>DULS</v>
          </cell>
        </row>
        <row r="1265">
          <cell r="A1265">
            <v>205848048</v>
          </cell>
          <cell r="B1265" t="str">
            <v>mureiche</v>
          </cell>
          <cell r="C1265" t="str">
            <v>MUREI,CHEPTOO ORBA</v>
          </cell>
          <cell r="D1265">
            <v>102660</v>
          </cell>
          <cell r="E1265">
            <v>1299</v>
          </cell>
          <cell r="F1265" t="str">
            <v>Mon Aug 25 00:00:00 UTC 2025</v>
          </cell>
          <cell r="G1265" t="str">
            <v>3PTY</v>
          </cell>
          <cell r="H1265" t="str">
            <v>Active</v>
          </cell>
          <cell r="I1265" t="str">
            <v>Narshad,Muhammad Ashik</v>
          </cell>
          <cell r="J1265" t="str">
            <v>EFSV</v>
          </cell>
        </row>
        <row r="1266">
          <cell r="A1266">
            <v>203679313</v>
          </cell>
          <cell r="B1266" t="str">
            <v>kadelias</v>
          </cell>
          <cell r="C1266" t="str">
            <v>Kaduwa,Elias</v>
          </cell>
          <cell r="D1266">
            <v>14748134</v>
          </cell>
          <cell r="E1266">
            <v>1299</v>
          </cell>
          <cell r="F1266" t="str">
            <v>Mon Jul 15 00:00:00 UTC 2024</v>
          </cell>
          <cell r="G1266" t="str">
            <v>3PTY</v>
          </cell>
          <cell r="H1266" t="str">
            <v>Active</v>
          </cell>
          <cell r="I1266" t="str">
            <v>Sohail,Anis</v>
          </cell>
          <cell r="J1266" t="str">
            <v>FLO</v>
          </cell>
        </row>
        <row r="1267">
          <cell r="A1267">
            <v>203687851</v>
          </cell>
          <cell r="B1267" t="str">
            <v>nbalakji</v>
          </cell>
          <cell r="C1267" t="str">
            <v>BALAKRISHNAN,JISHNU KIDANGAYATH</v>
          </cell>
          <cell r="D1267">
            <v>12044807</v>
          </cell>
          <cell r="E1267">
            <v>1299</v>
          </cell>
          <cell r="F1267" t="str">
            <v>Mon Jul 15 00:00:00 UTC 2024</v>
          </cell>
          <cell r="G1267" t="str">
            <v>3PTY</v>
          </cell>
          <cell r="H1267" t="str">
            <v>Active</v>
          </cell>
          <cell r="I1267" t="str">
            <v>Sohail,Anis</v>
          </cell>
          <cell r="J1267" t="str">
            <v>ADEC</v>
          </cell>
        </row>
        <row r="1268">
          <cell r="A1268">
            <v>203850878</v>
          </cell>
          <cell r="B1268" t="str">
            <v>kakimera</v>
          </cell>
          <cell r="C1268" t="str">
            <v>Kimera,Kato Ivan</v>
          </cell>
          <cell r="D1268">
            <v>15362501</v>
          </cell>
          <cell r="E1268">
            <v>1299</v>
          </cell>
          <cell r="F1268" t="str">
            <v>Tue Aug 20 00:00:00 UTC 2024</v>
          </cell>
          <cell r="G1268" t="str">
            <v>3PTY</v>
          </cell>
          <cell r="H1268" t="str">
            <v>Active</v>
          </cell>
          <cell r="I1268" t="str">
            <v>Lakkireddy,Sai Raghavendra Reddy</v>
          </cell>
          <cell r="J1268" t="str">
            <v>DULS</v>
          </cell>
        </row>
        <row r="1269">
          <cell r="A1269">
            <v>204967153</v>
          </cell>
          <cell r="B1269" t="str">
            <v>jkissawk</v>
          </cell>
          <cell r="C1269" t="str">
            <v>KISSAW,KASIM</v>
          </cell>
          <cell r="D1269">
            <v>13143864</v>
          </cell>
          <cell r="E1269">
            <v>1299</v>
          </cell>
          <cell r="F1269" t="str">
            <v>Wed Jun 18 00:00:00 UTC 2025</v>
          </cell>
          <cell r="G1269" t="str">
            <v>3PTY</v>
          </cell>
          <cell r="H1269" t="str">
            <v>Active</v>
          </cell>
          <cell r="I1269" t="str">
            <v>Katyal,Varun</v>
          </cell>
          <cell r="J1269" t="str">
            <v>DULS</v>
          </cell>
        </row>
        <row r="1270">
          <cell r="A1270">
            <v>206873556</v>
          </cell>
          <cell r="B1270" t="str">
            <v>ferawerk</v>
          </cell>
          <cell r="C1270" t="str">
            <v>WERENGA AMANG,FERAND</v>
          </cell>
          <cell r="D1270">
            <v>13003460</v>
          </cell>
          <cell r="E1270">
            <v>1299</v>
          </cell>
          <cell r="F1270" t="str">
            <v>Mon Dec 29 00:00:00 UTC 2025</v>
          </cell>
          <cell r="G1270" t="str">
            <v>3PTY</v>
          </cell>
          <cell r="H1270" t="str">
            <v>Active</v>
          </cell>
          <cell r="I1270" t="str">
            <v>Katyal,Varun</v>
          </cell>
          <cell r="J1270" t="str">
            <v>FLO</v>
          </cell>
        </row>
        <row r="1271">
          <cell r="A1271">
            <v>203908323</v>
          </cell>
          <cell r="B1271" t="str">
            <v>fakiyumr</v>
          </cell>
          <cell r="C1271" t="str">
            <v>FAIZAL,KIYEMBA</v>
          </cell>
          <cell r="D1271">
            <v>11284662</v>
          </cell>
          <cell r="E1271">
            <v>1299</v>
          </cell>
          <cell r="F1271" t="str">
            <v>Mon May 12 00:00:00 UTC 2025</v>
          </cell>
          <cell r="G1271" t="str">
            <v>3PTY</v>
          </cell>
          <cell r="H1271" t="str">
            <v>Active</v>
          </cell>
          <cell r="I1271" t="str">
            <v>elrashid,Hassan</v>
          </cell>
          <cell r="J1271" t="str">
            <v>DULS</v>
          </cell>
        </row>
        <row r="1272">
          <cell r="A1272">
            <v>205127500</v>
          </cell>
          <cell r="B1272" t="str">
            <v>ntwaivan</v>
          </cell>
          <cell r="C1272" t="str">
            <v>Ntwatwa,Ivan</v>
          </cell>
          <cell r="D1272">
            <v>14166724</v>
          </cell>
          <cell r="E1272">
            <v>1299</v>
          </cell>
          <cell r="F1272" t="str">
            <v>Thu Apr 10 00:00:00 UTC 2025</v>
          </cell>
          <cell r="G1272" t="str">
            <v>3PTY</v>
          </cell>
          <cell r="H1272" t="str">
            <v>Active</v>
          </cell>
          <cell r="I1272" t="str">
            <v>elrashid,Hassan</v>
          </cell>
          <cell r="J1272" t="str">
            <v>EFSV</v>
          </cell>
        </row>
        <row r="1273">
          <cell r="A1273">
            <v>206239528</v>
          </cell>
          <cell r="B1273" t="str">
            <v>oykeziah</v>
          </cell>
          <cell r="C1273" t="str">
            <v>OYE,KEZIAH OYE</v>
          </cell>
          <cell r="D1273">
            <v>11381304</v>
          </cell>
          <cell r="E1273">
            <v>1299</v>
          </cell>
          <cell r="F1273" t="str">
            <v>Mon Oct 13 00:00:00 UTC 2025</v>
          </cell>
          <cell r="G1273" t="str">
            <v>3PTY</v>
          </cell>
          <cell r="H1273" t="str">
            <v>Active</v>
          </cell>
          <cell r="I1273" t="str">
            <v>Dinberu,Eden</v>
          </cell>
          <cell r="J1273" t="str">
            <v>FLO</v>
          </cell>
        </row>
        <row r="1274">
          <cell r="A1274">
            <v>203725682</v>
          </cell>
          <cell r="B1274" t="str">
            <v>bimaskey</v>
          </cell>
          <cell r="C1274" t="str">
            <v>MASKEY,BIMAL DEEP</v>
          </cell>
          <cell r="D1274">
            <v>14455991</v>
          </cell>
          <cell r="E1274">
            <v>1299</v>
          </cell>
          <cell r="F1274" t="str">
            <v>Mon Jul 22 00:00:00 UTC 2024</v>
          </cell>
          <cell r="G1274" t="str">
            <v>3PTY</v>
          </cell>
          <cell r="H1274" t="str">
            <v>Active</v>
          </cell>
          <cell r="I1274" t="str">
            <v>Akhtar,Muhammad Zohaib</v>
          </cell>
          <cell r="J1274" t="str">
            <v>WOFZ</v>
          </cell>
        </row>
        <row r="1275">
          <cell r="A1275">
            <v>113090891</v>
          </cell>
          <cell r="B1275" t="str">
            <v>mulatifx</v>
          </cell>
          <cell r="C1275" t="str">
            <v>Latif,Muhammad Nauman</v>
          </cell>
          <cell r="D1275">
            <v>14222703</v>
          </cell>
          <cell r="E1275">
            <v>1299</v>
          </cell>
          <cell r="F1275" t="str">
            <v>Thu Oct 24 00:00:00 UTC 2024</v>
          </cell>
          <cell r="G1275" t="str">
            <v>3PTY</v>
          </cell>
          <cell r="H1275" t="str">
            <v>Active</v>
          </cell>
          <cell r="I1275" t="str">
            <v>Lakkireddy,Sai Raghavendra Reddy</v>
          </cell>
          <cell r="J1275" t="str">
            <v>QUES</v>
          </cell>
        </row>
        <row r="1276">
          <cell r="A1276">
            <v>204967040</v>
          </cell>
          <cell r="B1276" t="str">
            <v>dprincer</v>
          </cell>
          <cell r="C1276" t="str">
            <v>DARKO SRAHA,PRINCE RICHARD</v>
          </cell>
          <cell r="D1276">
            <v>12309808</v>
          </cell>
          <cell r="E1276">
            <v>1299</v>
          </cell>
          <cell r="F1276" t="str">
            <v>Mon Mar 03 00:00:00 UTC 2025</v>
          </cell>
          <cell r="G1276" t="str">
            <v>3PTY</v>
          </cell>
          <cell r="H1276" t="str">
            <v>Active</v>
          </cell>
          <cell r="I1276" t="str">
            <v>Dinberu,Eden</v>
          </cell>
          <cell r="J1276" t="str">
            <v>DULS</v>
          </cell>
        </row>
        <row r="1277">
          <cell r="A1277">
            <v>203800285</v>
          </cell>
          <cell r="B1277" t="str">
            <v>sandihbh</v>
          </cell>
          <cell r="C1277" t="str">
            <v>BHANDARI,SANDIP</v>
          </cell>
          <cell r="D1277">
            <v>15003439</v>
          </cell>
          <cell r="E1277">
            <v>1299</v>
          </cell>
          <cell r="F1277" t="str">
            <v>Fri Aug 09 00:00:00 UTC 2024</v>
          </cell>
          <cell r="G1277" t="str">
            <v>3PTY</v>
          </cell>
          <cell r="H1277" t="str">
            <v>Active</v>
          </cell>
          <cell r="I1277" t="str">
            <v>Rajendran,Ajith Kumar</v>
          </cell>
          <cell r="J1277" t="str">
            <v>KBTS</v>
          </cell>
        </row>
        <row r="1278">
          <cell r="A1278">
            <v>206131219</v>
          </cell>
          <cell r="B1278" t="str">
            <v>rahiabul</v>
          </cell>
          <cell r="C1278" t="str">
            <v>Abul Hossin,Rahim Ullah Late</v>
          </cell>
          <cell r="D1278">
            <v>15306228</v>
          </cell>
          <cell r="E1278">
            <v>1712</v>
          </cell>
          <cell r="F1278" t="str">
            <v>Wed Sep 24 00:00:00 UTC 2025</v>
          </cell>
          <cell r="G1278" t="str">
            <v>3PTY</v>
          </cell>
          <cell r="H1278" t="str">
            <v>Active</v>
          </cell>
          <cell r="I1278" t="str">
            <v>Rizvan,Mohamed</v>
          </cell>
          <cell r="J1278" t="str">
            <v>KBTS</v>
          </cell>
        </row>
        <row r="1279">
          <cell r="A1279">
            <v>205854086</v>
          </cell>
          <cell r="B1279" t="str">
            <v>viappiat</v>
          </cell>
          <cell r="C1279" t="str">
            <v>APPIAH,VIDA</v>
          </cell>
          <cell r="D1279">
            <v>13132902</v>
          </cell>
          <cell r="E1279">
            <v>1299</v>
          </cell>
          <cell r="F1279" t="str">
            <v>Mon Aug 25 00:00:00 UTC 2025</v>
          </cell>
          <cell r="G1279" t="str">
            <v>3PTY</v>
          </cell>
          <cell r="H1279" t="str">
            <v>Active</v>
          </cell>
          <cell r="I1279" t="str">
            <v>Ansari,Ammar Abdullah</v>
          </cell>
          <cell r="J1279" t="str">
            <v>EFSV</v>
          </cell>
        </row>
        <row r="1280">
          <cell r="A1280">
            <v>202218633</v>
          </cell>
          <cell r="B1280" t="str">
            <v>wiafgord</v>
          </cell>
          <cell r="C1280" t="str">
            <v>WIAFE,GORDON</v>
          </cell>
          <cell r="D1280">
            <v>14132009</v>
          </cell>
          <cell r="E1280">
            <v>1299</v>
          </cell>
          <cell r="F1280" t="str">
            <v>Mon Oct 21 00:00:00 UTC 2024</v>
          </cell>
          <cell r="G1280" t="str">
            <v>3PTY</v>
          </cell>
          <cell r="H1280" t="str">
            <v>Active</v>
          </cell>
          <cell r="I1280" t="str">
            <v>Katyal,Varun</v>
          </cell>
          <cell r="J1280" t="str">
            <v>QUES</v>
          </cell>
        </row>
        <row r="1281">
          <cell r="A1281">
            <v>206514852</v>
          </cell>
          <cell r="B1281" t="str">
            <v>tamawand</v>
          </cell>
          <cell r="C1281" t="str">
            <v>ANDREW KASAGGA,MAWANDA</v>
          </cell>
          <cell r="D1281">
            <v>14331130</v>
          </cell>
          <cell r="E1281">
            <v>1299</v>
          </cell>
          <cell r="F1281" t="str">
            <v>Mon Nov 10 00:00:00 UTC 2025</v>
          </cell>
          <cell r="G1281" t="str">
            <v>3PTY</v>
          </cell>
          <cell r="H1281" t="str">
            <v>Active</v>
          </cell>
          <cell r="I1281" t="str">
            <v>Meera,Bava Bahrudeen</v>
          </cell>
          <cell r="J1281" t="str">
            <v>DULS</v>
          </cell>
        </row>
        <row r="1282">
          <cell r="A1282">
            <v>203469395</v>
          </cell>
          <cell r="B1282" t="str">
            <v>mwiiroja</v>
          </cell>
          <cell r="C1282" t="str">
            <v>MWIIRO,JANE WANJIKU</v>
          </cell>
          <cell r="D1282">
            <v>11038350</v>
          </cell>
          <cell r="E1282">
            <v>1299</v>
          </cell>
          <cell r="F1282" t="str">
            <v>Thu Jun 13 00:00:00 UTC 2024</v>
          </cell>
          <cell r="G1282" t="str">
            <v>3PTY</v>
          </cell>
          <cell r="H1282" t="str">
            <v>Active</v>
          </cell>
          <cell r="I1282" t="str">
            <v>Sohail,Anis</v>
          </cell>
          <cell r="J1282" t="str">
            <v>ADEC</v>
          </cell>
        </row>
        <row r="1283">
          <cell r="A1283">
            <v>203800522</v>
          </cell>
          <cell r="B1283" t="str">
            <v>salnpand</v>
          </cell>
          <cell r="C1283" t="str">
            <v>PANDEY,SALIKRAM</v>
          </cell>
          <cell r="D1283">
            <v>11922669</v>
          </cell>
          <cell r="E1283">
            <v>1299</v>
          </cell>
          <cell r="F1283" t="str">
            <v>Fri Aug 09 00:00:00 UTC 2024</v>
          </cell>
          <cell r="G1283" t="str">
            <v>3PTY</v>
          </cell>
          <cell r="H1283" t="str">
            <v>Active</v>
          </cell>
          <cell r="I1283" t="str">
            <v>Rajendran,Ajith Kumar</v>
          </cell>
          <cell r="J1283" t="str">
            <v>KBTS</v>
          </cell>
        </row>
        <row r="1284">
          <cell r="A1284">
            <v>206015572</v>
          </cell>
          <cell r="B1284" t="str">
            <v>owuevely</v>
          </cell>
          <cell r="C1284" t="str">
            <v>OWUSUA MENSAH,EVELYN</v>
          </cell>
          <cell r="D1284">
            <v>14835451</v>
          </cell>
          <cell r="E1284">
            <v>1299</v>
          </cell>
          <cell r="F1284" t="str">
            <v>Mon Sep 15 00:00:00 UTC 2025</v>
          </cell>
          <cell r="G1284" t="str">
            <v>3PTY</v>
          </cell>
          <cell r="H1284" t="str">
            <v>Active</v>
          </cell>
          <cell r="I1284" t="str">
            <v>Sohail,Anis</v>
          </cell>
          <cell r="J1284" t="str">
            <v>FLO</v>
          </cell>
        </row>
        <row r="1285">
          <cell r="A1285">
            <v>205861620</v>
          </cell>
          <cell r="B1285" t="str">
            <v>lewmaina</v>
          </cell>
          <cell r="C1285" t="str">
            <v>Maina,Lewis Mathenge</v>
          </cell>
          <cell r="D1285">
            <v>14658573</v>
          </cell>
          <cell r="E1285">
            <v>1299</v>
          </cell>
          <cell r="F1285" t="str">
            <v>Mon Sep 01 00:00:00 UTC 2025</v>
          </cell>
          <cell r="G1285" t="str">
            <v>3PTY</v>
          </cell>
          <cell r="H1285" t="str">
            <v>Active</v>
          </cell>
          <cell r="I1285" t="str">
            <v>Thomas,Binil</v>
          </cell>
          <cell r="J1285" t="str">
            <v>EFSV</v>
          </cell>
        </row>
        <row r="1286">
          <cell r="A1286">
            <v>206890218</v>
          </cell>
          <cell r="B1286" t="str">
            <v>jerstelt</v>
          </cell>
          <cell r="C1286" t="str">
            <v>JEROP,STELLAH</v>
          </cell>
          <cell r="D1286">
            <v>11354047</v>
          </cell>
          <cell r="E1286">
            <v>1299</v>
          </cell>
          <cell r="F1286" t="str">
            <v>Mon Jan 05 00:00:00 UTC 2026</v>
          </cell>
          <cell r="G1286" t="str">
            <v>3PTY</v>
          </cell>
          <cell r="H1286" t="str">
            <v>Active</v>
          </cell>
          <cell r="I1286" t="str">
            <v>Thomas,Binil</v>
          </cell>
          <cell r="J1286" t="str">
            <v>EFSV</v>
          </cell>
        </row>
        <row r="1287">
          <cell r="A1287">
            <v>203850901</v>
          </cell>
          <cell r="B1287" t="str">
            <v>pemagezi</v>
          </cell>
          <cell r="C1287" t="str">
            <v>Magezi,Peter Ricky</v>
          </cell>
          <cell r="D1287">
            <v>11289040</v>
          </cell>
          <cell r="E1287">
            <v>1299</v>
          </cell>
          <cell r="F1287" t="str">
            <v>Tue Aug 20 00:00:00 UTC 2024</v>
          </cell>
          <cell r="G1287" t="str">
            <v>3PTY</v>
          </cell>
          <cell r="H1287" t="str">
            <v>Active</v>
          </cell>
          <cell r="I1287" t="str">
            <v>Narshad,Muhammad Ashik</v>
          </cell>
          <cell r="J1287" t="str">
            <v>DULS</v>
          </cell>
        </row>
        <row r="1288">
          <cell r="A1288">
            <v>205257122</v>
          </cell>
          <cell r="B1288" t="str">
            <v>kengachu</v>
          </cell>
          <cell r="C1288" t="str">
            <v>Gachui,Kennedy Maina</v>
          </cell>
          <cell r="D1288">
            <v>11918988</v>
          </cell>
          <cell r="E1288">
            <v>1299</v>
          </cell>
          <cell r="F1288" t="str">
            <v>Mon May 12 00:00:00 UTC 2025</v>
          </cell>
          <cell r="G1288" t="str">
            <v>3PTY</v>
          </cell>
          <cell r="H1288" t="str">
            <v>Active</v>
          </cell>
          <cell r="I1288" t="str">
            <v>Lakkireddy,Sai Raghavendra Reddy</v>
          </cell>
          <cell r="J1288" t="str">
            <v>EFSV</v>
          </cell>
        </row>
        <row r="1289">
          <cell r="A1289">
            <v>203736258</v>
          </cell>
          <cell r="B1289" t="str">
            <v>robembug</v>
          </cell>
          <cell r="C1289" t="str">
            <v>MBUGHEKI,ROBERT</v>
          </cell>
          <cell r="D1289">
            <v>15268829</v>
          </cell>
          <cell r="E1289">
            <v>1299</v>
          </cell>
          <cell r="F1289" t="str">
            <v>Mon Jul 29 00:00:00 UTC 2024</v>
          </cell>
          <cell r="G1289" t="str">
            <v>3PTY</v>
          </cell>
          <cell r="H1289" t="str">
            <v>Active</v>
          </cell>
          <cell r="I1289" t="str">
            <v>Katyal,Varun</v>
          </cell>
          <cell r="J1289" t="str">
            <v>DULS</v>
          </cell>
        </row>
        <row r="1290">
          <cell r="A1290">
            <v>204137704</v>
          </cell>
          <cell r="B1290" t="str">
            <v>waltuffo</v>
          </cell>
          <cell r="C1290" t="str">
            <v>Tuffour,Wallace Agyemang</v>
          </cell>
          <cell r="D1290">
            <v>13907352</v>
          </cell>
          <cell r="E1290">
            <v>1299</v>
          </cell>
          <cell r="F1290" t="str">
            <v>Mon Sep 30 00:00:00 UTC 2024</v>
          </cell>
          <cell r="G1290" t="str">
            <v>3PTY</v>
          </cell>
          <cell r="H1290" t="str">
            <v>Active</v>
          </cell>
          <cell r="I1290" t="str">
            <v>Ansari,Ammar Abdullah</v>
          </cell>
          <cell r="J1290" t="str">
            <v>QUES</v>
          </cell>
        </row>
        <row r="1291">
          <cell r="A1291">
            <v>206890217</v>
          </cell>
          <cell r="B1291" t="str">
            <v>jepkirja</v>
          </cell>
          <cell r="C1291" t="str">
            <v>JEPKIRUI,JANE</v>
          </cell>
          <cell r="D1291">
            <v>11349360</v>
          </cell>
          <cell r="E1291">
            <v>1299</v>
          </cell>
          <cell r="F1291" t="str">
            <v>Mon Jan 05 00:00:00 UTC 2026</v>
          </cell>
          <cell r="G1291" t="str">
            <v>3PTY</v>
          </cell>
          <cell r="H1291" t="str">
            <v>Active</v>
          </cell>
          <cell r="I1291" t="str">
            <v>Ansari,Ammar Abdullah</v>
          </cell>
          <cell r="J1291" t="str">
            <v>EFSV</v>
          </cell>
        </row>
        <row r="1292">
          <cell r="A1292">
            <v>206851164</v>
          </cell>
          <cell r="B1292" t="str">
            <v>mugerwsi</v>
          </cell>
          <cell r="C1292" t="str">
            <v>MUGERWA,SIMON</v>
          </cell>
          <cell r="D1292">
            <v>11166914</v>
          </cell>
          <cell r="E1292">
            <v>1299</v>
          </cell>
          <cell r="F1292" t="str">
            <v>Thu Jan 08 00:00:00 UTC 2026</v>
          </cell>
          <cell r="G1292" t="str">
            <v>3PTY</v>
          </cell>
          <cell r="H1292" t="str">
            <v>Active</v>
          </cell>
          <cell r="I1292" t="str">
            <v>Ansari,Ammar Abdullah</v>
          </cell>
          <cell r="J1292" t="str">
            <v>DULS</v>
          </cell>
        </row>
        <row r="1293">
          <cell r="A1293">
            <v>205506107</v>
          </cell>
          <cell r="B1293" t="str">
            <v>lameckoe</v>
          </cell>
          <cell r="C1293" t="str">
            <v>KOECH,LAMECK KIPKURGAT</v>
          </cell>
          <cell r="D1293">
            <v>11416098</v>
          </cell>
          <cell r="E1293">
            <v>1299</v>
          </cell>
          <cell r="F1293" t="str">
            <v>Mon Jun 23 00:00:00 UTC 2025</v>
          </cell>
          <cell r="G1293" t="str">
            <v>3PTY</v>
          </cell>
          <cell r="H1293" t="str">
            <v>Active</v>
          </cell>
          <cell r="I1293" t="str">
            <v>Katyal,Varun</v>
          </cell>
          <cell r="J1293" t="str">
            <v>EFSV</v>
          </cell>
        </row>
        <row r="1294">
          <cell r="A1294">
            <v>203881597</v>
          </cell>
          <cell r="B1294" t="str">
            <v>marvingx</v>
          </cell>
          <cell r="C1294" t="str">
            <v>Akanang,Marvinge Mokabe</v>
          </cell>
          <cell r="D1294">
            <v>13241950</v>
          </cell>
          <cell r="E1294">
            <v>1299</v>
          </cell>
          <cell r="F1294" t="str">
            <v>Mon Aug 26 00:00:00 UTC 2024</v>
          </cell>
          <cell r="G1294" t="str">
            <v>3PTY</v>
          </cell>
          <cell r="H1294" t="str">
            <v>Active</v>
          </cell>
          <cell r="I1294" t="str">
            <v>Katyal,Varun</v>
          </cell>
          <cell r="J1294" t="str">
            <v>FLO</v>
          </cell>
        </row>
        <row r="1295">
          <cell r="A1295">
            <v>206137338</v>
          </cell>
          <cell r="B1295" t="str">
            <v>nyasuflo</v>
          </cell>
          <cell r="C1295" t="str">
            <v>Florence Ladu Ezbon,Nyasu</v>
          </cell>
          <cell r="D1295">
            <v>15038135</v>
          </cell>
          <cell r="E1295">
            <v>1299</v>
          </cell>
          <cell r="F1295" t="str">
            <v>Mon Sep 29 00:00:00 UTC 2025</v>
          </cell>
          <cell r="G1295" t="str">
            <v>3PTY</v>
          </cell>
          <cell r="H1295" t="str">
            <v>Active</v>
          </cell>
          <cell r="I1295" t="str">
            <v>Scaria,Varghese</v>
          </cell>
          <cell r="J1295" t="str">
            <v>FLO</v>
          </cell>
        </row>
        <row r="1296">
          <cell r="A1296">
            <v>203800485</v>
          </cell>
          <cell r="B1296" t="str">
            <v>edsomweb</v>
          </cell>
          <cell r="C1296" t="str">
            <v>MWEBESA,EDSON</v>
          </cell>
          <cell r="D1296">
            <v>13601692</v>
          </cell>
          <cell r="E1296">
            <v>1299</v>
          </cell>
          <cell r="F1296" t="str">
            <v>Mon Aug 12 00:00:00 UTC 2024</v>
          </cell>
          <cell r="G1296" t="str">
            <v>3PTY</v>
          </cell>
          <cell r="H1296" t="str">
            <v>Active</v>
          </cell>
          <cell r="I1296" t="str">
            <v>Lakkireddy,Sai Raghavendra Reddy</v>
          </cell>
          <cell r="J1296" t="str">
            <v>DULS</v>
          </cell>
        </row>
        <row r="1297">
          <cell r="A1297">
            <v>203599606</v>
          </cell>
          <cell r="B1297" t="str">
            <v>johnyoky</v>
          </cell>
          <cell r="C1297" t="str">
            <v>OKYERE,JOHN</v>
          </cell>
          <cell r="D1297">
            <v>13822650</v>
          </cell>
          <cell r="E1297">
            <v>1299</v>
          </cell>
          <cell r="F1297" t="str">
            <v>Mon Sep 09 00:00:00 UTC 2024</v>
          </cell>
          <cell r="G1297" t="str">
            <v>3PTY</v>
          </cell>
          <cell r="H1297" t="str">
            <v>Active</v>
          </cell>
          <cell r="I1297" t="str">
            <v>Katyal,Varun</v>
          </cell>
          <cell r="J1297" t="str">
            <v>FLO</v>
          </cell>
        </row>
        <row r="1298">
          <cell r="A1298">
            <v>203469169</v>
          </cell>
          <cell r="B1298" t="str">
            <v>quayeell</v>
          </cell>
          <cell r="C1298" t="str">
            <v>Quaye,Lloyd</v>
          </cell>
          <cell r="D1298">
            <v>11555875</v>
          </cell>
          <cell r="E1298">
            <v>1299</v>
          </cell>
          <cell r="F1298" t="str">
            <v>Thu Jun 13 00:00:00 UTC 2024</v>
          </cell>
          <cell r="G1298" t="str">
            <v>3PTY</v>
          </cell>
          <cell r="H1298" t="str">
            <v>Active</v>
          </cell>
          <cell r="I1298" t="str">
            <v>Meera,Bava Bahrudeen</v>
          </cell>
          <cell r="J1298" t="str">
            <v>FLO</v>
          </cell>
        </row>
        <row r="1299">
          <cell r="A1299">
            <v>204072308</v>
          </cell>
          <cell r="B1299" t="str">
            <v>turykenn</v>
          </cell>
          <cell r="C1299" t="str">
            <v>TURYAMUREBA,KENNETH</v>
          </cell>
          <cell r="D1299">
            <v>15302186</v>
          </cell>
          <cell r="E1299">
            <v>1299</v>
          </cell>
          <cell r="F1299" t="str">
            <v>Mon Sep 23 00:00:00 UTC 2024</v>
          </cell>
          <cell r="G1299" t="str">
            <v>3PTY</v>
          </cell>
          <cell r="H1299" t="str">
            <v>Active</v>
          </cell>
          <cell r="I1299" t="str">
            <v>Ansari,Ammar Abdullah</v>
          </cell>
          <cell r="J1299" t="str">
            <v>DULS</v>
          </cell>
        </row>
        <row r="1300">
          <cell r="A1300">
            <v>206915298</v>
          </cell>
          <cell r="B1300" t="str">
            <v>bakawesa</v>
          </cell>
          <cell r="C1300" t="str">
            <v>KAWESA,BASHIRI</v>
          </cell>
          <cell r="D1300">
            <v>11965188</v>
          </cell>
          <cell r="E1300">
            <v>1299</v>
          </cell>
          <cell r="F1300" t="str">
            <v>Mon Jan 12 00:00:00 UTC 2026</v>
          </cell>
          <cell r="G1300" t="str">
            <v>3PTY</v>
          </cell>
          <cell r="H1300" t="str">
            <v>Active</v>
          </cell>
          <cell r="I1300" t="str">
            <v>Katyal,Varun</v>
          </cell>
          <cell r="J1300" t="str">
            <v>DULS</v>
          </cell>
        </row>
        <row r="1301">
          <cell r="A1301">
            <v>204299544</v>
          </cell>
          <cell r="B1301" t="str">
            <v>daangmor</v>
          </cell>
          <cell r="C1301" t="str">
            <v>Angmortey,Daniel Teye-Kwasi</v>
          </cell>
          <cell r="D1301">
            <v>13533882</v>
          </cell>
          <cell r="E1301">
            <v>1299</v>
          </cell>
          <cell r="F1301" t="str">
            <v>Mon Oct 21 00:00:00 UTC 2024</v>
          </cell>
          <cell r="G1301" t="str">
            <v>3PTY</v>
          </cell>
          <cell r="H1301" t="str">
            <v>Active</v>
          </cell>
          <cell r="I1301" t="str">
            <v>Sohail,Anis</v>
          </cell>
          <cell r="J1301" t="str">
            <v>QUES</v>
          </cell>
        </row>
        <row r="1302">
          <cell r="A1302">
            <v>204010090</v>
          </cell>
          <cell r="B1302" t="str">
            <v>qmukalaz</v>
          </cell>
          <cell r="C1302" t="str">
            <v>MUKALAZI,JACOB</v>
          </cell>
          <cell r="D1302">
            <v>12197</v>
          </cell>
          <cell r="E1302">
            <v>1299</v>
          </cell>
          <cell r="F1302" t="str">
            <v>Mon Sep 16 00:00:00 UTC 2024</v>
          </cell>
          <cell r="G1302" t="str">
            <v>3PTY</v>
          </cell>
          <cell r="H1302" t="str">
            <v>Active</v>
          </cell>
          <cell r="I1302" t="str">
            <v>Ansari,Ammar Abdullah</v>
          </cell>
          <cell r="J1302" t="str">
            <v>DULS</v>
          </cell>
        </row>
        <row r="1303">
          <cell r="A1303">
            <v>206934491</v>
          </cell>
          <cell r="B1303" t="str">
            <v>munsaamu</v>
          </cell>
          <cell r="C1303" t="str">
            <v>NSAAMU,MUDASHIRU</v>
          </cell>
          <cell r="D1303">
            <v>13629225</v>
          </cell>
          <cell r="E1303">
            <v>1299</v>
          </cell>
          <cell r="F1303" t="str">
            <v>Mon Jan 26 00:00:00 UTC 2026</v>
          </cell>
          <cell r="G1303" t="str">
            <v>3PTY</v>
          </cell>
          <cell r="H1303" t="str">
            <v>Active</v>
          </cell>
          <cell r="I1303" t="str">
            <v>Meera,Bava Bahrudeen</v>
          </cell>
          <cell r="J1303" t="str">
            <v>DULS</v>
          </cell>
        </row>
        <row r="1304">
          <cell r="A1304">
            <v>203709877</v>
          </cell>
          <cell r="B1304" t="str">
            <v>nyeineb</v>
          </cell>
          <cell r="C1304" t="str">
            <v>Nyein,Ei Ei</v>
          </cell>
          <cell r="D1304">
            <v>12377466</v>
          </cell>
          <cell r="E1304">
            <v>1299</v>
          </cell>
          <cell r="F1304" t="str">
            <v>Mon Jul 22 00:00:00 UTC 2024</v>
          </cell>
          <cell r="G1304" t="str">
            <v>3PTY</v>
          </cell>
          <cell r="H1304" t="str">
            <v>Active</v>
          </cell>
          <cell r="I1304" t="str">
            <v>Dinberu,Eden</v>
          </cell>
          <cell r="J1304" t="str">
            <v>ADEC</v>
          </cell>
        </row>
        <row r="1305">
          <cell r="A1305">
            <v>203752570</v>
          </cell>
          <cell r="B1305" t="str">
            <v>manraqgu</v>
          </cell>
          <cell r="C1305" t="str">
            <v>Gurung,Man Raj</v>
          </cell>
          <cell r="D1305">
            <v>12404828</v>
          </cell>
          <cell r="E1305">
            <v>1299</v>
          </cell>
          <cell r="F1305" t="str">
            <v>Mon Jul 29 00:00:00 UTC 2024</v>
          </cell>
          <cell r="G1305" t="str">
            <v>3PTY</v>
          </cell>
          <cell r="H1305" t="str">
            <v>Active</v>
          </cell>
          <cell r="I1305" t="str">
            <v>Akhtar,Muhammad Zohaib</v>
          </cell>
          <cell r="J1305" t="str">
            <v>WOFZ</v>
          </cell>
        </row>
        <row r="1306">
          <cell r="A1306">
            <v>206297429</v>
          </cell>
          <cell r="B1306" t="str">
            <v>jfsheila</v>
          </cell>
          <cell r="C1306" t="str">
            <v>Jeptoo,Sheilah Kuttoh</v>
          </cell>
          <cell r="D1306">
            <v>12252412</v>
          </cell>
          <cell r="E1306">
            <v>1299</v>
          </cell>
          <cell r="F1306" t="str">
            <v>Mon Oct 20 00:00:00 UTC 2025</v>
          </cell>
          <cell r="G1306" t="str">
            <v>3PTY</v>
          </cell>
          <cell r="H1306" t="str">
            <v>Active</v>
          </cell>
          <cell r="I1306" t="str">
            <v>Meera,Bava Bahrudeen</v>
          </cell>
          <cell r="J1306" t="str">
            <v>EFSV</v>
          </cell>
        </row>
        <row r="1307">
          <cell r="A1307">
            <v>206930331</v>
          </cell>
          <cell r="B1307" t="str">
            <v>kibevely</v>
          </cell>
          <cell r="C1307" t="str">
            <v>KIBAGE,EVELYN</v>
          </cell>
          <cell r="D1307">
            <v>14427369</v>
          </cell>
          <cell r="E1307">
            <v>1299</v>
          </cell>
          <cell r="F1307" t="str">
            <v>Tue Aug 04 00:00:00 UTC 2026</v>
          </cell>
          <cell r="G1307" t="str">
            <v>3PTY</v>
          </cell>
          <cell r="H1307" t="str">
            <v>Active</v>
          </cell>
          <cell r="I1307" t="str">
            <v>Narshad,Muhammad Ashik</v>
          </cell>
          <cell r="J1307" t="str">
            <v>EFSV</v>
          </cell>
        </row>
        <row r="1308">
          <cell r="A1308">
            <v>206450557</v>
          </cell>
          <cell r="B1308" t="str">
            <v>islamvri</v>
          </cell>
          <cell r="C1308" t="str">
            <v>Islam,Riyad Ahmed Nurul</v>
          </cell>
          <cell r="D1308">
            <v>14296931</v>
          </cell>
          <cell r="E1308">
            <v>1299</v>
          </cell>
          <cell r="F1308" t="str">
            <v>Sat Nov 01 00:00:00 UTC 2025</v>
          </cell>
          <cell r="G1308" t="str">
            <v>3PTY</v>
          </cell>
          <cell r="H1308" t="str">
            <v>Active</v>
          </cell>
          <cell r="I1308" t="str">
            <v>Parungao,Priscila Montejo</v>
          </cell>
          <cell r="J1308" t="str">
            <v>STWC</v>
          </cell>
        </row>
        <row r="1309">
          <cell r="A1309">
            <v>206873645</v>
          </cell>
          <cell r="B1309" t="str">
            <v>umarmabi</v>
          </cell>
          <cell r="C1309" t="str">
            <v>MABIRIZI,UMARUH</v>
          </cell>
          <cell r="D1309">
            <v>14082170</v>
          </cell>
          <cell r="E1309">
            <v>1299</v>
          </cell>
          <cell r="F1309" t="str">
            <v>Mon Dec 29 00:00:00 UTC 2025</v>
          </cell>
          <cell r="G1309" t="str">
            <v>3PTY</v>
          </cell>
          <cell r="H1309" t="str">
            <v>Active</v>
          </cell>
          <cell r="I1309" t="str">
            <v>Katyal,Varun</v>
          </cell>
          <cell r="J1309" t="str">
            <v>FLO</v>
          </cell>
        </row>
        <row r="1310">
          <cell r="A1310">
            <v>204880567</v>
          </cell>
          <cell r="B1310" t="str">
            <v>edwamans</v>
          </cell>
          <cell r="C1310" t="str">
            <v>MANSARAY,EDWARD IBRAHIM</v>
          </cell>
          <cell r="D1310">
            <v>13086333</v>
          </cell>
          <cell r="E1310">
            <v>1299</v>
          </cell>
          <cell r="F1310" t="str">
            <v>Wed Jun 18 00:00:00 UTC 2025</v>
          </cell>
          <cell r="G1310" t="str">
            <v>3PTY</v>
          </cell>
          <cell r="H1310" t="str">
            <v>Active</v>
          </cell>
          <cell r="I1310" t="str">
            <v>Katyal,Varun</v>
          </cell>
          <cell r="J1310" t="str">
            <v>DULS</v>
          </cell>
        </row>
        <row r="1311">
          <cell r="A1311">
            <v>203908896</v>
          </cell>
          <cell r="B1311" t="str">
            <v>kulmika</v>
          </cell>
          <cell r="C1311" t="str">
            <v>KULE,MIKA MUSIME</v>
          </cell>
          <cell r="D1311">
            <v>20842</v>
          </cell>
          <cell r="E1311">
            <v>1299</v>
          </cell>
          <cell r="F1311" t="str">
            <v>Mon May 12 00:00:00 UTC 2025</v>
          </cell>
          <cell r="G1311" t="str">
            <v>3PTY</v>
          </cell>
          <cell r="H1311" t="str">
            <v>Active</v>
          </cell>
          <cell r="I1311" t="str">
            <v>Narshad,Muhammad Ashik</v>
          </cell>
          <cell r="J1311" t="str">
            <v>DULS</v>
          </cell>
        </row>
        <row r="1312">
          <cell r="A1312">
            <v>206897663</v>
          </cell>
          <cell r="B1312" t="str">
            <v>sselugya</v>
          </cell>
          <cell r="C1312" t="str">
            <v>SSELUGYA,SADAT</v>
          </cell>
          <cell r="D1312">
            <v>333859</v>
          </cell>
          <cell r="E1312">
            <v>1299</v>
          </cell>
          <cell r="F1312" t="str">
            <v>Thu Jan 08 00:00:00 UTC 2026</v>
          </cell>
          <cell r="G1312" t="str">
            <v>3PTY</v>
          </cell>
          <cell r="H1312" t="str">
            <v>Active</v>
          </cell>
          <cell r="I1312" t="str">
            <v>Narshad,Muhammad Ashik</v>
          </cell>
          <cell r="J1312" t="str">
            <v>FLO</v>
          </cell>
        </row>
        <row r="1313">
          <cell r="A1313">
            <v>203736752</v>
          </cell>
          <cell r="B1313" t="str">
            <v>musthais</v>
          </cell>
          <cell r="C1313" t="str">
            <v>MUSTHAFA,ISMAIL THEKKE KUNNUMMAL</v>
          </cell>
          <cell r="D1313">
            <v>14722607</v>
          </cell>
          <cell r="E1313">
            <v>1299</v>
          </cell>
          <cell r="F1313" t="str">
            <v>Mon Jul 29 00:00:00 UTC 2024</v>
          </cell>
          <cell r="G1313" t="str">
            <v>3PTY</v>
          </cell>
          <cell r="H1313" t="str">
            <v>Active</v>
          </cell>
          <cell r="I1313" t="str">
            <v>Ansari,Ammar Abdullah</v>
          </cell>
          <cell r="J1313" t="str">
            <v>ADEC</v>
          </cell>
        </row>
        <row r="1314">
          <cell r="A1314">
            <v>204095810</v>
          </cell>
          <cell r="B1314" t="str">
            <v>xmakeyak</v>
          </cell>
          <cell r="C1314" t="str">
            <v>Makedjene,Yakta Koffi</v>
          </cell>
          <cell r="D1314">
            <v>12201194</v>
          </cell>
          <cell r="E1314">
            <v>1299</v>
          </cell>
          <cell r="F1314" t="str">
            <v>Thu Sep 26 00:00:00 UTC 2024</v>
          </cell>
          <cell r="G1314" t="str">
            <v>3PTY</v>
          </cell>
          <cell r="H1314" t="str">
            <v>Active</v>
          </cell>
          <cell r="I1314" t="str">
            <v>Scaria,Varghese</v>
          </cell>
          <cell r="J1314" t="str">
            <v>QUES</v>
          </cell>
        </row>
        <row r="1315">
          <cell r="A1315">
            <v>207794654</v>
          </cell>
          <cell r="B1315" t="str">
            <v>khaakmaf</v>
          </cell>
          <cell r="C1315" t="str">
            <v>Khan,Muhammad Akmal</v>
          </cell>
          <cell r="D1315">
            <v>12603704</v>
          </cell>
          <cell r="E1315">
            <v>1171</v>
          </cell>
          <cell r="F1315" t="str">
            <v>Sun Jun 21 00:00:00 UTC 2026</v>
          </cell>
          <cell r="G1315" t="str">
            <v>3PTY</v>
          </cell>
          <cell r="H1315" t="str">
            <v>Active</v>
          </cell>
          <cell r="I1315" t="str">
            <v>Niazi,Mohammad Fazal</v>
          </cell>
          <cell r="J1315" t="str">
            <v>GLCR</v>
          </cell>
        </row>
        <row r="1316">
          <cell r="A1316">
            <v>203908331</v>
          </cell>
          <cell r="B1316" t="str">
            <v>muniiive</v>
          </cell>
          <cell r="C1316" t="str">
            <v>IVAN,MUNIINA</v>
          </cell>
          <cell r="D1316">
            <v>15298703</v>
          </cell>
          <cell r="E1316">
            <v>1299</v>
          </cell>
          <cell r="F1316" t="str">
            <v>Mon Sep 02 00:00:00 UTC 2024</v>
          </cell>
          <cell r="G1316" t="str">
            <v>3PTY</v>
          </cell>
          <cell r="H1316" t="str">
            <v>Active</v>
          </cell>
          <cell r="I1316" t="str">
            <v>Narshad,Muhammad Ashik</v>
          </cell>
          <cell r="J1316" t="str">
            <v>DULS</v>
          </cell>
        </row>
        <row r="1317">
          <cell r="A1317">
            <v>206875146</v>
          </cell>
          <cell r="B1317" t="str">
            <v>alphaatk</v>
          </cell>
          <cell r="C1317" t="str">
            <v>KINYAPALA,ALPHA ATHANASIO</v>
          </cell>
          <cell r="D1317">
            <v>12000454</v>
          </cell>
          <cell r="E1317">
            <v>1299</v>
          </cell>
          <cell r="F1317" t="str">
            <v>Mon Dec 29 00:00:00 UTC 2025</v>
          </cell>
          <cell r="G1317" t="str">
            <v>3PTY</v>
          </cell>
          <cell r="H1317" t="str">
            <v>Active</v>
          </cell>
          <cell r="I1317" t="str">
            <v>Sohail,Anis</v>
          </cell>
          <cell r="J1317" t="str">
            <v>DULS</v>
          </cell>
        </row>
        <row r="1318">
          <cell r="A1318">
            <v>207352996</v>
          </cell>
          <cell r="B1318" t="str">
            <v>borrocyr</v>
          </cell>
          <cell r="C1318" t="str">
            <v>Borromeo,Cyril</v>
          </cell>
          <cell r="D1318">
            <v>14057946</v>
          </cell>
          <cell r="E1318">
            <v>1290</v>
          </cell>
          <cell r="F1318" t="str">
            <v>Thu Apr 23 00:00:00 UTC 2026</v>
          </cell>
          <cell r="G1318" t="str">
            <v>3PTY</v>
          </cell>
          <cell r="H1318" t="str">
            <v>Active</v>
          </cell>
          <cell r="I1318" t="str">
            <v>Kumar,Arun</v>
          </cell>
          <cell r="J1318" t="str">
            <v>EMIR</v>
          </cell>
        </row>
        <row r="1319">
          <cell r="A1319">
            <v>203800483</v>
          </cell>
          <cell r="B1319" t="str">
            <v>germubir</v>
          </cell>
          <cell r="C1319" t="str">
            <v>MUBIRU,GERALD</v>
          </cell>
          <cell r="D1319">
            <v>13763534</v>
          </cell>
          <cell r="E1319">
            <v>1299</v>
          </cell>
          <cell r="F1319" t="str">
            <v>Mon Aug 12 00:00:00 UTC 2024</v>
          </cell>
          <cell r="G1319" t="str">
            <v>3PTY</v>
          </cell>
          <cell r="H1319" t="str">
            <v>Active</v>
          </cell>
          <cell r="I1319" t="str">
            <v>Sohail,Anis</v>
          </cell>
          <cell r="J1319" t="str">
            <v>DULS</v>
          </cell>
        </row>
        <row r="1320">
          <cell r="A1320">
            <v>203800379</v>
          </cell>
          <cell r="B1320" t="str">
            <v>mavuzaid</v>
          </cell>
          <cell r="C1320" t="str">
            <v>MAVUGA,ZAIDI</v>
          </cell>
          <cell r="D1320">
            <v>15386671</v>
          </cell>
          <cell r="E1320">
            <v>1299</v>
          </cell>
          <cell r="F1320" t="str">
            <v>Mon Aug 12 00:00:00 UTC 2024</v>
          </cell>
          <cell r="G1320" t="str">
            <v>3PTY</v>
          </cell>
          <cell r="H1320" t="str">
            <v>Active</v>
          </cell>
          <cell r="I1320" t="str">
            <v>Katyal,Varun</v>
          </cell>
          <cell r="J1320" t="str">
            <v>DULS</v>
          </cell>
        </row>
        <row r="1321">
          <cell r="A1321">
            <v>204872907</v>
          </cell>
          <cell r="B1321" t="str">
            <v>danabuak</v>
          </cell>
          <cell r="C1321" t="str">
            <v>ABU AKPARIBO,DANIEL</v>
          </cell>
          <cell r="D1321">
            <v>12356476</v>
          </cell>
          <cell r="E1321">
            <v>1299</v>
          </cell>
          <cell r="F1321" t="str">
            <v>Wed Jun 18 00:00:00 UTC 2025</v>
          </cell>
          <cell r="G1321" t="str">
            <v>3PTY</v>
          </cell>
          <cell r="H1321" t="str">
            <v>Active</v>
          </cell>
          <cell r="I1321" t="str">
            <v>Katyal,Varun</v>
          </cell>
          <cell r="J1321" t="str">
            <v>DULS</v>
          </cell>
        </row>
        <row r="1322">
          <cell r="A1322">
            <v>204246608</v>
          </cell>
          <cell r="B1322" t="str">
            <v>uknijosh</v>
          </cell>
          <cell r="C1322" t="str">
            <v>Knight,Joshua Chuchuboy</v>
          </cell>
          <cell r="D1322">
            <v>15062494</v>
          </cell>
          <cell r="E1322">
            <v>1299</v>
          </cell>
          <cell r="F1322" t="str">
            <v>Mon Oct 14 00:00:00 UTC 2024</v>
          </cell>
          <cell r="G1322" t="str">
            <v>3PTY</v>
          </cell>
          <cell r="H1322" t="str">
            <v>Active</v>
          </cell>
          <cell r="I1322" t="str">
            <v>Katyal,Varun</v>
          </cell>
          <cell r="J1322" t="str">
            <v>QUES</v>
          </cell>
        </row>
        <row r="1323">
          <cell r="A1323">
            <v>203965456</v>
          </cell>
          <cell r="B1323" t="str">
            <v>habimsha</v>
          </cell>
          <cell r="C1323" t="str">
            <v>Habimana,Sharif</v>
          </cell>
          <cell r="D1323">
            <v>12368238</v>
          </cell>
          <cell r="E1323">
            <v>1299</v>
          </cell>
          <cell r="F1323" t="str">
            <v>Mon Sep 09 00:00:00 UTC 2024</v>
          </cell>
          <cell r="G1323" t="str">
            <v>3PTY</v>
          </cell>
          <cell r="H1323" t="str">
            <v>Active</v>
          </cell>
          <cell r="I1323" t="str">
            <v>Scaria,Varghese</v>
          </cell>
          <cell r="J1323" t="str">
            <v>FLO</v>
          </cell>
        </row>
        <row r="1324">
          <cell r="A1324">
            <v>206949318</v>
          </cell>
          <cell r="B1324" t="str">
            <v>mogumusi</v>
          </cell>
          <cell r="C1324" t="str">
            <v>GUMUSIRIZA,MOSES</v>
          </cell>
          <cell r="D1324">
            <v>15264306</v>
          </cell>
          <cell r="E1324">
            <v>1299</v>
          </cell>
          <cell r="F1324" t="str">
            <v>Mon Jan 26 00:00:00 UTC 2026</v>
          </cell>
          <cell r="G1324" t="str">
            <v>3PTY</v>
          </cell>
          <cell r="H1324" t="str">
            <v>Active</v>
          </cell>
          <cell r="I1324" t="str">
            <v>Meera,Bava Bahrudeen</v>
          </cell>
          <cell r="J1324" t="str">
            <v>DULS</v>
          </cell>
        </row>
        <row r="1325">
          <cell r="A1325">
            <v>206073369</v>
          </cell>
          <cell r="B1325" t="str">
            <v>asargrav</v>
          </cell>
          <cell r="C1325" t="str">
            <v>Asare,Grace</v>
          </cell>
          <cell r="D1325">
            <v>12464828</v>
          </cell>
          <cell r="E1325">
            <v>1299</v>
          </cell>
          <cell r="F1325" t="str">
            <v>Mon Sep 22 00:00:00 UTC 2025</v>
          </cell>
          <cell r="G1325" t="str">
            <v>3PTY</v>
          </cell>
          <cell r="H1325" t="str">
            <v>Active</v>
          </cell>
          <cell r="I1325" t="str">
            <v>Katyal,Varun</v>
          </cell>
          <cell r="J1325" t="str">
            <v>FLO</v>
          </cell>
        </row>
        <row r="1326">
          <cell r="A1326">
            <v>205502951</v>
          </cell>
          <cell r="B1326" t="str">
            <v>kamaesth</v>
          </cell>
          <cell r="C1326" t="str">
            <v>KAMAU,ESTHER WAIRIMU</v>
          </cell>
          <cell r="D1326">
            <v>15167620</v>
          </cell>
          <cell r="E1326">
            <v>1299</v>
          </cell>
          <cell r="F1326" t="str">
            <v>Mon Jun 23 00:00:00 UTC 2025</v>
          </cell>
          <cell r="G1326" t="str">
            <v>3PTY</v>
          </cell>
          <cell r="H1326" t="str">
            <v>Active</v>
          </cell>
          <cell r="I1326" t="str">
            <v>Katyal,Varun</v>
          </cell>
          <cell r="J1326" t="str">
            <v>EFSV</v>
          </cell>
        </row>
        <row r="1327">
          <cell r="A1327">
            <v>205786041</v>
          </cell>
          <cell r="B1327" t="str">
            <v>janakbag</v>
          </cell>
          <cell r="C1327" t="str">
            <v>JANAK BAHADUR GHARTI,GYABIRAL GHARTI</v>
          </cell>
          <cell r="D1327">
            <v>13048975</v>
          </cell>
          <cell r="E1327">
            <v>1712</v>
          </cell>
          <cell r="F1327" t="str">
            <v>Sat Aug 09 00:00:00 UTC 2025</v>
          </cell>
          <cell r="G1327" t="str">
            <v>3PTY</v>
          </cell>
          <cell r="H1327" t="str">
            <v>Active</v>
          </cell>
          <cell r="I1327" t="str">
            <v>POGALA,HAREESH</v>
          </cell>
          <cell r="J1327" t="str">
            <v>KBTS</v>
          </cell>
        </row>
        <row r="1328">
          <cell r="A1328">
            <v>206192271</v>
          </cell>
          <cell r="B1328" t="str">
            <v>jermercy</v>
          </cell>
          <cell r="C1328" t="str">
            <v>JERUTO,MERCY</v>
          </cell>
          <cell r="D1328">
            <v>11191472</v>
          </cell>
          <cell r="E1328">
            <v>1299</v>
          </cell>
          <cell r="F1328" t="str">
            <v>Mon Oct 06 00:00:00 UTC 2025</v>
          </cell>
          <cell r="G1328" t="str">
            <v>3PTY</v>
          </cell>
          <cell r="H1328" t="str">
            <v>Active</v>
          </cell>
          <cell r="I1328" t="str">
            <v>Thomas,Binil</v>
          </cell>
          <cell r="J1328" t="str">
            <v>EFSV</v>
          </cell>
        </row>
        <row r="1329">
          <cell r="A1329">
            <v>204095444</v>
          </cell>
          <cell r="B1329" t="str">
            <v>larteydo</v>
          </cell>
          <cell r="C1329" t="str">
            <v>Lartey,Dorcas Larteley</v>
          </cell>
          <cell r="D1329">
            <v>13460706</v>
          </cell>
          <cell r="E1329">
            <v>1299</v>
          </cell>
          <cell r="F1329" t="str">
            <v>Thu Sep 26 00:00:00 UTC 2024</v>
          </cell>
          <cell r="G1329" t="str">
            <v>3PTY</v>
          </cell>
          <cell r="H1329" t="str">
            <v>Active</v>
          </cell>
          <cell r="I1329" t="str">
            <v>Sohail,Anis</v>
          </cell>
          <cell r="J1329" t="str">
            <v>QUES</v>
          </cell>
        </row>
        <row r="1330">
          <cell r="A1330">
            <v>203737145</v>
          </cell>
          <cell r="B1330" t="str">
            <v>kukulago</v>
          </cell>
          <cell r="C1330" t="str">
            <v>Kukulagoda Ullege,Anusha Dilrukshi Gunathilake</v>
          </cell>
          <cell r="D1330">
            <v>11642028</v>
          </cell>
          <cell r="E1330">
            <v>1299</v>
          </cell>
          <cell r="F1330" t="str">
            <v>Mon Jul 29 00:00:00 UTC 2024</v>
          </cell>
          <cell r="G1330" t="str">
            <v>3PTY</v>
          </cell>
          <cell r="H1330" t="str">
            <v>Active</v>
          </cell>
          <cell r="I1330" t="str">
            <v>Katyal,Varun</v>
          </cell>
          <cell r="J1330" t="str">
            <v>FLO</v>
          </cell>
        </row>
        <row r="1331">
          <cell r="A1331">
            <v>204011575</v>
          </cell>
          <cell r="B1331" t="str">
            <v>kampmesh</v>
          </cell>
          <cell r="C1331" t="str">
            <v>KAMPAME,MESHACH</v>
          </cell>
          <cell r="D1331">
            <v>13483201</v>
          </cell>
          <cell r="E1331">
            <v>1299</v>
          </cell>
          <cell r="F1331" t="str">
            <v>Mon Sep 16 00:00:00 UTC 2024</v>
          </cell>
          <cell r="G1331" t="str">
            <v>3PTY</v>
          </cell>
          <cell r="H1331" t="str">
            <v>Active</v>
          </cell>
          <cell r="I1331" t="str">
            <v>Ansari,Ammar Abdullah</v>
          </cell>
          <cell r="J1331" t="str">
            <v>DULS</v>
          </cell>
        </row>
        <row r="1332">
          <cell r="A1332">
            <v>206072868</v>
          </cell>
          <cell r="B1332" t="str">
            <v>andohogi</v>
          </cell>
          <cell r="C1332" t="str">
            <v>Andoh,Gifty</v>
          </cell>
          <cell r="D1332">
            <v>14718096</v>
          </cell>
          <cell r="E1332">
            <v>1299</v>
          </cell>
          <cell r="F1332" t="str">
            <v>Mon Sep 22 00:00:00 UTC 2025</v>
          </cell>
          <cell r="G1332" t="str">
            <v>3PTY</v>
          </cell>
          <cell r="H1332" t="str">
            <v>Active</v>
          </cell>
          <cell r="I1332" t="str">
            <v>Katyal,Varun</v>
          </cell>
          <cell r="J1332" t="str">
            <v>FLO</v>
          </cell>
        </row>
        <row r="1333">
          <cell r="A1333">
            <v>206073365</v>
          </cell>
          <cell r="B1333" t="str">
            <v>letiowus</v>
          </cell>
          <cell r="C1333" t="str">
            <v>Owusu,Leticia</v>
          </cell>
          <cell r="D1333">
            <v>12182424</v>
          </cell>
          <cell r="E1333">
            <v>1299</v>
          </cell>
          <cell r="F1333" t="str">
            <v>Mon Sep 22 00:00:00 UTC 2025</v>
          </cell>
          <cell r="G1333" t="str">
            <v>3PTY</v>
          </cell>
          <cell r="H1333" t="str">
            <v>Active</v>
          </cell>
          <cell r="I1333" t="str">
            <v>Katyal,Varun</v>
          </cell>
          <cell r="J1333" t="str">
            <v>FLO</v>
          </cell>
        </row>
        <row r="1334">
          <cell r="A1334">
            <v>206296189</v>
          </cell>
          <cell r="B1334" t="str">
            <v>mambbfra</v>
          </cell>
          <cell r="C1334" t="str">
            <v>MAMBWE,FRANCIS</v>
          </cell>
          <cell r="D1334">
            <v>11041352</v>
          </cell>
          <cell r="E1334">
            <v>1299</v>
          </cell>
          <cell r="F1334" t="str">
            <v>Mon Oct 20 00:00:00 UTC 2025</v>
          </cell>
          <cell r="G1334" t="str">
            <v>3PTY</v>
          </cell>
          <cell r="H1334" t="str">
            <v>Active</v>
          </cell>
          <cell r="I1334" t="str">
            <v>Sohail,Anis</v>
          </cell>
          <cell r="J1334" t="str">
            <v>EFSV</v>
          </cell>
        </row>
        <row r="1335">
          <cell r="A1335">
            <v>206517353</v>
          </cell>
          <cell r="B1335" t="str">
            <v>jingekwa</v>
          </cell>
          <cell r="C1335" t="str">
            <v>EKWALLA,JINA MOSINGA</v>
          </cell>
          <cell r="D1335">
            <v>12875604</v>
          </cell>
          <cell r="E1335">
            <v>1299</v>
          </cell>
          <cell r="F1335" t="str">
            <v>Mon Nov 10 00:00:00 UTC 2025</v>
          </cell>
          <cell r="G1335" t="str">
            <v>3PTY</v>
          </cell>
          <cell r="H1335" t="str">
            <v>Active</v>
          </cell>
          <cell r="I1335" t="str">
            <v>Narshad,Muhammad Ashik</v>
          </cell>
          <cell r="J1335" t="str">
            <v>EFSV</v>
          </cell>
        </row>
        <row r="1336">
          <cell r="A1336">
            <v>208024060</v>
          </cell>
          <cell r="B1336" t="str">
            <v>mohdibem</v>
          </cell>
          <cell r="C1336" t="str">
            <v>Mahmood Alam,Mohd Ibrahim</v>
          </cell>
          <cell r="D1336">
            <v>14783617</v>
          </cell>
          <cell r="E1336">
            <v>1200</v>
          </cell>
          <cell r="F1336" t="str">
            <v>Thu Jul 16 00:00:00 UTC 2026</v>
          </cell>
          <cell r="G1336" t="str">
            <v>3PTY</v>
          </cell>
          <cell r="H1336" t="str">
            <v>Active</v>
          </cell>
          <cell r="I1336" t="str">
            <v>Alhashmi,Abdulla</v>
          </cell>
          <cell r="J1336" t="str">
            <v>SNTC</v>
          </cell>
        </row>
        <row r="1337">
          <cell r="A1337">
            <v>205977116</v>
          </cell>
          <cell r="B1337" t="str">
            <v>andrmulv</v>
          </cell>
          <cell r="C1337" t="str">
            <v>MULUUTA,ANDREW</v>
          </cell>
          <cell r="D1337">
            <v>11011187</v>
          </cell>
          <cell r="E1337">
            <v>1299</v>
          </cell>
          <cell r="F1337" t="str">
            <v>Mon Sep 15 00:00:00 UTC 2025</v>
          </cell>
          <cell r="G1337" t="str">
            <v>3PTY</v>
          </cell>
          <cell r="H1337" t="str">
            <v>Active</v>
          </cell>
          <cell r="I1337" t="str">
            <v>Thomas,Binil</v>
          </cell>
          <cell r="J1337" t="str">
            <v>DULS</v>
          </cell>
        </row>
        <row r="1338">
          <cell r="A1338">
            <v>203712972</v>
          </cell>
          <cell r="B1338" t="str">
            <v>hbinepal</v>
          </cell>
          <cell r="C1338" t="str">
            <v>NEPALI,BIKASH</v>
          </cell>
          <cell r="D1338">
            <v>12661175</v>
          </cell>
          <cell r="E1338">
            <v>1299</v>
          </cell>
          <cell r="F1338" t="str">
            <v>Tue Aug 13 00:00:00 UTC 2024</v>
          </cell>
          <cell r="G1338" t="str">
            <v>3PTY</v>
          </cell>
          <cell r="H1338" t="str">
            <v>Active</v>
          </cell>
          <cell r="I1338" t="str">
            <v>Katyal,Varun</v>
          </cell>
          <cell r="J1338" t="str">
            <v>ADEC</v>
          </cell>
        </row>
        <row r="1339">
          <cell r="A1339">
            <v>206875152</v>
          </cell>
          <cell r="B1339" t="str">
            <v>xfunhami</v>
          </cell>
          <cell r="C1339" t="str">
            <v>FUNDI MUSSA,HAMISI</v>
          </cell>
          <cell r="D1339">
            <v>14238371</v>
          </cell>
          <cell r="E1339">
            <v>1299</v>
          </cell>
          <cell r="F1339" t="str">
            <v>Mon Dec 29 00:00:00 UTC 2025</v>
          </cell>
          <cell r="G1339" t="str">
            <v>3PTY</v>
          </cell>
          <cell r="H1339" t="str">
            <v>Active</v>
          </cell>
          <cell r="I1339" t="str">
            <v>Sohail,Anis</v>
          </cell>
          <cell r="J1339" t="str">
            <v>DULS</v>
          </cell>
        </row>
        <row r="1340">
          <cell r="A1340">
            <v>206004608</v>
          </cell>
          <cell r="B1340" t="str">
            <v>drichani</v>
          </cell>
          <cell r="C1340" t="str">
            <v>ANIM,RICHARD</v>
          </cell>
          <cell r="D1340">
            <v>13023367</v>
          </cell>
          <cell r="E1340">
            <v>1299</v>
          </cell>
          <cell r="F1340" t="str">
            <v>Mon Sep 15 00:00:00 UTC 2025</v>
          </cell>
          <cell r="G1340" t="str">
            <v>3PTY</v>
          </cell>
          <cell r="H1340" t="str">
            <v>Active</v>
          </cell>
          <cell r="I1340" t="str">
            <v>Katyal,Varun</v>
          </cell>
          <cell r="J1340" t="str">
            <v>FLO</v>
          </cell>
        </row>
        <row r="1341">
          <cell r="A1341">
            <v>203850766</v>
          </cell>
          <cell r="B1341" t="str">
            <v>dekiwanu</v>
          </cell>
          <cell r="C1341" t="str">
            <v>Kiwanuka,Derrick</v>
          </cell>
          <cell r="D1341">
            <v>14040257</v>
          </cell>
          <cell r="E1341">
            <v>1299</v>
          </cell>
          <cell r="F1341" t="str">
            <v>Tue Aug 20 00:00:00 UTC 2024</v>
          </cell>
          <cell r="G1341" t="str">
            <v>3PTY</v>
          </cell>
          <cell r="H1341" t="str">
            <v>Active</v>
          </cell>
          <cell r="I1341" t="str">
            <v>Thomas,Binil</v>
          </cell>
          <cell r="J1341" t="str">
            <v>DULS</v>
          </cell>
        </row>
        <row r="1342">
          <cell r="A1342">
            <v>207470996</v>
          </cell>
          <cell r="B1342" t="str">
            <v>uttambk</v>
          </cell>
          <cell r="C1342" t="str">
            <v>B K,Uttam</v>
          </cell>
          <cell r="D1342">
            <v>12089704</v>
          </cell>
          <cell r="E1342">
            <v>1712</v>
          </cell>
          <cell r="F1342" t="str">
            <v>Sun May 10 00:00:00 UTC 2026</v>
          </cell>
          <cell r="G1342" t="str">
            <v>3PTY</v>
          </cell>
          <cell r="H1342" t="str">
            <v>Active</v>
          </cell>
          <cell r="I1342" t="str">
            <v>ramadoss,vadivel</v>
          </cell>
          <cell r="J1342" t="str">
            <v>KBTS</v>
          </cell>
        </row>
        <row r="1343">
          <cell r="A1343">
            <v>203468318</v>
          </cell>
          <cell r="B1343" t="str">
            <v>dorasare</v>
          </cell>
          <cell r="C1343" t="str">
            <v>Asare,Dorothy</v>
          </cell>
          <cell r="D1343">
            <v>12850503</v>
          </cell>
          <cell r="E1343">
            <v>1299</v>
          </cell>
          <cell r="F1343" t="str">
            <v>Thu Jun 13 00:00:00 UTC 2024</v>
          </cell>
          <cell r="G1343" t="str">
            <v>3PTY</v>
          </cell>
          <cell r="H1343" t="str">
            <v>Active</v>
          </cell>
          <cell r="I1343" t="str">
            <v>Katyal,Varun</v>
          </cell>
          <cell r="J1343" t="str">
            <v>FLO</v>
          </cell>
        </row>
        <row r="1344">
          <cell r="A1344">
            <v>205152124</v>
          </cell>
          <cell r="B1344" t="str">
            <v>sujsivan</v>
          </cell>
          <cell r="C1344" t="str">
            <v>SIVANPILLAI,SUJITH</v>
          </cell>
          <cell r="D1344">
            <v>13503240</v>
          </cell>
          <cell r="E1344">
            <v>1712</v>
          </cell>
          <cell r="F1344" t="str">
            <v>Mon Apr 14 00:00:00 UTC 2025</v>
          </cell>
          <cell r="G1344" t="str">
            <v>3PTY</v>
          </cell>
          <cell r="H1344" t="str">
            <v>Active</v>
          </cell>
          <cell r="I1344" t="str">
            <v>Rizvan,Mohamed</v>
          </cell>
          <cell r="J1344" t="str">
            <v>BHIZ</v>
          </cell>
        </row>
        <row r="1345">
          <cell r="A1345">
            <v>205609143</v>
          </cell>
          <cell r="B1345" t="str">
            <v>umaymusa</v>
          </cell>
          <cell r="C1345" t="str">
            <v>MUSA MUBI,UMARU</v>
          </cell>
          <cell r="D1345">
            <v>13420010</v>
          </cell>
          <cell r="E1345">
            <v>1299</v>
          </cell>
          <cell r="F1345" t="str">
            <v>Mon Jul 07 00:00:00 UTC 2025</v>
          </cell>
          <cell r="G1345" t="str">
            <v>3PTY</v>
          </cell>
          <cell r="H1345" t="str">
            <v>Active</v>
          </cell>
          <cell r="I1345" t="str">
            <v>Meera,Bava Bahrudeen</v>
          </cell>
          <cell r="J1345" t="str">
            <v>DULS</v>
          </cell>
        </row>
        <row r="1346">
          <cell r="A1346">
            <v>203850876</v>
          </cell>
          <cell r="B1346" t="str">
            <v>momukisa</v>
          </cell>
          <cell r="C1346" t="str">
            <v>Mukisa,Moses</v>
          </cell>
          <cell r="D1346">
            <v>14436598</v>
          </cell>
          <cell r="E1346">
            <v>1299</v>
          </cell>
          <cell r="F1346" t="str">
            <v>Tue Aug 20 00:00:00 UTC 2024</v>
          </cell>
          <cell r="G1346" t="str">
            <v>3PTY</v>
          </cell>
          <cell r="H1346" t="str">
            <v>Active</v>
          </cell>
          <cell r="I1346" t="str">
            <v>Narshad,Muhammad Ashik</v>
          </cell>
          <cell r="J1346" t="str">
            <v>DULS</v>
          </cell>
        </row>
        <row r="1347">
          <cell r="A1347">
            <v>206873650</v>
          </cell>
          <cell r="B1347" t="str">
            <v>paswellx</v>
          </cell>
          <cell r="C1347" t="str">
            <v>GYAMFI,PASWELL</v>
          </cell>
          <cell r="D1347">
            <v>14184923</v>
          </cell>
          <cell r="E1347">
            <v>1299</v>
          </cell>
          <cell r="F1347" t="str">
            <v>Mon Dec 29 00:00:00 UTC 2025</v>
          </cell>
          <cell r="G1347" t="str">
            <v>3PTY</v>
          </cell>
          <cell r="H1347" t="str">
            <v>Active</v>
          </cell>
          <cell r="I1347" t="str">
            <v>Katyal,Varun</v>
          </cell>
          <cell r="J1347" t="str">
            <v>FLO</v>
          </cell>
        </row>
        <row r="1348">
          <cell r="A1348">
            <v>204072306</v>
          </cell>
          <cell r="B1348" t="str">
            <v>nasasjoh</v>
          </cell>
          <cell r="C1348" t="str">
            <v>NASASIRA,JOHN</v>
          </cell>
          <cell r="D1348">
            <v>12066447</v>
          </cell>
          <cell r="E1348">
            <v>1299</v>
          </cell>
          <cell r="F1348" t="str">
            <v>Mon Sep 23 00:00:00 UTC 2024</v>
          </cell>
          <cell r="G1348" t="str">
            <v>3PTY</v>
          </cell>
          <cell r="H1348" t="str">
            <v>Active</v>
          </cell>
          <cell r="I1348" t="str">
            <v>Ansari,Ammar Abdullah</v>
          </cell>
          <cell r="J1348" t="str">
            <v>DULS</v>
          </cell>
        </row>
        <row r="1349">
          <cell r="A1349">
            <v>203468750</v>
          </cell>
          <cell r="B1349" t="str">
            <v>enleopol</v>
          </cell>
          <cell r="C1349" t="str">
            <v>Ntong,Leopold</v>
          </cell>
          <cell r="D1349">
            <v>13540732</v>
          </cell>
          <cell r="E1349">
            <v>1299</v>
          </cell>
          <cell r="F1349" t="str">
            <v>Thu Jun 13 00:00:00 UTC 2024</v>
          </cell>
          <cell r="G1349" t="str">
            <v>3PTY</v>
          </cell>
          <cell r="H1349" t="str">
            <v>Active</v>
          </cell>
          <cell r="I1349" t="str">
            <v>Lakkireddy,Sai Raghavendra Reddy</v>
          </cell>
          <cell r="J1349" t="str">
            <v>FLO</v>
          </cell>
        </row>
        <row r="1350">
          <cell r="A1350">
            <v>203512943</v>
          </cell>
          <cell r="B1350" t="str">
            <v>cshingai</v>
          </cell>
          <cell r="C1350" t="str">
            <v>Chinaa,Shingai</v>
          </cell>
          <cell r="D1350">
            <v>13963506</v>
          </cell>
          <cell r="E1350">
            <v>1299</v>
          </cell>
          <cell r="F1350" t="str">
            <v>Thu Jun 20 00:00:00 UTC 2024</v>
          </cell>
          <cell r="G1350" t="str">
            <v>3PTY</v>
          </cell>
          <cell r="H1350" t="str">
            <v>Active</v>
          </cell>
          <cell r="I1350" t="str">
            <v>Ansari,Ammar Abdullah</v>
          </cell>
          <cell r="J1350" t="str">
            <v>FLO</v>
          </cell>
        </row>
        <row r="1351">
          <cell r="A1351">
            <v>203555714</v>
          </cell>
          <cell r="B1351" t="str">
            <v>tsadorca</v>
          </cell>
          <cell r="C1351" t="str">
            <v>Sakyiamah,Dorcas</v>
          </cell>
          <cell r="D1351">
            <v>13448938</v>
          </cell>
          <cell r="E1351">
            <v>1299</v>
          </cell>
          <cell r="F1351" t="str">
            <v>Thu Jun 27 00:00:00 UTC 2024</v>
          </cell>
          <cell r="G1351" t="str">
            <v>3PTY</v>
          </cell>
          <cell r="H1351" t="str">
            <v>Active</v>
          </cell>
          <cell r="I1351" t="str">
            <v>Katyal,Varun</v>
          </cell>
          <cell r="J1351" t="str">
            <v>FLO</v>
          </cell>
        </row>
        <row r="1352">
          <cell r="A1352">
            <v>203160763</v>
          </cell>
          <cell r="B1352" t="str">
            <v>momohiya</v>
          </cell>
          <cell r="C1352" t="str">
            <v>MOHAMMED,MOHIYADHEEN KOVVAL</v>
          </cell>
          <cell r="D1352">
            <v>15014257</v>
          </cell>
          <cell r="E1352">
            <v>1299</v>
          </cell>
          <cell r="F1352" t="str">
            <v>Sun Mar 31 00:00:00 UTC 2024</v>
          </cell>
          <cell r="G1352" t="str">
            <v>3PTY</v>
          </cell>
          <cell r="H1352" t="str">
            <v>Active</v>
          </cell>
          <cell r="I1352" t="str">
            <v>Akhtar,Muhammad Zohaib</v>
          </cell>
          <cell r="J1352" t="str">
            <v>WOFZ</v>
          </cell>
        </row>
        <row r="1353">
          <cell r="A1353">
            <v>206850963</v>
          </cell>
          <cell r="B1353" t="str">
            <v>mssemjul</v>
          </cell>
          <cell r="C1353" t="str">
            <v>SSEMAKULA,JULIUS</v>
          </cell>
          <cell r="D1353">
            <v>14809920</v>
          </cell>
          <cell r="E1353">
            <v>1299</v>
          </cell>
          <cell r="F1353" t="str">
            <v>Mon Dec 22 00:00:00 UTC 2025</v>
          </cell>
          <cell r="G1353" t="str">
            <v>3PTY</v>
          </cell>
          <cell r="H1353" t="str">
            <v>Active</v>
          </cell>
          <cell r="I1353" t="str">
            <v>Ansari,Ammar Abdullah</v>
          </cell>
          <cell r="J1353" t="str">
            <v>DULS</v>
          </cell>
        </row>
        <row r="1354">
          <cell r="A1354">
            <v>204299911</v>
          </cell>
          <cell r="B1354" t="str">
            <v>emekweni</v>
          </cell>
          <cell r="C1354" t="str">
            <v>Ekweni,Emmanuel Obase</v>
          </cell>
          <cell r="D1354">
            <v>11128083</v>
          </cell>
          <cell r="E1354">
            <v>1299</v>
          </cell>
          <cell r="F1354" t="str">
            <v>Mon Oct 21 00:00:00 UTC 2024</v>
          </cell>
          <cell r="G1354" t="str">
            <v>3PTY</v>
          </cell>
          <cell r="H1354" t="str">
            <v>Active</v>
          </cell>
          <cell r="I1354" t="str">
            <v>Sohail,Anis</v>
          </cell>
          <cell r="J1354" t="str">
            <v>QUES</v>
          </cell>
        </row>
        <row r="1355">
          <cell r="A1355">
            <v>203881599</v>
          </cell>
          <cell r="B1355" t="str">
            <v>mmensahf</v>
          </cell>
          <cell r="C1355" t="str">
            <v>Mensah,Mary</v>
          </cell>
          <cell r="D1355">
            <v>43293</v>
          </cell>
          <cell r="E1355">
            <v>1299</v>
          </cell>
          <cell r="F1355" t="str">
            <v>Mon Aug 26 00:00:00 UTC 2024</v>
          </cell>
          <cell r="G1355" t="str">
            <v>3PTY</v>
          </cell>
          <cell r="H1355" t="str">
            <v>Active</v>
          </cell>
          <cell r="I1355" t="str">
            <v>Katyal,Varun</v>
          </cell>
          <cell r="J1355" t="str">
            <v>FLO</v>
          </cell>
        </row>
        <row r="1356">
          <cell r="A1356">
            <v>203635600</v>
          </cell>
          <cell r="B1356" t="str">
            <v>ansahfsa</v>
          </cell>
          <cell r="C1356" t="str">
            <v>Ansah,Samuel Kwesi</v>
          </cell>
          <cell r="D1356">
            <v>11181803</v>
          </cell>
          <cell r="E1356">
            <v>1299</v>
          </cell>
          <cell r="F1356" t="str">
            <v>Mon Jul 08 00:00:00 UTC 2024</v>
          </cell>
          <cell r="G1356" t="str">
            <v>3PTY</v>
          </cell>
          <cell r="H1356" t="str">
            <v>Active</v>
          </cell>
          <cell r="I1356" t="str">
            <v>Dinberu,Eden</v>
          </cell>
          <cell r="J1356" t="str">
            <v>FLO</v>
          </cell>
        </row>
        <row r="1357">
          <cell r="A1357">
            <v>206958448</v>
          </cell>
          <cell r="B1357" t="str">
            <v>kialicew</v>
          </cell>
          <cell r="C1357" t="str">
            <v>Kinyanjui,Alice Wanjiru</v>
          </cell>
          <cell r="D1357">
            <v>14206644</v>
          </cell>
          <cell r="E1357">
            <v>1299</v>
          </cell>
          <cell r="F1357" t="str">
            <v>Mon Jan 26 00:00:00 UTC 2026</v>
          </cell>
          <cell r="G1357" t="str">
            <v>3PTY</v>
          </cell>
          <cell r="H1357" t="str">
            <v>Active</v>
          </cell>
          <cell r="I1357" t="str">
            <v>Katyal,Varun</v>
          </cell>
          <cell r="J1357" t="str">
            <v>EFSV</v>
          </cell>
        </row>
        <row r="1358">
          <cell r="A1358">
            <v>204138118</v>
          </cell>
          <cell r="B1358" t="str">
            <v>appialet</v>
          </cell>
          <cell r="C1358" t="str">
            <v>Appiah,Leticia</v>
          </cell>
          <cell r="D1358">
            <v>12562702</v>
          </cell>
          <cell r="E1358">
            <v>1299</v>
          </cell>
          <cell r="F1358" t="str">
            <v>Mon Sep 30 00:00:00 UTC 2024</v>
          </cell>
          <cell r="G1358" t="str">
            <v>3PTY</v>
          </cell>
          <cell r="H1358" t="str">
            <v>Active</v>
          </cell>
          <cell r="I1358" t="str">
            <v>Lakkireddy,Sai Raghavendra Reddy</v>
          </cell>
          <cell r="J1358" t="str">
            <v>QUES</v>
          </cell>
        </row>
        <row r="1359">
          <cell r="A1359">
            <v>203850898</v>
          </cell>
          <cell r="B1359" t="str">
            <v>rictorac</v>
          </cell>
          <cell r="C1359" t="str">
            <v>Torach,Richard Akena</v>
          </cell>
          <cell r="D1359">
            <v>13803169</v>
          </cell>
          <cell r="E1359">
            <v>1299</v>
          </cell>
          <cell r="F1359" t="str">
            <v>Tue Aug 20 00:00:00 UTC 2024</v>
          </cell>
          <cell r="G1359" t="str">
            <v>3PTY</v>
          </cell>
          <cell r="H1359" t="str">
            <v>Active</v>
          </cell>
          <cell r="I1359" t="str">
            <v>Scaria,Varghese</v>
          </cell>
          <cell r="J1359" t="str">
            <v>DULS</v>
          </cell>
        </row>
        <row r="1360">
          <cell r="A1360">
            <v>207865015</v>
          </cell>
          <cell r="B1360" t="str">
            <v>sianakha</v>
          </cell>
          <cell r="C1360" t="str">
            <v>Nakhayenka,Siarhei</v>
          </cell>
          <cell r="D1360">
            <v>13216996</v>
          </cell>
          <cell r="E1360">
            <v>1200</v>
          </cell>
          <cell r="F1360" t="str">
            <v>Sun Jul 05 00:00:00 UTC 2026</v>
          </cell>
          <cell r="G1360" t="str">
            <v>3PTY</v>
          </cell>
          <cell r="H1360" t="str">
            <v>Active</v>
          </cell>
          <cell r="I1360" t="str">
            <v>Alhashmi,Abdulla</v>
          </cell>
          <cell r="J1360" t="str">
            <v>SSIS</v>
          </cell>
        </row>
        <row r="1361">
          <cell r="A1361">
            <v>205839586</v>
          </cell>
          <cell r="B1361" t="str">
            <v>edtwinam</v>
          </cell>
          <cell r="C1361" t="str">
            <v>TWINAMATSIKO,EDGAR</v>
          </cell>
          <cell r="D1361">
            <v>11703131</v>
          </cell>
          <cell r="E1361">
            <v>1299</v>
          </cell>
          <cell r="F1361" t="str">
            <v>Mon Aug 25 00:00:00 UTC 2025</v>
          </cell>
          <cell r="G1361" t="str">
            <v>3PTY</v>
          </cell>
          <cell r="H1361" t="str">
            <v>Active</v>
          </cell>
          <cell r="I1361" t="str">
            <v>Ansari,Ammar Abdullah</v>
          </cell>
          <cell r="J1361" t="str">
            <v>DULS</v>
          </cell>
        </row>
        <row r="1362">
          <cell r="A1362">
            <v>203736329</v>
          </cell>
          <cell r="B1362" t="str">
            <v>joolubeg</v>
          </cell>
          <cell r="C1362" t="str">
            <v>LUBEGA,JOHN</v>
          </cell>
          <cell r="D1362">
            <v>13935666</v>
          </cell>
          <cell r="E1362">
            <v>1299</v>
          </cell>
          <cell r="F1362" t="str">
            <v>Mon Jul 29 00:00:00 UTC 2024</v>
          </cell>
          <cell r="G1362" t="str">
            <v>3PTY</v>
          </cell>
          <cell r="H1362" t="str">
            <v>Active</v>
          </cell>
          <cell r="I1362" t="str">
            <v>Katyal,Varun</v>
          </cell>
          <cell r="J1362" t="str">
            <v>DULS</v>
          </cell>
        </row>
        <row r="1363">
          <cell r="A1363">
            <v>203802274</v>
          </cell>
          <cell r="B1363" t="str">
            <v>chicharf</v>
          </cell>
          <cell r="C1363" t="str">
            <v>CHIBINDI,CHARLES</v>
          </cell>
          <cell r="D1363">
            <v>13606820</v>
          </cell>
          <cell r="E1363">
            <v>1299</v>
          </cell>
          <cell r="F1363" t="str">
            <v>Mon Aug 12 00:00:00 UTC 2024</v>
          </cell>
          <cell r="G1363" t="str">
            <v>3PTY</v>
          </cell>
          <cell r="H1363" t="str">
            <v>Active</v>
          </cell>
          <cell r="I1363" t="str">
            <v>Katyal,Varun</v>
          </cell>
          <cell r="J1363" t="str">
            <v>FLO</v>
          </cell>
        </row>
        <row r="1364">
          <cell r="A1364">
            <v>206873657</v>
          </cell>
          <cell r="B1364" t="str">
            <v>magdanya</v>
          </cell>
          <cell r="C1364" t="str">
            <v>NYARKOA ASANT,MAGDALENE</v>
          </cell>
          <cell r="D1364">
            <v>13929725</v>
          </cell>
          <cell r="E1364">
            <v>1299</v>
          </cell>
          <cell r="F1364" t="str">
            <v>Mon Dec 29 00:00:00 UTC 2025</v>
          </cell>
          <cell r="G1364" t="str">
            <v>3PTY</v>
          </cell>
          <cell r="H1364" t="str">
            <v>Active</v>
          </cell>
          <cell r="I1364" t="str">
            <v>Katyal,Varun</v>
          </cell>
          <cell r="J1364" t="str">
            <v>FLO</v>
          </cell>
        </row>
        <row r="1365">
          <cell r="A1365">
            <v>203965410</v>
          </cell>
          <cell r="B1365" t="str">
            <v>kingwaym</v>
          </cell>
          <cell r="C1365" t="str">
            <v>Kingway Barrie,Mohamed</v>
          </cell>
          <cell r="D1365">
            <v>14452670</v>
          </cell>
          <cell r="E1365">
            <v>1299</v>
          </cell>
          <cell r="F1365" t="str">
            <v>Mon Sep 09 00:00:00 UTC 2024</v>
          </cell>
          <cell r="G1365" t="str">
            <v>3PTY</v>
          </cell>
          <cell r="H1365" t="str">
            <v>Active</v>
          </cell>
          <cell r="I1365" t="str">
            <v>Lakkireddy,Sai Raghavendra Reddy</v>
          </cell>
          <cell r="J1365" t="str">
            <v>FLO</v>
          </cell>
        </row>
        <row r="1366">
          <cell r="A1366">
            <v>203594431</v>
          </cell>
          <cell r="B1366" t="str">
            <v>twenewka</v>
          </cell>
          <cell r="C1366" t="str">
            <v>TWENEWAA,KATE</v>
          </cell>
          <cell r="D1366">
            <v>12739261</v>
          </cell>
          <cell r="E1366">
            <v>1299</v>
          </cell>
          <cell r="F1366" t="str">
            <v>Mon Sep 15 00:00:00 UTC 2025</v>
          </cell>
          <cell r="G1366" t="str">
            <v>3PTY</v>
          </cell>
          <cell r="H1366" t="str">
            <v>Active</v>
          </cell>
          <cell r="I1366" t="str">
            <v>Meera,Bava Bahrudeen</v>
          </cell>
          <cell r="J1366" t="str">
            <v>FLO</v>
          </cell>
        </row>
        <row r="1367">
          <cell r="A1367">
            <v>206348033</v>
          </cell>
          <cell r="B1367" t="str">
            <v>esiraben</v>
          </cell>
          <cell r="C1367" t="str">
            <v>ESI RAMSON,BENEDICTA</v>
          </cell>
          <cell r="D1367">
            <v>14994288</v>
          </cell>
          <cell r="E1367">
            <v>1299</v>
          </cell>
          <cell r="F1367" t="str">
            <v>Mon Oct 27 00:00:00 UTC 2025</v>
          </cell>
          <cell r="G1367" t="str">
            <v>3PTY</v>
          </cell>
          <cell r="H1367" t="str">
            <v>Active</v>
          </cell>
          <cell r="I1367" t="str">
            <v>Dinberu,Eden</v>
          </cell>
          <cell r="J1367" t="str">
            <v>FLO</v>
          </cell>
        </row>
        <row r="1368">
          <cell r="A1368">
            <v>204299899</v>
          </cell>
          <cell r="B1368" t="str">
            <v>ybbright</v>
          </cell>
          <cell r="C1368" t="str">
            <v>Bonah,Bright</v>
          </cell>
          <cell r="D1368">
            <v>12465480</v>
          </cell>
          <cell r="E1368">
            <v>1299</v>
          </cell>
          <cell r="F1368" t="str">
            <v>Thu Oct 24 00:00:00 UTC 2024</v>
          </cell>
          <cell r="G1368" t="str">
            <v>3PTY</v>
          </cell>
          <cell r="H1368" t="str">
            <v>Active</v>
          </cell>
          <cell r="I1368" t="str">
            <v>Sohail,Anis</v>
          </cell>
          <cell r="J1368" t="str">
            <v>QUES</v>
          </cell>
        </row>
        <row r="1369">
          <cell r="A1369">
            <v>205845553</v>
          </cell>
          <cell r="B1369" t="str">
            <v>abigaboi</v>
          </cell>
          <cell r="C1369" t="str">
            <v>ABIGABA,ONESMAS</v>
          </cell>
          <cell r="D1369">
            <v>13848541</v>
          </cell>
          <cell r="E1369">
            <v>1299</v>
          </cell>
          <cell r="F1369" t="str">
            <v>Mon Aug 25 00:00:00 UTC 2025</v>
          </cell>
          <cell r="G1369" t="str">
            <v>3PTY</v>
          </cell>
          <cell r="H1369" t="str">
            <v>Active</v>
          </cell>
          <cell r="I1369" t="str">
            <v>Thomas,Binil</v>
          </cell>
          <cell r="J1369" t="str">
            <v>DULS</v>
          </cell>
        </row>
        <row r="1370">
          <cell r="A1370">
            <v>204095447</v>
          </cell>
          <cell r="B1370" t="str">
            <v>vaduyebo</v>
          </cell>
          <cell r="C1370" t="str">
            <v>Adu Yeboah,Theresa</v>
          </cell>
          <cell r="D1370">
            <v>160183</v>
          </cell>
          <cell r="E1370">
            <v>1299</v>
          </cell>
          <cell r="F1370" t="str">
            <v>Thu Sep 26 00:00:00 UTC 2024</v>
          </cell>
          <cell r="G1370" t="str">
            <v>3PTY</v>
          </cell>
          <cell r="H1370" t="str">
            <v>Active</v>
          </cell>
          <cell r="I1370" t="str">
            <v>Narshad,Muhammad Ashik</v>
          </cell>
          <cell r="J1370" t="str">
            <v>QUES</v>
          </cell>
        </row>
        <row r="1371">
          <cell r="A1371">
            <v>206015636</v>
          </cell>
          <cell r="B1371" t="str">
            <v>kkengtis</v>
          </cell>
          <cell r="C1371" t="str">
            <v>KENG TIBA,SCOLITITH</v>
          </cell>
          <cell r="D1371">
            <v>12400574</v>
          </cell>
          <cell r="E1371">
            <v>1299</v>
          </cell>
          <cell r="F1371" t="str">
            <v>Mon Sep 15 00:00:00 UTC 2025</v>
          </cell>
          <cell r="G1371" t="str">
            <v>3PTY</v>
          </cell>
          <cell r="H1371" t="str">
            <v>Active</v>
          </cell>
          <cell r="I1371" t="str">
            <v>Katyal,Varun</v>
          </cell>
          <cell r="J1371" t="str">
            <v>FLO</v>
          </cell>
        </row>
        <row r="1372">
          <cell r="A1372">
            <v>206930332</v>
          </cell>
          <cell r="B1372" t="str">
            <v>elizmung</v>
          </cell>
          <cell r="C1372" t="str">
            <v>MUNGUTI,ELIZABETH NDUNGE</v>
          </cell>
          <cell r="D1372">
            <v>14246531</v>
          </cell>
          <cell r="E1372">
            <v>1299</v>
          </cell>
          <cell r="F1372" t="str">
            <v>Thu Jul 23 00:00:00 UTC 2026</v>
          </cell>
          <cell r="G1372" t="str">
            <v>3PTY</v>
          </cell>
          <cell r="H1372" t="str">
            <v>Active</v>
          </cell>
          <cell r="I1372" t="str">
            <v>Thomas,Binil</v>
          </cell>
          <cell r="J1372" t="str">
            <v>EFSV</v>
          </cell>
        </row>
        <row r="1373">
          <cell r="A1373">
            <v>204138115</v>
          </cell>
          <cell r="B1373" t="str">
            <v>ganymaid</v>
          </cell>
          <cell r="C1373" t="str">
            <v>Ganyata,Maidei</v>
          </cell>
          <cell r="D1373">
            <v>11990708</v>
          </cell>
          <cell r="E1373">
            <v>1299</v>
          </cell>
          <cell r="F1373" t="str">
            <v>Mon Sep 30 00:00:00 UTC 2024</v>
          </cell>
          <cell r="G1373" t="str">
            <v>3PTY</v>
          </cell>
          <cell r="H1373" t="str">
            <v>Active</v>
          </cell>
          <cell r="I1373" t="str">
            <v>Ansari,Ammar Abdullah</v>
          </cell>
          <cell r="J1373" t="str">
            <v>QUES</v>
          </cell>
        </row>
        <row r="1374">
          <cell r="A1374">
            <v>206997123</v>
          </cell>
          <cell r="B1374" t="str">
            <v>enneanou</v>
          </cell>
          <cell r="C1374" t="str">
            <v>ennechi,Anouar</v>
          </cell>
          <cell r="D1374">
            <v>12289183</v>
          </cell>
          <cell r="E1374">
            <v>1316</v>
          </cell>
          <cell r="F1374" t="str">
            <v>Tue Feb 03 00:00:00 UTC 2026</v>
          </cell>
          <cell r="G1374" t="str">
            <v>3PTY</v>
          </cell>
          <cell r="H1374" t="str">
            <v>Active</v>
          </cell>
          <cell r="I1374" t="str">
            <v>Akhtar,Muhammad Zohaib</v>
          </cell>
          <cell r="J1374" t="str">
            <v>WOFZ</v>
          </cell>
        </row>
        <row r="1375">
          <cell r="A1375">
            <v>206004601</v>
          </cell>
          <cell r="B1375" t="str">
            <v>owunanie</v>
          </cell>
          <cell r="C1375" t="str">
            <v>OWUSU ANSAH,NANIES</v>
          </cell>
          <cell r="D1375">
            <v>347489</v>
          </cell>
          <cell r="E1375">
            <v>1299</v>
          </cell>
          <cell r="F1375" t="str">
            <v>Mon Sep 15 00:00:00 UTC 2025</v>
          </cell>
          <cell r="G1375" t="str">
            <v>3PTY</v>
          </cell>
          <cell r="H1375" t="str">
            <v>Active</v>
          </cell>
          <cell r="I1375" t="str">
            <v>Ansari,Ammar Abdullah</v>
          </cell>
          <cell r="J1375" t="str">
            <v>FLO</v>
          </cell>
        </row>
        <row r="1376">
          <cell r="A1376">
            <v>203800375</v>
          </cell>
          <cell r="B1376" t="str">
            <v>mwrmarti</v>
          </cell>
          <cell r="C1376" t="str">
            <v>MWANGU,MARTIN</v>
          </cell>
          <cell r="D1376">
            <v>14621156</v>
          </cell>
          <cell r="E1376">
            <v>1299</v>
          </cell>
          <cell r="F1376" t="str">
            <v>Mon Aug 12 00:00:00 UTC 2024</v>
          </cell>
          <cell r="G1376" t="str">
            <v>3PTY</v>
          </cell>
          <cell r="H1376" t="str">
            <v>Active</v>
          </cell>
          <cell r="I1376" t="str">
            <v>Meera,Bava Bahrudeen</v>
          </cell>
          <cell r="J1376" t="str">
            <v>DULS</v>
          </cell>
        </row>
        <row r="1377">
          <cell r="A1377">
            <v>203371216</v>
          </cell>
          <cell r="B1377" t="str">
            <v>tmuhaahs</v>
          </cell>
          <cell r="C1377" t="str">
            <v>Aslam,Muhammad</v>
          </cell>
          <cell r="D1377">
            <v>11102421</v>
          </cell>
          <cell r="E1377">
            <v>1171</v>
          </cell>
          <cell r="F1377" t="str">
            <v>Mon Jun 22 00:00:00 UTC 2026</v>
          </cell>
          <cell r="G1377" t="str">
            <v>3PTY</v>
          </cell>
          <cell r="H1377" t="str">
            <v>Active</v>
          </cell>
          <cell r="I1377" t="str">
            <v>Niazi,Mohammad Fazal</v>
          </cell>
          <cell r="J1377" t="str">
            <v>GLCR</v>
          </cell>
        </row>
        <row r="1378">
          <cell r="A1378">
            <v>203850880</v>
          </cell>
          <cell r="B1378" t="str">
            <v>kennenav</v>
          </cell>
          <cell r="C1378" t="str">
            <v>Nayebare,Kenneth</v>
          </cell>
          <cell r="D1378">
            <v>14450832</v>
          </cell>
          <cell r="E1378">
            <v>1299</v>
          </cell>
          <cell r="F1378" t="str">
            <v>Tue Aug 20 00:00:00 UTC 2024</v>
          </cell>
          <cell r="G1378" t="str">
            <v>3PTY</v>
          </cell>
          <cell r="H1378" t="str">
            <v>Active</v>
          </cell>
          <cell r="I1378" t="str">
            <v>Narshad,Muhammad Ashik</v>
          </cell>
          <cell r="J1378" t="str">
            <v>DULS</v>
          </cell>
        </row>
        <row r="1379">
          <cell r="A1379">
            <v>203735945</v>
          </cell>
          <cell r="B1379" t="str">
            <v>wmasolwi</v>
          </cell>
          <cell r="C1379" t="str">
            <v>MASOLE,WILLIAM</v>
          </cell>
          <cell r="D1379">
            <v>12653489</v>
          </cell>
          <cell r="E1379">
            <v>1299</v>
          </cell>
          <cell r="F1379" t="str">
            <v>Mon Jul 29 00:00:00 UTC 2024</v>
          </cell>
          <cell r="G1379" t="str">
            <v>3PTY</v>
          </cell>
          <cell r="H1379" t="str">
            <v>Active</v>
          </cell>
          <cell r="I1379" t="str">
            <v>Meera,Bava Bahrudeen</v>
          </cell>
          <cell r="J1379" t="str">
            <v>DULS</v>
          </cell>
        </row>
        <row r="1380">
          <cell r="A1380">
            <v>205236900</v>
          </cell>
          <cell r="B1380" t="str">
            <v>sarpbism</v>
          </cell>
          <cell r="C1380" t="str">
            <v>SARPONG,BISMARK</v>
          </cell>
          <cell r="D1380">
            <v>13877704</v>
          </cell>
          <cell r="E1380">
            <v>1299</v>
          </cell>
          <cell r="F1380" t="str">
            <v>Mon Jun 23 00:00:00 UTC 2025</v>
          </cell>
          <cell r="G1380" t="str">
            <v>3PTY</v>
          </cell>
          <cell r="H1380" t="str">
            <v>Active</v>
          </cell>
          <cell r="I1380" t="str">
            <v>Katyal,Varun</v>
          </cell>
          <cell r="J1380" t="str">
            <v>DULS</v>
          </cell>
        </row>
        <row r="1381">
          <cell r="A1381">
            <v>205214444</v>
          </cell>
          <cell r="B1381" t="str">
            <v>preolalb</v>
          </cell>
          <cell r="C1381" t="str">
            <v>Lal Bhar,Prem</v>
          </cell>
          <cell r="D1381">
            <v>14158618</v>
          </cell>
          <cell r="E1381">
            <v>1712</v>
          </cell>
          <cell r="F1381" t="str">
            <v>Sun Apr 27 00:00:00 UTC 2025</v>
          </cell>
          <cell r="G1381" t="str">
            <v>3PTY</v>
          </cell>
          <cell r="H1381" t="str">
            <v>Active</v>
          </cell>
          <cell r="I1381" t="str">
            <v>POGALA,HAREESH</v>
          </cell>
          <cell r="J1381" t="str">
            <v>KBTS</v>
          </cell>
        </row>
        <row r="1382">
          <cell r="A1382">
            <v>203468745</v>
          </cell>
          <cell r="B1382" t="str">
            <v>otooibra</v>
          </cell>
          <cell r="C1382" t="str">
            <v>Otoo,Ibrahim</v>
          </cell>
          <cell r="D1382">
            <v>13686874</v>
          </cell>
          <cell r="E1382">
            <v>1299</v>
          </cell>
          <cell r="F1382" t="str">
            <v>Thu Jun 13 00:00:00 UTC 2024</v>
          </cell>
          <cell r="G1382" t="str">
            <v>3PTY</v>
          </cell>
          <cell r="H1382" t="str">
            <v>Active</v>
          </cell>
          <cell r="I1382" t="str">
            <v>Scaria,Varghese</v>
          </cell>
          <cell r="J1382" t="str">
            <v>FLO</v>
          </cell>
        </row>
        <row r="1383">
          <cell r="A1383">
            <v>203512671</v>
          </cell>
          <cell r="B1383" t="str">
            <v>mbehclau</v>
          </cell>
          <cell r="C1383" t="str">
            <v>Mbeh,Claudette Nkobo</v>
          </cell>
          <cell r="D1383">
            <v>11825121</v>
          </cell>
          <cell r="E1383">
            <v>1299</v>
          </cell>
          <cell r="F1383" t="str">
            <v>Thu Jun 20 00:00:00 UTC 2024</v>
          </cell>
          <cell r="G1383" t="str">
            <v>3PTY</v>
          </cell>
          <cell r="H1383" t="str">
            <v>Active</v>
          </cell>
          <cell r="I1383" t="str">
            <v>elrashid,Hassan</v>
          </cell>
          <cell r="J1383" t="str">
            <v>FLO</v>
          </cell>
        </row>
        <row r="1384">
          <cell r="A1384">
            <v>202238249</v>
          </cell>
          <cell r="B1384" t="str">
            <v>princeor</v>
          </cell>
          <cell r="C1384" t="str">
            <v>Jackson,Prince Oheneba</v>
          </cell>
          <cell r="D1384">
            <v>11545608</v>
          </cell>
          <cell r="E1384">
            <v>1299</v>
          </cell>
          <cell r="F1384" t="str">
            <v>Mon Oct 21 00:00:00 UTC 2024</v>
          </cell>
          <cell r="G1384" t="str">
            <v>3PTY</v>
          </cell>
          <cell r="H1384" t="str">
            <v>Active</v>
          </cell>
          <cell r="I1384" t="str">
            <v>Meera,Bava Bahrudeen</v>
          </cell>
          <cell r="J1384" t="str">
            <v>QUES</v>
          </cell>
        </row>
        <row r="1385">
          <cell r="A1385">
            <v>203741612</v>
          </cell>
          <cell r="B1385" t="str">
            <v>yankeant</v>
          </cell>
          <cell r="C1385" t="str">
            <v>YANKEY,ANTHONY</v>
          </cell>
          <cell r="D1385">
            <v>14417028</v>
          </cell>
          <cell r="E1385">
            <v>1299</v>
          </cell>
          <cell r="F1385" t="str">
            <v>Mon Aug 12 00:00:00 UTC 2024</v>
          </cell>
          <cell r="G1385" t="str">
            <v>3PTY</v>
          </cell>
          <cell r="H1385" t="str">
            <v>Active</v>
          </cell>
          <cell r="I1385" t="str">
            <v>Katyal,Varun</v>
          </cell>
          <cell r="J1385" t="str">
            <v>FLO</v>
          </cell>
        </row>
        <row r="1386">
          <cell r="A1386">
            <v>204029041</v>
          </cell>
          <cell r="B1386" t="str">
            <v>gankaawm</v>
          </cell>
          <cell r="C1386" t="str">
            <v>Gankaawa,Faruk</v>
          </cell>
          <cell r="D1386">
            <v>13988227</v>
          </cell>
          <cell r="E1386">
            <v>1316</v>
          </cell>
          <cell r="F1386" t="str">
            <v>Tue Apr 28 00:00:00 UTC 2026</v>
          </cell>
          <cell r="G1386" t="str">
            <v>3PTY</v>
          </cell>
          <cell r="H1386" t="str">
            <v>Active</v>
          </cell>
          <cell r="I1386" t="str">
            <v>Akhtar,Muhammad Zohaib</v>
          </cell>
          <cell r="J1386" t="str">
            <v>WOFZ</v>
          </cell>
        </row>
        <row r="1387">
          <cell r="A1387">
            <v>206868006</v>
          </cell>
          <cell r="B1387" t="str">
            <v>knkumbuj</v>
          </cell>
          <cell r="C1387" t="str">
            <v>NKUMBU CHI,JOSEPHINE</v>
          </cell>
          <cell r="D1387">
            <v>14781468</v>
          </cell>
          <cell r="E1387">
            <v>1299</v>
          </cell>
          <cell r="F1387" t="str">
            <v>Thu Dec 25 00:00:00 UTC 2025</v>
          </cell>
          <cell r="G1387" t="str">
            <v>3PTY</v>
          </cell>
          <cell r="H1387" t="str">
            <v>Active</v>
          </cell>
          <cell r="I1387" t="str">
            <v>Scaria,Varghese</v>
          </cell>
          <cell r="J1387" t="str">
            <v>FLO</v>
          </cell>
        </row>
        <row r="1388">
          <cell r="A1388">
            <v>205854085</v>
          </cell>
          <cell r="B1388" t="str">
            <v>jrosenyw</v>
          </cell>
          <cell r="C1388" t="str">
            <v>JAIRUS,ROSE NYANCHERA</v>
          </cell>
          <cell r="D1388">
            <v>14256264</v>
          </cell>
          <cell r="E1388">
            <v>1299</v>
          </cell>
          <cell r="F1388" t="str">
            <v>Mon Aug 25 00:00:00 UTC 2025</v>
          </cell>
          <cell r="G1388" t="str">
            <v>3PTY</v>
          </cell>
          <cell r="H1388" t="str">
            <v>Active</v>
          </cell>
          <cell r="I1388" t="str">
            <v>Ansari,Ammar Abdullah</v>
          </cell>
          <cell r="J1388" t="str">
            <v>EFSV</v>
          </cell>
        </row>
        <row r="1389">
          <cell r="A1389">
            <v>203908861</v>
          </cell>
          <cell r="B1389" t="str">
            <v>sserutua</v>
          </cell>
          <cell r="C1389" t="str">
            <v>SSERUTUKA,ADAM</v>
          </cell>
          <cell r="D1389">
            <v>11333447</v>
          </cell>
          <cell r="E1389">
            <v>1299</v>
          </cell>
          <cell r="F1389" t="str">
            <v>Mon Sep 02 00:00:00 UTC 2024</v>
          </cell>
          <cell r="G1389" t="str">
            <v>3PTY</v>
          </cell>
          <cell r="H1389" t="str">
            <v>Active</v>
          </cell>
          <cell r="I1389" t="str">
            <v>Ansari,Ammar Abdullah</v>
          </cell>
          <cell r="J1389" t="str">
            <v>DULS</v>
          </cell>
        </row>
        <row r="1390">
          <cell r="A1390">
            <v>204966775</v>
          </cell>
          <cell r="B1390" t="str">
            <v>oseithay</v>
          </cell>
          <cell r="C1390" t="str">
            <v>OSEI,HAYFORD</v>
          </cell>
          <cell r="D1390">
            <v>11153860</v>
          </cell>
          <cell r="E1390">
            <v>1299</v>
          </cell>
          <cell r="F1390" t="str">
            <v>Mon Mar 03 00:00:00 UTC 2025</v>
          </cell>
          <cell r="G1390" t="str">
            <v>3PTY</v>
          </cell>
          <cell r="H1390" t="str">
            <v>Active</v>
          </cell>
          <cell r="I1390" t="str">
            <v>Lakkireddy,Sai Raghavendra Reddy</v>
          </cell>
          <cell r="J1390" t="str">
            <v>DULS</v>
          </cell>
        </row>
        <row r="1391">
          <cell r="A1391">
            <v>206791444</v>
          </cell>
          <cell r="B1391" t="str">
            <v>muwofaha</v>
          </cell>
          <cell r="C1391" t="str">
            <v>MUWONGE,FAHAD</v>
          </cell>
          <cell r="D1391">
            <v>12276838</v>
          </cell>
          <cell r="E1391">
            <v>1299</v>
          </cell>
          <cell r="F1391" t="str">
            <v>Mon Dec 08 00:00:00 UTC 2025</v>
          </cell>
          <cell r="G1391" t="str">
            <v>3PTY</v>
          </cell>
          <cell r="H1391" t="str">
            <v>Active</v>
          </cell>
          <cell r="I1391" t="str">
            <v>Katyal,Varun</v>
          </cell>
          <cell r="J1391" t="str">
            <v>DULS</v>
          </cell>
        </row>
        <row r="1392">
          <cell r="A1392">
            <v>204094492</v>
          </cell>
          <cell r="B1392" t="str">
            <v>muramuny</v>
          </cell>
          <cell r="C1392" t="str">
            <v>Muranga,Munyaradzi</v>
          </cell>
          <cell r="D1392">
            <v>13334545</v>
          </cell>
          <cell r="E1392">
            <v>1299</v>
          </cell>
          <cell r="F1392" t="str">
            <v>Thu Sep 26 00:00:00 UTC 2024</v>
          </cell>
          <cell r="G1392" t="str">
            <v>3PTY</v>
          </cell>
          <cell r="H1392" t="str">
            <v>Active</v>
          </cell>
          <cell r="I1392" t="str">
            <v>Ansari,Ammar Abdullah</v>
          </cell>
          <cell r="J1392" t="str">
            <v>QUES</v>
          </cell>
        </row>
        <row r="1393">
          <cell r="A1393">
            <v>207699710</v>
          </cell>
          <cell r="B1393" t="str">
            <v>tobsoeta</v>
          </cell>
          <cell r="C1393" t="str">
            <v>Soetan,Tobi Michael</v>
          </cell>
          <cell r="D1393">
            <v>13661310</v>
          </cell>
          <cell r="E1393">
            <v>1200</v>
          </cell>
          <cell r="F1393" t="str">
            <v>Mon Jun 15 00:00:00 UTC 2026</v>
          </cell>
          <cell r="G1393" t="str">
            <v>3PTY</v>
          </cell>
          <cell r="H1393" t="str">
            <v>Active</v>
          </cell>
          <cell r="I1393" t="str">
            <v>Mohammed Sali,Mubeena</v>
          </cell>
          <cell r="J1393" t="str">
            <v>PRXZ</v>
          </cell>
        </row>
        <row r="1394">
          <cell r="A1394">
            <v>206873782</v>
          </cell>
          <cell r="B1394" t="str">
            <v>kivuanto</v>
          </cell>
          <cell r="C1394" t="str">
            <v>ANTONY LUTAAYA,KIVUNBI</v>
          </cell>
          <cell r="D1394">
            <v>13939303</v>
          </cell>
          <cell r="E1394">
            <v>1299</v>
          </cell>
          <cell r="F1394" t="str">
            <v>Thu Jan 08 00:00:00 UTC 2026</v>
          </cell>
          <cell r="G1394" t="str">
            <v>3PTY</v>
          </cell>
          <cell r="H1394" t="str">
            <v>Active</v>
          </cell>
          <cell r="I1394" t="str">
            <v>Lakkireddy,Sai Raghavendra Reddy</v>
          </cell>
          <cell r="J1394" t="str">
            <v>DULS</v>
          </cell>
        </row>
        <row r="1395">
          <cell r="A1395">
            <v>203468509</v>
          </cell>
          <cell r="B1395" t="str">
            <v>xcemmanu</v>
          </cell>
          <cell r="C1395" t="str">
            <v>Cudjoe,Emmanuel</v>
          </cell>
          <cell r="D1395">
            <v>15316784</v>
          </cell>
          <cell r="E1395">
            <v>1299</v>
          </cell>
          <cell r="F1395" t="str">
            <v>Thu Jun 13 00:00:00 UTC 2024</v>
          </cell>
          <cell r="G1395" t="str">
            <v>3PTY</v>
          </cell>
          <cell r="H1395" t="str">
            <v>Active</v>
          </cell>
          <cell r="I1395" t="str">
            <v>Dinberu,Eden</v>
          </cell>
          <cell r="J1395" t="str">
            <v>FLO</v>
          </cell>
        </row>
        <row r="1396">
          <cell r="A1396">
            <v>204246605</v>
          </cell>
          <cell r="B1396" t="str">
            <v>gamprosp</v>
          </cell>
          <cell r="C1396" t="str">
            <v>Gamah,Prosper</v>
          </cell>
          <cell r="D1396">
            <v>242001</v>
          </cell>
          <cell r="E1396">
            <v>1299</v>
          </cell>
          <cell r="F1396" t="str">
            <v>Mon Oct 14 00:00:00 UTC 2024</v>
          </cell>
          <cell r="G1396" t="str">
            <v>3PTY</v>
          </cell>
          <cell r="H1396" t="str">
            <v>Active</v>
          </cell>
          <cell r="I1396" t="str">
            <v>Katyal,Varun</v>
          </cell>
          <cell r="J1396" t="str">
            <v>QUES</v>
          </cell>
        </row>
        <row r="1397">
          <cell r="A1397">
            <v>203341958</v>
          </cell>
          <cell r="B1397" t="str">
            <v>khaztanv</v>
          </cell>
          <cell r="C1397" t="str">
            <v>KHAN,TANVEER</v>
          </cell>
          <cell r="D1397">
            <v>12169788</v>
          </cell>
          <cell r="E1397">
            <v>1299</v>
          </cell>
          <cell r="F1397" t="str">
            <v>Mon May 20 00:00:00 UTC 2024</v>
          </cell>
          <cell r="G1397" t="str">
            <v>3PTY</v>
          </cell>
          <cell r="H1397" t="str">
            <v>Active</v>
          </cell>
          <cell r="I1397" t="str">
            <v>Scaria,Varghese</v>
          </cell>
          <cell r="J1397" t="str">
            <v>ADEC</v>
          </cell>
        </row>
        <row r="1398">
          <cell r="A1398">
            <v>203881596</v>
          </cell>
          <cell r="B1398" t="str">
            <v>maxtokpr</v>
          </cell>
          <cell r="C1398" t="str">
            <v>Tokpor,Maxwell</v>
          </cell>
          <cell r="D1398">
            <v>250660</v>
          </cell>
          <cell r="E1398">
            <v>1299</v>
          </cell>
          <cell r="F1398" t="str">
            <v>Mon Aug 26 00:00:00 UTC 2024</v>
          </cell>
          <cell r="G1398" t="str">
            <v>3PTY</v>
          </cell>
          <cell r="H1398" t="str">
            <v>Active</v>
          </cell>
          <cell r="I1398" t="str">
            <v>Katyal,Varun</v>
          </cell>
          <cell r="J1398" t="str">
            <v>FLO</v>
          </cell>
        </row>
        <row r="1399">
          <cell r="A1399">
            <v>206962049</v>
          </cell>
          <cell r="B1399" t="str">
            <v>kinyawen</v>
          </cell>
          <cell r="C1399" t="str">
            <v>KINYAGA,Wendy Wanja</v>
          </cell>
          <cell r="D1399">
            <v>14336095</v>
          </cell>
          <cell r="E1399">
            <v>1299</v>
          </cell>
          <cell r="F1399" t="str">
            <v>Mon Jan 26 00:00:00 UTC 2026</v>
          </cell>
          <cell r="G1399" t="str">
            <v>3PTY</v>
          </cell>
          <cell r="H1399" t="str">
            <v>Active</v>
          </cell>
          <cell r="I1399" t="str">
            <v>Katyal,Varun</v>
          </cell>
          <cell r="J1399" t="str">
            <v>EFSV</v>
          </cell>
        </row>
        <row r="1400">
          <cell r="A1400">
            <v>203709883</v>
          </cell>
          <cell r="B1400" t="str">
            <v>minooxye</v>
          </cell>
          <cell r="C1400" t="str">
            <v>Min Oo,Ye</v>
          </cell>
          <cell r="D1400">
            <v>11302299</v>
          </cell>
          <cell r="E1400">
            <v>1299</v>
          </cell>
          <cell r="F1400" t="str">
            <v>Mon Jul 22 00:00:00 UTC 2024</v>
          </cell>
          <cell r="G1400" t="str">
            <v>3PTY</v>
          </cell>
          <cell r="H1400" t="str">
            <v>Active</v>
          </cell>
          <cell r="I1400" t="str">
            <v>Dinberu,Eden</v>
          </cell>
          <cell r="J1400" t="str">
            <v>ADEC</v>
          </cell>
        </row>
        <row r="1401">
          <cell r="A1401">
            <v>203679326</v>
          </cell>
          <cell r="B1401" t="str">
            <v>ruteshun</v>
          </cell>
          <cell r="C1401" t="str">
            <v>Eshun,Ruth</v>
          </cell>
          <cell r="D1401">
            <v>11475348</v>
          </cell>
          <cell r="E1401">
            <v>1299</v>
          </cell>
          <cell r="F1401" t="str">
            <v>Mon Jul 15 00:00:00 UTC 2024</v>
          </cell>
          <cell r="G1401" t="str">
            <v>3PTY</v>
          </cell>
          <cell r="H1401" t="str">
            <v>Active</v>
          </cell>
          <cell r="I1401" t="str">
            <v>Meera,Bava Bahrudeen</v>
          </cell>
          <cell r="J1401" t="str">
            <v>FLO</v>
          </cell>
        </row>
        <row r="1402">
          <cell r="A1402">
            <v>203355686</v>
          </cell>
          <cell r="B1402" t="str">
            <v>jeawcruz</v>
          </cell>
          <cell r="C1402" t="str">
            <v>Cruz,Jearic B . Dela</v>
          </cell>
          <cell r="D1402">
            <v>14754710</v>
          </cell>
          <cell r="E1402">
            <v>1299</v>
          </cell>
          <cell r="F1402" t="str">
            <v>Mon May 20 00:00:00 UTC 2024</v>
          </cell>
          <cell r="G1402" t="str">
            <v>3PTY</v>
          </cell>
          <cell r="H1402" t="str">
            <v>Active</v>
          </cell>
          <cell r="I1402" t="str">
            <v>Narshad,Muhammad Ashik</v>
          </cell>
          <cell r="J1402" t="str">
            <v>ADEC</v>
          </cell>
        </row>
        <row r="1403">
          <cell r="A1403">
            <v>203469404</v>
          </cell>
          <cell r="B1403" t="str">
            <v>musakmwe</v>
          </cell>
          <cell r="C1403" t="str">
            <v>Mwebe,Musa Nkata</v>
          </cell>
          <cell r="D1403">
            <v>75325</v>
          </cell>
          <cell r="E1403">
            <v>1299</v>
          </cell>
          <cell r="F1403" t="str">
            <v>Thu Jun 13 00:00:00 UTC 2024</v>
          </cell>
          <cell r="G1403" t="str">
            <v>3PTY</v>
          </cell>
          <cell r="H1403" t="str">
            <v>Active</v>
          </cell>
          <cell r="I1403" t="str">
            <v>Meera,Bava Bahrudeen</v>
          </cell>
          <cell r="J1403" t="str">
            <v>ADEC</v>
          </cell>
        </row>
        <row r="1404">
          <cell r="A1404">
            <v>206260811</v>
          </cell>
          <cell r="B1404" t="str">
            <v>kisakyde</v>
          </cell>
          <cell r="C1404" t="str">
            <v>Kisakye,Denis</v>
          </cell>
          <cell r="D1404">
            <v>15068460</v>
          </cell>
          <cell r="E1404">
            <v>1712</v>
          </cell>
          <cell r="F1404" t="str">
            <v>Sun Oct 12 00:00:00 UTC 2025</v>
          </cell>
          <cell r="G1404" t="str">
            <v>3PTY</v>
          </cell>
          <cell r="H1404" t="str">
            <v>Active</v>
          </cell>
          <cell r="I1404" t="str">
            <v>Rizvan,Mohamed</v>
          </cell>
          <cell r="J1404" t="str">
            <v>KBTS</v>
          </cell>
        </row>
        <row r="1405">
          <cell r="A1405">
            <v>206853791</v>
          </cell>
          <cell r="B1405" t="str">
            <v>muzamirm</v>
          </cell>
          <cell r="C1405" t="str">
            <v>MWANJE,MUZAMIRU</v>
          </cell>
          <cell r="D1405">
            <v>12118556</v>
          </cell>
          <cell r="E1405">
            <v>1299</v>
          </cell>
          <cell r="F1405" t="str">
            <v>Thu Jan 08 00:00:00 UTC 2026</v>
          </cell>
          <cell r="G1405" t="str">
            <v>3PTY</v>
          </cell>
          <cell r="H1405" t="str">
            <v>Active</v>
          </cell>
          <cell r="I1405" t="str">
            <v>Lakkireddy,Sai Raghavendra Reddy</v>
          </cell>
          <cell r="J1405" t="str">
            <v>DULS</v>
          </cell>
        </row>
        <row r="1406">
          <cell r="A1406">
            <v>206065200</v>
          </cell>
          <cell r="B1406" t="str">
            <v>abiadcon</v>
          </cell>
          <cell r="C1406" t="str">
            <v>Abiadoo Bentum,Constance</v>
          </cell>
          <cell r="D1406">
            <v>11540195</v>
          </cell>
          <cell r="E1406">
            <v>1299</v>
          </cell>
          <cell r="F1406" t="str">
            <v>Mon Sep 22 00:00:00 UTC 2025</v>
          </cell>
          <cell r="G1406" t="str">
            <v>3PTY</v>
          </cell>
          <cell r="H1406" t="str">
            <v>Active</v>
          </cell>
          <cell r="I1406" t="str">
            <v>Katyal,Varun</v>
          </cell>
          <cell r="J1406" t="str">
            <v>FLO</v>
          </cell>
        </row>
        <row r="1407">
          <cell r="A1407">
            <v>112649477</v>
          </cell>
          <cell r="B1407" t="str">
            <v>alirfanv</v>
          </cell>
          <cell r="C1407" t="str">
            <v>Ali,Irfan Ali Muhammad</v>
          </cell>
          <cell r="D1407">
            <v>11437605</v>
          </cell>
          <cell r="E1407">
            <v>1299</v>
          </cell>
          <cell r="F1407" t="str">
            <v>Thu Oct 03 00:00:00 UTC 2024</v>
          </cell>
          <cell r="G1407" t="str">
            <v>3PTY</v>
          </cell>
          <cell r="H1407" t="str">
            <v>Active</v>
          </cell>
          <cell r="I1407" t="str">
            <v>Narshad,Muhammad Ashik</v>
          </cell>
          <cell r="J1407" t="str">
            <v>QUES</v>
          </cell>
        </row>
        <row r="1408">
          <cell r="A1408">
            <v>207470992</v>
          </cell>
          <cell r="B1408" t="str">
            <v>bbobrigh</v>
          </cell>
          <cell r="C1408" t="str">
            <v>Boamah,Bright</v>
          </cell>
          <cell r="D1408">
            <v>11004434</v>
          </cell>
          <cell r="E1408">
            <v>1712</v>
          </cell>
          <cell r="F1408" t="str">
            <v>Sun May 10 00:00:00 UTC 2026</v>
          </cell>
          <cell r="G1408" t="str">
            <v>3PTY</v>
          </cell>
          <cell r="H1408" t="str">
            <v>Active</v>
          </cell>
          <cell r="I1408" t="str">
            <v>ramadoss,vadivel</v>
          </cell>
          <cell r="J1408" t="str">
            <v>KBTS</v>
          </cell>
        </row>
        <row r="1409">
          <cell r="A1409">
            <v>206886516</v>
          </cell>
          <cell r="B1409" t="str">
            <v>ikitusyl</v>
          </cell>
          <cell r="C1409" t="str">
            <v>KITUR,SYLYN CHEROP</v>
          </cell>
          <cell r="D1409">
            <v>15120202</v>
          </cell>
          <cell r="E1409">
            <v>1299</v>
          </cell>
          <cell r="F1409" t="str">
            <v>Mon Jan 05 00:00:00 UTC 2026</v>
          </cell>
          <cell r="G1409" t="str">
            <v>3PTY</v>
          </cell>
          <cell r="H1409" t="str">
            <v>Active</v>
          </cell>
          <cell r="I1409" t="str">
            <v>Scaria,Varghese</v>
          </cell>
          <cell r="J1409" t="str">
            <v>EFSV</v>
          </cell>
        </row>
        <row r="1410">
          <cell r="A1410">
            <v>204172225</v>
          </cell>
          <cell r="B1410" t="str">
            <v>sahaviny</v>
          </cell>
          <cell r="C1410" t="str">
            <v>SAH,AVINASH</v>
          </cell>
          <cell r="D1410">
            <v>72881</v>
          </cell>
          <cell r="E1410">
            <v>1299</v>
          </cell>
          <cell r="F1410" t="str">
            <v>Thu Oct 03 00:00:00 UTC 2024</v>
          </cell>
          <cell r="G1410" t="str">
            <v>3PTY</v>
          </cell>
          <cell r="H1410" t="str">
            <v>Active</v>
          </cell>
          <cell r="I1410" t="str">
            <v>Lakkireddy,Sai Raghavendra Reddy</v>
          </cell>
          <cell r="J1410" t="str">
            <v>DULS</v>
          </cell>
        </row>
        <row r="1411">
          <cell r="A1411">
            <v>203470579</v>
          </cell>
          <cell r="B1411" t="str">
            <v>fzizinga</v>
          </cell>
          <cell r="C1411" t="str">
            <v>Faizal,Zizinga</v>
          </cell>
          <cell r="D1411">
            <v>14732903</v>
          </cell>
          <cell r="E1411">
            <v>1299</v>
          </cell>
          <cell r="F1411" t="str">
            <v>Thu Jun 13 00:00:00 UTC 2024</v>
          </cell>
          <cell r="G1411" t="str">
            <v>3PTY</v>
          </cell>
          <cell r="H1411" t="str">
            <v>Active</v>
          </cell>
          <cell r="I1411" t="str">
            <v>Dinberu,Eden</v>
          </cell>
          <cell r="J1411" t="str">
            <v>ADEC</v>
          </cell>
        </row>
        <row r="1412">
          <cell r="A1412">
            <v>204011579</v>
          </cell>
          <cell r="B1412" t="str">
            <v>henrjora</v>
          </cell>
          <cell r="C1412" t="str">
            <v>HENRY WONIALA,JORAM</v>
          </cell>
          <cell r="D1412">
            <v>12580286</v>
          </cell>
          <cell r="E1412">
            <v>1299</v>
          </cell>
          <cell r="F1412" t="str">
            <v>Mon Sep 16 00:00:00 UTC 2024</v>
          </cell>
          <cell r="G1412" t="str">
            <v>3PTY</v>
          </cell>
          <cell r="H1412" t="str">
            <v>Active</v>
          </cell>
          <cell r="I1412" t="str">
            <v>Narshad,Muhammad Ashik</v>
          </cell>
          <cell r="J1412" t="str">
            <v>DULS</v>
          </cell>
        </row>
        <row r="1413">
          <cell r="A1413">
            <v>204070590</v>
          </cell>
          <cell r="B1413" t="str">
            <v>kibgasto</v>
          </cell>
          <cell r="C1413" t="str">
            <v>KIBUGA,GASTON</v>
          </cell>
          <cell r="D1413">
            <v>15025206</v>
          </cell>
          <cell r="E1413">
            <v>1299</v>
          </cell>
          <cell r="F1413" t="str">
            <v>Mon Sep 23 00:00:00 UTC 2024</v>
          </cell>
          <cell r="G1413" t="str">
            <v>3PTY</v>
          </cell>
          <cell r="H1413" t="str">
            <v>Active</v>
          </cell>
          <cell r="I1413" t="str">
            <v>Ansari,Ammar Abdullah</v>
          </cell>
          <cell r="J1413" t="str">
            <v>DULS</v>
          </cell>
        </row>
        <row r="1414">
          <cell r="A1414">
            <v>202435289</v>
          </cell>
          <cell r="B1414" t="str">
            <v>vingohma</v>
          </cell>
          <cell r="C1414" t="str">
            <v>Ngoh Mayah,Violet</v>
          </cell>
          <cell r="D1414">
            <v>12205312</v>
          </cell>
          <cell r="E1414">
            <v>1299</v>
          </cell>
          <cell r="F1414" t="str">
            <v>Wed Oct 16 00:00:00 UTC 2024</v>
          </cell>
          <cell r="G1414" t="str">
            <v>3PTY</v>
          </cell>
          <cell r="H1414" t="str">
            <v>Active</v>
          </cell>
          <cell r="I1414" t="str">
            <v>Katyal,Varun</v>
          </cell>
          <cell r="J1414" t="str">
            <v>QUES</v>
          </cell>
        </row>
        <row r="1415">
          <cell r="A1415">
            <v>205996133</v>
          </cell>
          <cell r="B1415" t="str">
            <v>kusiisa</v>
          </cell>
          <cell r="C1415" t="str">
            <v>KUSI MENSAH,ISAAC</v>
          </cell>
          <cell r="D1415">
            <v>14791969</v>
          </cell>
          <cell r="E1415">
            <v>1299</v>
          </cell>
          <cell r="F1415" t="str">
            <v>Mon Sep 15 00:00:00 UTC 2025</v>
          </cell>
          <cell r="G1415" t="str">
            <v>3PTY</v>
          </cell>
          <cell r="H1415" t="str">
            <v>Active</v>
          </cell>
          <cell r="I1415" t="str">
            <v>elrashid,Hassan</v>
          </cell>
          <cell r="J1415" t="str">
            <v>FLO</v>
          </cell>
        </row>
        <row r="1416">
          <cell r="A1416">
            <v>203468743</v>
          </cell>
          <cell r="B1416" t="str">
            <v>abfsesay</v>
          </cell>
          <cell r="C1416" t="str">
            <v>Sesay,Abu</v>
          </cell>
          <cell r="D1416">
            <v>12057676</v>
          </cell>
          <cell r="E1416">
            <v>1299</v>
          </cell>
          <cell r="F1416" t="str">
            <v>Thu Jun 13 00:00:00 UTC 2024</v>
          </cell>
          <cell r="G1416" t="str">
            <v>3PTY</v>
          </cell>
          <cell r="H1416" t="str">
            <v>Active</v>
          </cell>
          <cell r="I1416" t="str">
            <v>Thomas,Binil</v>
          </cell>
          <cell r="J1416" t="str">
            <v>FLO</v>
          </cell>
        </row>
        <row r="1417">
          <cell r="A1417">
            <v>202249751</v>
          </cell>
          <cell r="B1417" t="str">
            <v>hamumuni</v>
          </cell>
          <cell r="C1417" t="str">
            <v>Hassana,Mumuni</v>
          </cell>
          <cell r="D1417">
            <v>12310949</v>
          </cell>
          <cell r="E1417">
            <v>1299</v>
          </cell>
          <cell r="F1417" t="str">
            <v>Mon Oct 16 00:00:00 UTC 2023</v>
          </cell>
          <cell r="G1417" t="str">
            <v>3PTY</v>
          </cell>
          <cell r="H1417" t="str">
            <v>Active</v>
          </cell>
          <cell r="I1417" t="str">
            <v>Scaria,Varghese</v>
          </cell>
          <cell r="J1417" t="str">
            <v>FLO</v>
          </cell>
        </row>
        <row r="1418">
          <cell r="A1418">
            <v>204013688</v>
          </cell>
          <cell r="B1418" t="str">
            <v>sbabucan</v>
          </cell>
          <cell r="C1418" t="str">
            <v>Sowe,Babucarr</v>
          </cell>
          <cell r="D1418">
            <v>11136294</v>
          </cell>
          <cell r="E1418">
            <v>1299</v>
          </cell>
          <cell r="F1418" t="str">
            <v>Mon Sep 16 00:00:00 UTC 2024</v>
          </cell>
          <cell r="G1418" t="str">
            <v>3PTY</v>
          </cell>
          <cell r="H1418" t="str">
            <v>Active</v>
          </cell>
          <cell r="I1418" t="str">
            <v>Thomas,Binil</v>
          </cell>
          <cell r="J1418" t="str">
            <v>FLO</v>
          </cell>
        </row>
        <row r="1419">
          <cell r="A1419">
            <v>207740270</v>
          </cell>
          <cell r="B1419" t="str">
            <v>kassimuy</v>
          </cell>
          <cell r="C1419" t="str">
            <v>Yakubu,Kassimu</v>
          </cell>
          <cell r="D1419">
            <v>13447834</v>
          </cell>
          <cell r="E1419">
            <v>1712</v>
          </cell>
          <cell r="F1419" t="str">
            <v>Sat Jun 13 00:00:00 UTC 2026</v>
          </cell>
          <cell r="G1419" t="str">
            <v>3PTY</v>
          </cell>
          <cell r="H1419" t="str">
            <v>Active</v>
          </cell>
          <cell r="I1419" t="str">
            <v>ramadoss,vadivel</v>
          </cell>
          <cell r="J1419" t="str">
            <v>KBTS</v>
          </cell>
        </row>
        <row r="1420">
          <cell r="A1420">
            <v>206128869</v>
          </cell>
          <cell r="B1420" t="str">
            <v>kevirgin</v>
          </cell>
          <cell r="C1420" t="str">
            <v>Virgin IE Nalowa,Kedze</v>
          </cell>
          <cell r="D1420">
            <v>15020817</v>
          </cell>
          <cell r="E1420">
            <v>1299</v>
          </cell>
          <cell r="F1420" t="str">
            <v>Mon Sep 29 00:00:00 UTC 2025</v>
          </cell>
          <cell r="G1420" t="str">
            <v>3PTY</v>
          </cell>
          <cell r="H1420" t="str">
            <v>Active</v>
          </cell>
          <cell r="I1420" t="str">
            <v>elrashid,Hassan</v>
          </cell>
          <cell r="J1420" t="str">
            <v>FLO</v>
          </cell>
        </row>
        <row r="1421">
          <cell r="A1421">
            <v>204010535</v>
          </cell>
          <cell r="B1421" t="str">
            <v>elagabae</v>
          </cell>
          <cell r="C1421" t="str">
            <v>AGABA,ELIJAH</v>
          </cell>
          <cell r="D1421">
            <v>14132878</v>
          </cell>
          <cell r="E1421">
            <v>1299</v>
          </cell>
          <cell r="F1421" t="str">
            <v>Mon Sep 16 00:00:00 UTC 2024</v>
          </cell>
          <cell r="G1421" t="str">
            <v>3PTY</v>
          </cell>
          <cell r="H1421" t="str">
            <v>Active</v>
          </cell>
          <cell r="I1421" t="str">
            <v>Thomas,Binil</v>
          </cell>
          <cell r="J1421" t="str">
            <v>DULS</v>
          </cell>
        </row>
        <row r="1422">
          <cell r="A1422">
            <v>206015673</v>
          </cell>
          <cell r="B1422" t="str">
            <v>ikomhari</v>
          </cell>
          <cell r="C1422" t="str">
            <v>Ikome Mbah,Harikia</v>
          </cell>
          <cell r="D1422">
            <v>14264315</v>
          </cell>
          <cell r="E1422">
            <v>1299</v>
          </cell>
          <cell r="F1422" t="str">
            <v>Mon Sep 15 00:00:00 UTC 2025</v>
          </cell>
          <cell r="G1422" t="str">
            <v>3PTY</v>
          </cell>
          <cell r="H1422" t="str">
            <v>Active</v>
          </cell>
          <cell r="I1422" t="str">
            <v>Sohail,Anis</v>
          </cell>
          <cell r="J1422" t="str">
            <v>FLO</v>
          </cell>
        </row>
        <row r="1423">
          <cell r="A1423">
            <v>206926477</v>
          </cell>
          <cell r="B1423" t="str">
            <v>ssentumg</v>
          </cell>
          <cell r="C1423" t="str">
            <v>SSENTUMBWE,GODFREY</v>
          </cell>
          <cell r="D1423">
            <v>15015917</v>
          </cell>
          <cell r="E1423">
            <v>1299</v>
          </cell>
          <cell r="F1423" t="str">
            <v>Mon Jan 26 00:00:00 UTC 2026</v>
          </cell>
          <cell r="G1423" t="str">
            <v>3PTY</v>
          </cell>
          <cell r="H1423" t="str">
            <v>Active</v>
          </cell>
          <cell r="I1423" t="str">
            <v>Sohail,Anis</v>
          </cell>
          <cell r="J1423" t="str">
            <v>DULS</v>
          </cell>
        </row>
        <row r="1424">
          <cell r="A1424">
            <v>206791753</v>
          </cell>
          <cell r="B1424" t="str">
            <v>kasasabd</v>
          </cell>
          <cell r="C1424" t="str">
            <v>ABDUL,KASASA</v>
          </cell>
          <cell r="D1424">
            <v>12618196</v>
          </cell>
          <cell r="E1424">
            <v>1299</v>
          </cell>
          <cell r="F1424" t="str">
            <v>Mon Dec 08 00:00:00 UTC 2025</v>
          </cell>
          <cell r="G1424" t="str">
            <v>3PTY</v>
          </cell>
          <cell r="H1424" t="str">
            <v>Active</v>
          </cell>
          <cell r="I1424" t="str">
            <v>Katyal,Varun</v>
          </cell>
          <cell r="J1424" t="str">
            <v>DULS</v>
          </cell>
        </row>
        <row r="1425">
          <cell r="A1425">
            <v>206137333</v>
          </cell>
          <cell r="B1425" t="str">
            <v>waltunoa</v>
          </cell>
          <cell r="C1425" t="str">
            <v>Walt Kwaku Amoaben,Noah</v>
          </cell>
          <cell r="D1425">
            <v>14459653</v>
          </cell>
          <cell r="E1425">
            <v>1299</v>
          </cell>
          <cell r="F1425" t="str">
            <v>Mon Sep 29 00:00:00 UTC 2025</v>
          </cell>
          <cell r="G1425" t="str">
            <v>3PTY</v>
          </cell>
          <cell r="H1425" t="str">
            <v>Active</v>
          </cell>
          <cell r="I1425" t="str">
            <v>Scaria,Varghese</v>
          </cell>
          <cell r="J1425" t="str">
            <v>FLO</v>
          </cell>
        </row>
        <row r="1426">
          <cell r="A1426">
            <v>204981177</v>
          </cell>
          <cell r="B1426" t="str">
            <v>gmdabhaq</v>
          </cell>
          <cell r="C1426" t="str">
            <v>Haque,Md Abdul Hennan Md Obidul</v>
          </cell>
          <cell r="D1426">
            <v>14757626</v>
          </cell>
          <cell r="E1426">
            <v>1299</v>
          </cell>
          <cell r="F1426" t="str">
            <v>Mon Mar 03 00:00:00 UTC 2025</v>
          </cell>
          <cell r="G1426" t="str">
            <v>3PTY</v>
          </cell>
          <cell r="H1426" t="str">
            <v>Active</v>
          </cell>
          <cell r="I1426" t="str">
            <v>Parungao,Priscila Montejo</v>
          </cell>
          <cell r="J1426" t="str">
            <v>STWC</v>
          </cell>
        </row>
        <row r="1427">
          <cell r="A1427">
            <v>203160808</v>
          </cell>
          <cell r="B1427" t="str">
            <v>sasunare</v>
          </cell>
          <cell r="C1427" t="str">
            <v>SUNAR,SAUBHAGYA</v>
          </cell>
          <cell r="D1427">
            <v>15017572</v>
          </cell>
          <cell r="E1427">
            <v>1299</v>
          </cell>
          <cell r="F1427" t="str">
            <v>Sun Mar 31 00:00:00 UTC 2024</v>
          </cell>
          <cell r="G1427" t="str">
            <v>3PTY</v>
          </cell>
          <cell r="H1427" t="str">
            <v>Active</v>
          </cell>
          <cell r="I1427" t="str">
            <v>Akhtar,Muhammad Zohaib</v>
          </cell>
          <cell r="J1427" t="str">
            <v>WOFZ</v>
          </cell>
        </row>
        <row r="1428">
          <cell r="A1428">
            <v>205247340</v>
          </cell>
          <cell r="B1428" t="str">
            <v>sheshame</v>
          </cell>
          <cell r="C1428" t="str">
            <v>Shameer,Sheikh Muhammad</v>
          </cell>
          <cell r="D1428">
            <v>12757923</v>
          </cell>
          <cell r="E1428">
            <v>1299</v>
          </cell>
          <cell r="F1428" t="str">
            <v>Thu May 08 00:00:00 UTC 2025</v>
          </cell>
          <cell r="G1428" t="str">
            <v>3PTY</v>
          </cell>
          <cell r="H1428" t="str">
            <v>Active</v>
          </cell>
          <cell r="I1428" t="str">
            <v>Joshi,Anirudh</v>
          </cell>
          <cell r="J1428" t="str">
            <v>QUES</v>
          </cell>
        </row>
        <row r="1429">
          <cell r="A1429">
            <v>206886731</v>
          </cell>
          <cell r="B1429" t="str">
            <v>chjoycec</v>
          </cell>
          <cell r="C1429" t="str">
            <v>CHERUIYOT,JOYCE CHEROP</v>
          </cell>
          <cell r="D1429">
            <v>13394288</v>
          </cell>
          <cell r="E1429">
            <v>1299</v>
          </cell>
          <cell r="F1429" t="str">
            <v>Mon Jan 05 00:00:00 UTC 2026</v>
          </cell>
          <cell r="G1429" t="str">
            <v>3PTY</v>
          </cell>
          <cell r="H1429" t="str">
            <v>Active</v>
          </cell>
          <cell r="I1429" t="str">
            <v>Ansari,Ammar Abdullah</v>
          </cell>
          <cell r="J1429" t="str">
            <v>EFSV</v>
          </cell>
        </row>
        <row r="1430">
          <cell r="A1430">
            <v>204364005</v>
          </cell>
          <cell r="B1430" t="str">
            <v>xchauram</v>
          </cell>
          <cell r="C1430" t="str">
            <v>Chauhan,Ram Byas</v>
          </cell>
          <cell r="D1430">
            <v>11698512</v>
          </cell>
          <cell r="E1430">
            <v>1712</v>
          </cell>
          <cell r="F1430" t="str">
            <v>Fri Oct 25 00:00:00 UTC 2024</v>
          </cell>
          <cell r="G1430" t="str">
            <v>3PTY</v>
          </cell>
          <cell r="H1430" t="str">
            <v>Active</v>
          </cell>
          <cell r="I1430" t="str">
            <v>Rizvan,Mohamed</v>
          </cell>
          <cell r="J1430" t="str">
            <v>KBTS</v>
          </cell>
        </row>
        <row r="1431">
          <cell r="A1431">
            <v>206933423</v>
          </cell>
          <cell r="B1431" t="str">
            <v>utraicym</v>
          </cell>
          <cell r="C1431" t="str">
            <v>MAINA,TRAICY CHEBET</v>
          </cell>
          <cell r="D1431">
            <v>14199429</v>
          </cell>
          <cell r="E1431">
            <v>1299</v>
          </cell>
          <cell r="F1431" t="str">
            <v>Mon Jan 19 00:00:00 UTC 2026</v>
          </cell>
          <cell r="G1431" t="str">
            <v>3PTY</v>
          </cell>
          <cell r="H1431" t="str">
            <v>Active</v>
          </cell>
          <cell r="I1431" t="str">
            <v>Katyal,Varun</v>
          </cell>
          <cell r="J1431" t="str">
            <v>EFSV</v>
          </cell>
        </row>
        <row r="1432">
          <cell r="A1432">
            <v>203851104</v>
          </cell>
          <cell r="B1432" t="str">
            <v>elliepet</v>
          </cell>
          <cell r="C1432" t="str">
            <v>Ellie,Peter Sahr</v>
          </cell>
          <cell r="D1432">
            <v>14021219</v>
          </cell>
          <cell r="E1432">
            <v>1299</v>
          </cell>
          <cell r="F1432" t="str">
            <v>Tue Aug 20 00:00:00 UTC 2024</v>
          </cell>
          <cell r="G1432" t="str">
            <v>3PTY</v>
          </cell>
          <cell r="H1432" t="str">
            <v>Active</v>
          </cell>
          <cell r="I1432" t="str">
            <v>Ansari,Ammar Abdullah</v>
          </cell>
          <cell r="J1432" t="str">
            <v>FLO</v>
          </cell>
        </row>
        <row r="1433">
          <cell r="A1433">
            <v>205638322</v>
          </cell>
          <cell r="B1433" t="str">
            <v>tumyatum</v>
          </cell>
          <cell r="C1433" t="str">
            <v>Tumbapo,Tumyahang</v>
          </cell>
          <cell r="D1433">
            <v>14382212</v>
          </cell>
          <cell r="E1433">
            <v>1712</v>
          </cell>
          <cell r="F1433" t="str">
            <v>Tue Jul 08 00:00:00 UTC 2025</v>
          </cell>
          <cell r="G1433" t="str">
            <v>3PTY</v>
          </cell>
          <cell r="H1433" t="str">
            <v>Active</v>
          </cell>
          <cell r="I1433" t="str">
            <v>Rizvan,Mohamed</v>
          </cell>
          <cell r="J1433" t="str">
            <v>KBTS</v>
          </cell>
        </row>
        <row r="1434">
          <cell r="A1434">
            <v>205495599</v>
          </cell>
          <cell r="B1434" t="str">
            <v>muriipau</v>
          </cell>
          <cell r="C1434" t="str">
            <v>MURIITHI,PAULINE SAWERIA WANGU</v>
          </cell>
          <cell r="D1434">
            <v>12046726</v>
          </cell>
          <cell r="E1434">
            <v>1299</v>
          </cell>
          <cell r="F1434" t="str">
            <v>Mon Jun 23 00:00:00 UTC 2025</v>
          </cell>
          <cell r="G1434" t="str">
            <v>3PTY</v>
          </cell>
          <cell r="H1434" t="str">
            <v>Active</v>
          </cell>
          <cell r="I1434" t="str">
            <v>Katyal,Varun</v>
          </cell>
          <cell r="J1434" t="str">
            <v>EFSV</v>
          </cell>
        </row>
        <row r="1435">
          <cell r="A1435">
            <v>206192230</v>
          </cell>
          <cell r="B1435" t="str">
            <v>jepkirtf</v>
          </cell>
          <cell r="C1435" t="str">
            <v>Jepkirui,Faith</v>
          </cell>
          <cell r="D1435">
            <v>11035132</v>
          </cell>
          <cell r="E1435">
            <v>1299</v>
          </cell>
          <cell r="F1435" t="str">
            <v>Mon Oct 06 00:00:00 UTC 2025</v>
          </cell>
          <cell r="G1435" t="str">
            <v>3PTY</v>
          </cell>
          <cell r="H1435" t="str">
            <v>Active</v>
          </cell>
          <cell r="I1435" t="str">
            <v>Scaria,Varghese</v>
          </cell>
          <cell r="J1435" t="str">
            <v>EFSV</v>
          </cell>
        </row>
        <row r="1436">
          <cell r="A1436">
            <v>204868859</v>
          </cell>
          <cell r="B1436" t="str">
            <v>ridadzid</v>
          </cell>
          <cell r="C1436" t="str">
            <v>Dadzie,Richard</v>
          </cell>
          <cell r="D1436">
            <v>13014973</v>
          </cell>
          <cell r="E1436">
            <v>1299</v>
          </cell>
          <cell r="F1436" t="str">
            <v>Mon Feb 03 00:00:00 UTC 2025</v>
          </cell>
          <cell r="G1436" t="str">
            <v>3PTY</v>
          </cell>
          <cell r="H1436" t="str">
            <v>Active</v>
          </cell>
          <cell r="I1436" t="str">
            <v>Katyal,Varun</v>
          </cell>
          <cell r="J1436" t="str">
            <v>QUES</v>
          </cell>
        </row>
        <row r="1437">
          <cell r="A1437">
            <v>206491343</v>
          </cell>
          <cell r="B1437" t="str">
            <v>mumonicv</v>
          </cell>
          <cell r="C1437" t="str">
            <v>MUTUA,MONICA MUENI</v>
          </cell>
          <cell r="D1437">
            <v>14118477</v>
          </cell>
          <cell r="E1437">
            <v>1299</v>
          </cell>
          <cell r="F1437" t="str">
            <v>Tue Aug 04 00:00:00 UTC 2026</v>
          </cell>
          <cell r="G1437" t="str">
            <v>3PTY</v>
          </cell>
          <cell r="H1437" t="str">
            <v>Active</v>
          </cell>
          <cell r="I1437" t="str">
            <v>Narshad,Muhammad Ashik</v>
          </cell>
          <cell r="J1437" t="str">
            <v>EFSV</v>
          </cell>
        </row>
        <row r="1438">
          <cell r="A1438">
            <v>206229082</v>
          </cell>
          <cell r="B1438" t="str">
            <v>zslum</v>
          </cell>
          <cell r="C1438" t="str">
            <v>Mohamed,Abdulaziz Temam</v>
          </cell>
          <cell r="D1438">
            <v>13438602</v>
          </cell>
          <cell r="E1438">
            <v>1712</v>
          </cell>
          <cell r="F1438" t="str">
            <v>Wed Oct 08 00:00:00 UTC 2025</v>
          </cell>
          <cell r="G1438" t="str">
            <v>3PTY</v>
          </cell>
          <cell r="H1438" t="str">
            <v>Active</v>
          </cell>
          <cell r="I1438" t="str">
            <v>Rizvan,Mohamed</v>
          </cell>
          <cell r="J1438" t="str">
            <v>KBTS</v>
          </cell>
        </row>
        <row r="1439">
          <cell r="A1439">
            <v>208097332</v>
          </cell>
          <cell r="B1439" t="str">
            <v>gyatgupt</v>
          </cell>
          <cell r="C1439" t="str">
            <v>Gupta,Yatin</v>
          </cell>
          <cell r="D1439">
            <v>14127712</v>
          </cell>
          <cell r="E1439">
            <v>1299</v>
          </cell>
          <cell r="F1439" t="str">
            <v>Wed Jul 29 00:00:00 UTC 2026</v>
          </cell>
          <cell r="G1439" t="str">
            <v>3PTY</v>
          </cell>
          <cell r="H1439" t="str">
            <v>Active</v>
          </cell>
          <cell r="I1439" t="str">
            <v>Jamal,Firdous</v>
          </cell>
          <cell r="J1439" t="str">
            <v>EFS</v>
          </cell>
        </row>
        <row r="1440">
          <cell r="A1440">
            <v>204786353</v>
          </cell>
          <cell r="B1440" t="str">
            <v>mdmamunh</v>
          </cell>
          <cell r="C1440" t="str">
            <v>Mamun Howlader,MD</v>
          </cell>
          <cell r="D1440">
            <v>12349131</v>
          </cell>
          <cell r="E1440">
            <v>1711</v>
          </cell>
          <cell r="F1440" t="str">
            <v>Wed Dec 25 00:00:00 UTC 2024</v>
          </cell>
          <cell r="G1440" t="str">
            <v>3PTY</v>
          </cell>
          <cell r="H1440" t="str">
            <v>Active</v>
          </cell>
          <cell r="I1440" t="str">
            <v>Abdul Hakkim,Muhammed</v>
          </cell>
          <cell r="J1440" t="str">
            <v>KBTS</v>
          </cell>
        </row>
        <row r="1441">
          <cell r="A1441">
            <v>202189563</v>
          </cell>
          <cell r="B1441" t="str">
            <v>prosarth</v>
          </cell>
          <cell r="C1441" t="str">
            <v>Arthur,Prosper</v>
          </cell>
          <cell r="D1441">
            <v>13150857</v>
          </cell>
          <cell r="E1441">
            <v>1299</v>
          </cell>
          <cell r="F1441" t="str">
            <v>Mon Sep 02 00:00:00 UTC 2024</v>
          </cell>
          <cell r="G1441" t="str">
            <v>3PTY</v>
          </cell>
          <cell r="H1441" t="str">
            <v>Active</v>
          </cell>
          <cell r="I1441" t="str">
            <v>Ansari,Ammar Abdullah</v>
          </cell>
          <cell r="J1441" t="str">
            <v>FLO</v>
          </cell>
        </row>
        <row r="1442">
          <cell r="A1442">
            <v>203800381</v>
          </cell>
          <cell r="B1442" t="str">
            <v>mikegalc</v>
          </cell>
          <cell r="C1442" t="str">
            <v>GALIWANGO,MIKE</v>
          </cell>
          <cell r="D1442">
            <v>15390173</v>
          </cell>
          <cell r="E1442">
            <v>1299</v>
          </cell>
          <cell r="F1442" t="str">
            <v>Mon Aug 12 00:00:00 UTC 2024</v>
          </cell>
          <cell r="G1442" t="str">
            <v>3PTY</v>
          </cell>
          <cell r="H1442" t="str">
            <v>Active</v>
          </cell>
          <cell r="I1442" t="str">
            <v>Katyal,Varun</v>
          </cell>
          <cell r="J1442" t="str">
            <v>DULS</v>
          </cell>
        </row>
        <row r="1443">
          <cell r="A1443">
            <v>205872523</v>
          </cell>
          <cell r="B1443" t="str">
            <v>mugisric</v>
          </cell>
          <cell r="C1443" t="str">
            <v>MUGISHA,RICHARD</v>
          </cell>
          <cell r="D1443">
            <v>13982675</v>
          </cell>
          <cell r="E1443">
            <v>1299</v>
          </cell>
          <cell r="F1443" t="str">
            <v>Mon Aug 25 00:00:00 UTC 2025</v>
          </cell>
          <cell r="G1443" t="str">
            <v>3PTY</v>
          </cell>
          <cell r="H1443" t="str">
            <v>Active</v>
          </cell>
          <cell r="I1443" t="str">
            <v>Scaria,Varghese</v>
          </cell>
          <cell r="J1443" t="str">
            <v>DULS</v>
          </cell>
        </row>
        <row r="1444">
          <cell r="A1444">
            <v>203508542</v>
          </cell>
          <cell r="B1444" t="str">
            <v>asongtia</v>
          </cell>
          <cell r="C1444" t="str">
            <v>Asongtia,Valentine Acha</v>
          </cell>
          <cell r="D1444">
            <v>13940337</v>
          </cell>
          <cell r="E1444">
            <v>1299</v>
          </cell>
          <cell r="F1444" t="str">
            <v>Mon Jun 17 00:00:00 UTC 2024</v>
          </cell>
          <cell r="G1444" t="str">
            <v>3PTY</v>
          </cell>
          <cell r="H1444" t="str">
            <v>Active</v>
          </cell>
          <cell r="I1444" t="str">
            <v>Akhtar,Muhammad Zohaib</v>
          </cell>
          <cell r="J1444" t="str">
            <v>WOFZ</v>
          </cell>
        </row>
        <row r="1445">
          <cell r="A1445">
            <v>205651024</v>
          </cell>
          <cell r="B1445" t="str">
            <v>taatinde</v>
          </cell>
          <cell r="C1445" t="str">
            <v>Atinde,Tabitha Monica</v>
          </cell>
          <cell r="D1445">
            <v>13078650</v>
          </cell>
          <cell r="E1445">
            <v>1299</v>
          </cell>
          <cell r="F1445" t="str">
            <v>Mon Jul 14 00:00:00 UTC 2025</v>
          </cell>
          <cell r="G1445" t="str">
            <v>3PTY</v>
          </cell>
          <cell r="H1445" t="str">
            <v>Active</v>
          </cell>
          <cell r="I1445" t="str">
            <v>Meera,Bava Bahrudeen</v>
          </cell>
          <cell r="J1445" t="str">
            <v>EFSV</v>
          </cell>
        </row>
        <row r="1446">
          <cell r="A1446">
            <v>206964173</v>
          </cell>
          <cell r="B1446" t="str">
            <v>hssekimu</v>
          </cell>
          <cell r="C1446" t="str">
            <v>SSEKIMULI,SAULO</v>
          </cell>
          <cell r="D1446">
            <v>12396435</v>
          </cell>
          <cell r="E1446">
            <v>1712</v>
          </cell>
          <cell r="F1446" t="str">
            <v>Fri Jan 23 00:00:00 UTC 2026</v>
          </cell>
          <cell r="G1446" t="str">
            <v>3PTY</v>
          </cell>
          <cell r="H1446" t="str">
            <v>Active</v>
          </cell>
          <cell r="I1446" t="str">
            <v>Rajendran,Ajith Kumar</v>
          </cell>
          <cell r="J1446" t="str">
            <v>KBTS</v>
          </cell>
        </row>
        <row r="1447">
          <cell r="A1447">
            <v>204869091</v>
          </cell>
          <cell r="B1447" t="str">
            <v>skyeseli</v>
          </cell>
          <cell r="C1447" t="str">
            <v>Kyerewaa,Selina</v>
          </cell>
          <cell r="D1447">
            <v>12679682</v>
          </cell>
          <cell r="E1447">
            <v>1299</v>
          </cell>
          <cell r="F1447" t="str">
            <v>Mon Feb 03 00:00:00 UTC 2025</v>
          </cell>
          <cell r="G1447" t="str">
            <v>3PTY</v>
          </cell>
          <cell r="H1447" t="str">
            <v>Active</v>
          </cell>
          <cell r="I1447" t="str">
            <v>Meera,Bava Bahrudeen</v>
          </cell>
          <cell r="J1447" t="str">
            <v>QUES</v>
          </cell>
        </row>
        <row r="1448">
          <cell r="A1448">
            <v>205638320</v>
          </cell>
          <cell r="B1448" t="str">
            <v>qkusubas</v>
          </cell>
          <cell r="C1448" t="str">
            <v>Kumar BK,Subash</v>
          </cell>
          <cell r="D1448">
            <v>14158843</v>
          </cell>
          <cell r="E1448">
            <v>1712</v>
          </cell>
          <cell r="F1448" t="str">
            <v>Tue Jul 08 00:00:00 UTC 2025</v>
          </cell>
          <cell r="G1448" t="str">
            <v>3PTY</v>
          </cell>
          <cell r="H1448" t="str">
            <v>Active</v>
          </cell>
          <cell r="I1448" t="str">
            <v>Rizvan,Mohamed</v>
          </cell>
          <cell r="J1448" t="str">
            <v>KBTS</v>
          </cell>
        </row>
        <row r="1449">
          <cell r="A1449">
            <v>204117189</v>
          </cell>
          <cell r="B1449" t="str">
            <v>diddabdu</v>
          </cell>
          <cell r="C1449" t="str">
            <v>Iddrisu,Abdul Hadi</v>
          </cell>
          <cell r="D1449">
            <v>13260691</v>
          </cell>
          <cell r="E1449">
            <v>1299</v>
          </cell>
          <cell r="F1449" t="str">
            <v>Thu Sep 26 00:00:00 UTC 2024</v>
          </cell>
          <cell r="G1449" t="str">
            <v>3PTY</v>
          </cell>
          <cell r="H1449" t="str">
            <v>Active</v>
          </cell>
          <cell r="I1449" t="str">
            <v>Thomas,Binil</v>
          </cell>
          <cell r="J1449" t="str">
            <v>QUES</v>
          </cell>
        </row>
        <row r="1450">
          <cell r="A1450">
            <v>206850959</v>
          </cell>
          <cell r="B1450" t="str">
            <v>bakisurf</v>
          </cell>
          <cell r="C1450" t="str">
            <v>BAKISULA,FRED</v>
          </cell>
          <cell r="D1450">
            <v>13910912</v>
          </cell>
          <cell r="E1450">
            <v>1299</v>
          </cell>
          <cell r="F1450" t="str">
            <v>Mon Dec 22 00:00:00 UTC 2025</v>
          </cell>
          <cell r="G1450" t="str">
            <v>3PTY</v>
          </cell>
          <cell r="H1450" t="str">
            <v>Active</v>
          </cell>
          <cell r="I1450" t="str">
            <v>Narshad,Muhammad Ashik</v>
          </cell>
          <cell r="J1450" t="str">
            <v>DULS</v>
          </cell>
        </row>
        <row r="1451">
          <cell r="A1451">
            <v>206897671</v>
          </cell>
          <cell r="B1451" t="str">
            <v>wilfwood</v>
          </cell>
          <cell r="C1451" t="str">
            <v>WOODE BROWN,WILFRED</v>
          </cell>
          <cell r="D1451">
            <v>12707739</v>
          </cell>
          <cell r="E1451">
            <v>1299</v>
          </cell>
          <cell r="F1451" t="str">
            <v>Tue Aug 04 00:00:00 UTC 2026</v>
          </cell>
          <cell r="G1451" t="str">
            <v>3PTY</v>
          </cell>
          <cell r="H1451" t="str">
            <v>Active</v>
          </cell>
          <cell r="I1451" t="str">
            <v>Scaria,Varghese</v>
          </cell>
          <cell r="J1451" t="str">
            <v>FLO</v>
          </cell>
        </row>
        <row r="1452">
          <cell r="A1452">
            <v>203752448</v>
          </cell>
          <cell r="B1452" t="str">
            <v>mukatunz</v>
          </cell>
          <cell r="C1452" t="str">
            <v>Katunze,Muzafalu</v>
          </cell>
          <cell r="D1452">
            <v>14952751</v>
          </cell>
          <cell r="E1452">
            <v>1299</v>
          </cell>
          <cell r="F1452" t="str">
            <v>Mon Jul 29 00:00:00 UTC 2024</v>
          </cell>
          <cell r="G1452" t="str">
            <v>3PTY</v>
          </cell>
          <cell r="H1452" t="str">
            <v>Active</v>
          </cell>
          <cell r="I1452" t="str">
            <v>Akhtar,Muhammad Zohaib</v>
          </cell>
          <cell r="J1452" t="str">
            <v>WOFZ</v>
          </cell>
        </row>
        <row r="1453">
          <cell r="A1453">
            <v>207759310</v>
          </cell>
          <cell r="B1453" t="str">
            <v>chaulsud</v>
          </cell>
          <cell r="C1453" t="str">
            <v>chaudhary,Sudarshan Kumar</v>
          </cell>
          <cell r="D1453">
            <v>11592199</v>
          </cell>
          <cell r="E1453">
            <v>1316</v>
          </cell>
          <cell r="F1453" t="str">
            <v>Tue Jun 16 00:00:00 UTC 2026</v>
          </cell>
          <cell r="G1453" t="str">
            <v>3PTY</v>
          </cell>
          <cell r="H1453" t="str">
            <v>Active</v>
          </cell>
          <cell r="I1453" t="str">
            <v>Akhtar,Muhammad Zohaib</v>
          </cell>
          <cell r="J1453" t="str">
            <v>WOFZ</v>
          </cell>
        </row>
        <row r="1454">
          <cell r="A1454">
            <v>203813088</v>
          </cell>
          <cell r="B1454" t="str">
            <v>thosanjq</v>
          </cell>
          <cell r="C1454" t="str">
            <v>THOMAS,SANJU</v>
          </cell>
          <cell r="D1454">
            <v>12389950</v>
          </cell>
          <cell r="E1454">
            <v>1299</v>
          </cell>
          <cell r="F1454" t="str">
            <v>Tue Aug 13 00:00:00 UTC 2024</v>
          </cell>
          <cell r="G1454" t="str">
            <v>3PTY</v>
          </cell>
          <cell r="H1454" t="str">
            <v>Active</v>
          </cell>
          <cell r="I1454" t="str">
            <v>Meera,Bava Bahrudeen</v>
          </cell>
          <cell r="J1454" t="str">
            <v>ADEC</v>
          </cell>
        </row>
        <row r="1455">
          <cell r="A1455">
            <v>203813081</v>
          </cell>
          <cell r="B1455" t="str">
            <v>njomajoh</v>
          </cell>
          <cell r="C1455" t="str">
            <v>JOMAN,JOHNSON ANTONY</v>
          </cell>
          <cell r="D1455">
            <v>12605873</v>
          </cell>
          <cell r="E1455">
            <v>1299</v>
          </cell>
          <cell r="F1455" t="str">
            <v>Tue Aug 13 00:00:00 UTC 2024</v>
          </cell>
          <cell r="G1455" t="str">
            <v>3PTY</v>
          </cell>
          <cell r="H1455" t="str">
            <v>Active</v>
          </cell>
          <cell r="I1455" t="str">
            <v>Ansari,Ammar Abdullah</v>
          </cell>
          <cell r="J1455" t="str">
            <v>ADEC</v>
          </cell>
        </row>
        <row r="1456">
          <cell r="A1456">
            <v>203850899</v>
          </cell>
          <cell r="B1456" t="str">
            <v>owebabig</v>
          </cell>
          <cell r="C1456" t="str">
            <v>Babigumira,Owen</v>
          </cell>
          <cell r="D1456">
            <v>11857986</v>
          </cell>
          <cell r="E1456">
            <v>1299</v>
          </cell>
          <cell r="F1456" t="str">
            <v>Tue Aug 20 00:00:00 UTC 2024</v>
          </cell>
          <cell r="G1456" t="str">
            <v>3PTY</v>
          </cell>
          <cell r="H1456" t="str">
            <v>Active</v>
          </cell>
          <cell r="I1456" t="str">
            <v>Thomas,Binil</v>
          </cell>
          <cell r="J1456" t="str">
            <v>DULS</v>
          </cell>
        </row>
        <row r="1457">
          <cell r="A1457">
            <v>204405779</v>
          </cell>
          <cell r="B1457" t="str">
            <v>nichwtak</v>
          </cell>
          <cell r="C1457" t="str">
            <v>Takyi,Nicholas</v>
          </cell>
          <cell r="D1457">
            <v>12531656</v>
          </cell>
          <cell r="E1457">
            <v>1299</v>
          </cell>
          <cell r="F1457" t="str">
            <v>Thu Oct 31 00:00:00 UTC 2024</v>
          </cell>
          <cell r="G1457" t="str">
            <v>3PTY</v>
          </cell>
          <cell r="H1457" t="str">
            <v>Active</v>
          </cell>
          <cell r="I1457" t="str">
            <v>Katyal,Varun</v>
          </cell>
          <cell r="J1457" t="str">
            <v>QUES</v>
          </cell>
        </row>
        <row r="1458">
          <cell r="A1458">
            <v>203083928</v>
          </cell>
          <cell r="B1458" t="str">
            <v>galeowus</v>
          </cell>
          <cell r="C1458" t="str">
            <v>Owusu,Alex</v>
          </cell>
          <cell r="D1458">
            <v>13625250</v>
          </cell>
          <cell r="E1458">
            <v>1299</v>
          </cell>
          <cell r="F1458" t="str">
            <v>Mon Jul 15 00:00:00 UTC 2024</v>
          </cell>
          <cell r="G1458" t="str">
            <v>3PTY</v>
          </cell>
          <cell r="H1458" t="str">
            <v>Active</v>
          </cell>
          <cell r="I1458" t="str">
            <v>Sohail,Anis</v>
          </cell>
          <cell r="J1458" t="str">
            <v>FLO</v>
          </cell>
        </row>
        <row r="1459">
          <cell r="A1459">
            <v>203813038</v>
          </cell>
          <cell r="B1459" t="str">
            <v>kodataks</v>
          </cell>
          <cell r="C1459" t="str">
            <v>KODATHAMVALLY,AKSHAY</v>
          </cell>
          <cell r="D1459">
            <v>12204596</v>
          </cell>
          <cell r="E1459">
            <v>1299</v>
          </cell>
          <cell r="F1459" t="str">
            <v>Tue Aug 13 00:00:00 UTC 2024</v>
          </cell>
          <cell r="G1459" t="str">
            <v>3PTY</v>
          </cell>
          <cell r="H1459" t="str">
            <v>Active</v>
          </cell>
          <cell r="I1459" t="str">
            <v>Katyal,Varun</v>
          </cell>
          <cell r="J1459" t="str">
            <v>ADEC</v>
          </cell>
        </row>
        <row r="1460">
          <cell r="A1460">
            <v>204989741</v>
          </cell>
          <cell r="B1460" t="str">
            <v>silambgu</v>
          </cell>
          <cell r="C1460" t="str">
            <v>Gunasekaran,Silambarasan</v>
          </cell>
          <cell r="D1460">
            <v>13704152</v>
          </cell>
          <cell r="E1460">
            <v>1712</v>
          </cell>
          <cell r="F1460" t="str">
            <v>Sat Mar 01 00:00:00 UTC 2025</v>
          </cell>
          <cell r="G1460" t="str">
            <v>3PTY</v>
          </cell>
          <cell r="H1460" t="str">
            <v>Active</v>
          </cell>
          <cell r="I1460" t="str">
            <v>Rizvan,Mohamed</v>
          </cell>
          <cell r="J1460" t="str">
            <v>KBTS</v>
          </cell>
        </row>
        <row r="1461">
          <cell r="A1461">
            <v>206129614</v>
          </cell>
          <cell r="B1461" t="str">
            <v>reginodj</v>
          </cell>
          <cell r="C1461" t="str">
            <v>Regina Narkie,Odjam</v>
          </cell>
          <cell r="D1461">
            <v>14476398</v>
          </cell>
          <cell r="E1461">
            <v>1299</v>
          </cell>
          <cell r="F1461" t="str">
            <v>Mon Sep 29 00:00:00 UTC 2025</v>
          </cell>
          <cell r="G1461" t="str">
            <v>3PTY</v>
          </cell>
          <cell r="H1461" t="str">
            <v>Active</v>
          </cell>
          <cell r="I1461" t="str">
            <v>Ansari,Ammar Abdullah</v>
          </cell>
          <cell r="J1461" t="str">
            <v>FLO</v>
          </cell>
        </row>
        <row r="1462">
          <cell r="A1462">
            <v>206138254</v>
          </cell>
          <cell r="B1462" t="str">
            <v>isabarim</v>
          </cell>
          <cell r="C1462" t="str">
            <v>BARIMAH TWUM,ISAAC</v>
          </cell>
          <cell r="D1462">
            <v>14727197</v>
          </cell>
          <cell r="E1462">
            <v>1299</v>
          </cell>
          <cell r="F1462" t="str">
            <v>Mon Sep 29 00:00:00 UTC 2025</v>
          </cell>
          <cell r="G1462" t="str">
            <v>3PTY</v>
          </cell>
          <cell r="H1462" t="str">
            <v>Active</v>
          </cell>
          <cell r="I1462" t="str">
            <v>Scaria,Varghese</v>
          </cell>
          <cell r="J1462" t="str">
            <v>FLO</v>
          </cell>
        </row>
        <row r="1463">
          <cell r="A1463">
            <v>207867356</v>
          </cell>
          <cell r="B1463" t="str">
            <v>selinnar</v>
          </cell>
          <cell r="C1463" t="str">
            <v>Seling,Naresh</v>
          </cell>
          <cell r="D1463">
            <v>13489817</v>
          </cell>
          <cell r="E1463">
            <v>1200</v>
          </cell>
          <cell r="F1463" t="str">
            <v>Fri Jul 03 00:00:00 UTC 2026</v>
          </cell>
          <cell r="G1463" t="str">
            <v>3PTY</v>
          </cell>
          <cell r="H1463" t="str">
            <v>Active</v>
          </cell>
          <cell r="I1463" t="str">
            <v>Alhashmi,Abdulla</v>
          </cell>
          <cell r="J1463" t="str">
            <v>SSIS</v>
          </cell>
        </row>
        <row r="1464">
          <cell r="A1464">
            <v>204341339</v>
          </cell>
          <cell r="B1464" t="str">
            <v>elizbaku</v>
          </cell>
          <cell r="C1464" t="str">
            <v>Akuoko,Elizbeth</v>
          </cell>
          <cell r="D1464">
            <v>14883210</v>
          </cell>
          <cell r="E1464">
            <v>1299</v>
          </cell>
          <cell r="F1464" t="str">
            <v>Thu Oct 24 00:00:00 UTC 2024</v>
          </cell>
          <cell r="G1464" t="str">
            <v>3PTY</v>
          </cell>
          <cell r="H1464" t="str">
            <v>Active</v>
          </cell>
          <cell r="I1464" t="str">
            <v>Joshi,Anirudh</v>
          </cell>
          <cell r="J1464" t="str">
            <v>DULS</v>
          </cell>
        </row>
        <row r="1465">
          <cell r="A1465">
            <v>204011576</v>
          </cell>
          <cell r="B1465" t="str">
            <v>tkalfran</v>
          </cell>
          <cell r="C1465" t="str">
            <v>KALULE,FRANK</v>
          </cell>
          <cell r="D1465">
            <v>14255687</v>
          </cell>
          <cell r="E1465">
            <v>1299</v>
          </cell>
          <cell r="F1465" t="str">
            <v>Mon May 12 00:00:00 UTC 2025</v>
          </cell>
          <cell r="G1465" t="str">
            <v>3PTY</v>
          </cell>
          <cell r="H1465" t="str">
            <v>Active</v>
          </cell>
          <cell r="I1465" t="str">
            <v>Narshad,Muhammad Ashik</v>
          </cell>
          <cell r="J1465" t="str">
            <v>DULS</v>
          </cell>
        </row>
        <row r="1466">
          <cell r="A1466">
            <v>205977126</v>
          </cell>
          <cell r="B1466" t="str">
            <v>ssettinp</v>
          </cell>
          <cell r="C1466" t="str">
            <v>SSETTINBA,PETER</v>
          </cell>
          <cell r="D1466">
            <v>14417816</v>
          </cell>
          <cell r="E1466">
            <v>1299</v>
          </cell>
          <cell r="F1466" t="str">
            <v>Mon Sep 15 00:00:00 UTC 2025</v>
          </cell>
          <cell r="G1466" t="str">
            <v>3PTY</v>
          </cell>
          <cell r="H1466" t="str">
            <v>Active</v>
          </cell>
          <cell r="I1466" t="str">
            <v>Katyal,Varun</v>
          </cell>
          <cell r="J1466" t="str">
            <v>DULS</v>
          </cell>
        </row>
        <row r="1467">
          <cell r="A1467">
            <v>206886730</v>
          </cell>
          <cell r="B1467" t="str">
            <v>jepchval</v>
          </cell>
          <cell r="C1467" t="str">
            <v>JEPCHIRCHIR,VALENTINE</v>
          </cell>
          <cell r="D1467">
            <v>12450429</v>
          </cell>
          <cell r="E1467">
            <v>1299</v>
          </cell>
          <cell r="F1467" t="str">
            <v>Mon Jan 05 00:00:00 UTC 2026</v>
          </cell>
          <cell r="G1467" t="str">
            <v>3PTY</v>
          </cell>
          <cell r="H1467" t="str">
            <v>Active</v>
          </cell>
          <cell r="I1467" t="str">
            <v>Ansari,Ammar Abdullah</v>
          </cell>
          <cell r="J1467" t="str">
            <v>EFSV</v>
          </cell>
        </row>
        <row r="1468">
          <cell r="A1468">
            <v>205837449</v>
          </cell>
          <cell r="B1468" t="str">
            <v>canudamo</v>
          </cell>
          <cell r="C1468" t="str">
            <v>Damodaran,Anu</v>
          </cell>
          <cell r="D1468">
            <v>15132872</v>
          </cell>
          <cell r="E1468">
            <v>1299</v>
          </cell>
          <cell r="F1468" t="str">
            <v>Thu Aug 21 00:00:00 UTC 2025</v>
          </cell>
          <cell r="G1468" t="str">
            <v>3PTY</v>
          </cell>
          <cell r="H1468" t="str">
            <v>Active</v>
          </cell>
          <cell r="I1468" t="str">
            <v>Joshi,Anirudh</v>
          </cell>
          <cell r="J1468" t="str">
            <v>EFSV</v>
          </cell>
        </row>
        <row r="1469">
          <cell r="A1469">
            <v>207647502</v>
          </cell>
          <cell r="B1469" t="str">
            <v>habibuhz</v>
          </cell>
          <cell r="C1469" t="str">
            <v>Zubair,Habib Ullah Muhammad</v>
          </cell>
          <cell r="D1469">
            <v>12221535</v>
          </cell>
          <cell r="E1469">
            <v>1299</v>
          </cell>
          <cell r="F1469" t="str">
            <v>Wed Jun 03 00:00:00 UTC 2026</v>
          </cell>
          <cell r="G1469" t="str">
            <v>3PTY</v>
          </cell>
          <cell r="H1469" t="str">
            <v>Active</v>
          </cell>
          <cell r="I1469" t="str">
            <v>Parungao,Priscila Montejo</v>
          </cell>
          <cell r="J1469" t="str">
            <v>VSTG</v>
          </cell>
        </row>
        <row r="1470">
          <cell r="A1470">
            <v>204246158</v>
          </cell>
          <cell r="B1470" t="str">
            <v>festusnd</v>
          </cell>
          <cell r="C1470" t="str">
            <v>Darko,Festus Nii</v>
          </cell>
          <cell r="D1470">
            <v>14722361</v>
          </cell>
          <cell r="E1470">
            <v>1299</v>
          </cell>
          <cell r="F1470" t="str">
            <v>Mon Oct 14 00:00:00 UTC 2024</v>
          </cell>
          <cell r="G1470" t="str">
            <v>3PTY</v>
          </cell>
          <cell r="H1470" t="str">
            <v>Active</v>
          </cell>
          <cell r="I1470" t="str">
            <v>Katyal,Varun</v>
          </cell>
          <cell r="J1470" t="str">
            <v>QUES</v>
          </cell>
        </row>
        <row r="1471">
          <cell r="A1471">
            <v>203993454</v>
          </cell>
          <cell r="B1471" t="str">
            <v>tesadamu</v>
          </cell>
          <cell r="C1471" t="str">
            <v>SADAMU,TEBIGWAYO</v>
          </cell>
          <cell r="D1471">
            <v>11903296</v>
          </cell>
          <cell r="E1471">
            <v>1299</v>
          </cell>
          <cell r="F1471" t="str">
            <v>Mon Sep 16 00:00:00 UTC 2024</v>
          </cell>
          <cell r="G1471" t="str">
            <v>3PTY</v>
          </cell>
          <cell r="H1471" t="str">
            <v>Active</v>
          </cell>
          <cell r="I1471" t="str">
            <v>Ansari,Ammar Abdullah</v>
          </cell>
          <cell r="J1471" t="str">
            <v>DULS</v>
          </cell>
        </row>
        <row r="1472">
          <cell r="A1472">
            <v>206008709</v>
          </cell>
          <cell r="B1472" t="str">
            <v>ayukakos</v>
          </cell>
          <cell r="C1472" t="str">
            <v>AYUK AKO,SCHOLASTIKA</v>
          </cell>
          <cell r="D1472">
            <v>14900730</v>
          </cell>
          <cell r="E1472">
            <v>1299</v>
          </cell>
          <cell r="F1472" t="str">
            <v>Mon Sep 15 00:00:00 UTC 2025</v>
          </cell>
          <cell r="G1472" t="str">
            <v>3PTY</v>
          </cell>
          <cell r="H1472" t="str">
            <v>Active</v>
          </cell>
          <cell r="I1472" t="str">
            <v>Katyal,Varun</v>
          </cell>
          <cell r="J1472" t="str">
            <v>FLO</v>
          </cell>
        </row>
        <row r="1473">
          <cell r="A1473">
            <v>203709740</v>
          </cell>
          <cell r="B1473" t="str">
            <v>aungphy</v>
          </cell>
          <cell r="C1473" t="str">
            <v>Phyo,Aung Thu Ya</v>
          </cell>
          <cell r="D1473">
            <v>13252507</v>
          </cell>
          <cell r="E1473">
            <v>1299</v>
          </cell>
          <cell r="F1473" t="str">
            <v>Mon Jul 22 00:00:00 UTC 2024</v>
          </cell>
          <cell r="G1473" t="str">
            <v>3PTY</v>
          </cell>
          <cell r="H1473" t="str">
            <v>Active</v>
          </cell>
          <cell r="I1473" t="str">
            <v>Katyal,Varun</v>
          </cell>
          <cell r="J1473" t="str">
            <v>ADEC</v>
          </cell>
        </row>
        <row r="1474">
          <cell r="A1474">
            <v>203469406</v>
          </cell>
          <cell r="B1474" t="str">
            <v>ncusilet</v>
          </cell>
          <cell r="C1474" t="str">
            <v>NCUBE,SILETHEMBA</v>
          </cell>
          <cell r="D1474">
            <v>12345779</v>
          </cell>
          <cell r="E1474">
            <v>1299</v>
          </cell>
          <cell r="F1474" t="str">
            <v>Thu Jun 13 00:00:00 UTC 2024</v>
          </cell>
          <cell r="G1474" t="str">
            <v>3PTY</v>
          </cell>
          <cell r="H1474" t="str">
            <v>Active</v>
          </cell>
          <cell r="I1474" t="str">
            <v>Meera,Bava Bahrudeen</v>
          </cell>
          <cell r="J1474" t="str">
            <v>ADEC</v>
          </cell>
        </row>
        <row r="1475">
          <cell r="A1475">
            <v>206065199</v>
          </cell>
          <cell r="B1475" t="str">
            <v>enanemma</v>
          </cell>
          <cell r="C1475" t="str">
            <v>Enang Nkwonji,Emmanuel</v>
          </cell>
          <cell r="D1475">
            <v>13087185</v>
          </cell>
          <cell r="E1475">
            <v>1299</v>
          </cell>
          <cell r="F1475" t="str">
            <v>Mon Sep 22 00:00:00 UTC 2025</v>
          </cell>
          <cell r="G1475" t="str">
            <v>3PTY</v>
          </cell>
          <cell r="H1475" t="str">
            <v>Active</v>
          </cell>
          <cell r="I1475" t="str">
            <v>Katyal,Varun</v>
          </cell>
          <cell r="J1475" t="str">
            <v>FLO</v>
          </cell>
        </row>
        <row r="1476">
          <cell r="A1476">
            <v>206873877</v>
          </cell>
          <cell r="B1476" t="str">
            <v>kalugerk</v>
          </cell>
          <cell r="C1476" t="str">
            <v>GERALD,KALULE</v>
          </cell>
          <cell r="D1476">
            <v>13619640</v>
          </cell>
          <cell r="E1476">
            <v>1299</v>
          </cell>
          <cell r="F1476" t="str">
            <v>Mon Dec 29 00:00:00 UTC 2025</v>
          </cell>
          <cell r="G1476" t="str">
            <v>3PTY</v>
          </cell>
          <cell r="H1476" t="str">
            <v>Active</v>
          </cell>
          <cell r="I1476" t="str">
            <v>Meera,Bava Bahrudeen</v>
          </cell>
          <cell r="J1476" t="str">
            <v>DULS</v>
          </cell>
        </row>
        <row r="1477">
          <cell r="A1477">
            <v>206850962</v>
          </cell>
          <cell r="B1477" t="str">
            <v>isamutub</v>
          </cell>
          <cell r="C1477" t="str">
            <v>MUTUBA,ISAYA</v>
          </cell>
          <cell r="D1477">
            <v>14380302</v>
          </cell>
          <cell r="E1477">
            <v>1299</v>
          </cell>
          <cell r="F1477" t="str">
            <v>Mon Dec 22 00:00:00 UTC 2025</v>
          </cell>
          <cell r="G1477" t="str">
            <v>3PTY</v>
          </cell>
          <cell r="H1477" t="str">
            <v>Active</v>
          </cell>
          <cell r="I1477" t="str">
            <v>Ansari,Ammar Abdullah</v>
          </cell>
          <cell r="J1477" t="str">
            <v>DULS</v>
          </cell>
        </row>
        <row r="1478">
          <cell r="A1478">
            <v>206260772</v>
          </cell>
          <cell r="B1478" t="str">
            <v>michmuya</v>
          </cell>
          <cell r="C1478" t="str">
            <v>Muyanja Mayega,Michael</v>
          </cell>
          <cell r="D1478">
            <v>13409495</v>
          </cell>
          <cell r="E1478">
            <v>1712</v>
          </cell>
          <cell r="F1478" t="str">
            <v>Sun Oct 12 00:00:00 UTC 2025</v>
          </cell>
          <cell r="G1478" t="str">
            <v>3PTY</v>
          </cell>
          <cell r="H1478" t="str">
            <v>Active</v>
          </cell>
          <cell r="I1478" t="str">
            <v>Rizvan,Mohamed</v>
          </cell>
          <cell r="J1478" t="str">
            <v>KBTS</v>
          </cell>
        </row>
        <row r="1479">
          <cell r="A1479">
            <v>207419493</v>
          </cell>
          <cell r="B1479" t="str">
            <v>bhlekhab</v>
          </cell>
          <cell r="C1479" t="str">
            <v>BHUJEL,LEKHA BAHADUR</v>
          </cell>
          <cell r="D1479">
            <v>14450622</v>
          </cell>
          <cell r="E1479">
            <v>1712</v>
          </cell>
          <cell r="F1479" t="str">
            <v>Sat May 02 00:00:00 UTC 2026</v>
          </cell>
          <cell r="G1479" t="str">
            <v>3PTY</v>
          </cell>
          <cell r="H1479" t="str">
            <v>Active</v>
          </cell>
          <cell r="I1479" t="str">
            <v>Rizvan,Mohamed</v>
          </cell>
          <cell r="J1479" t="str">
            <v>KBTS</v>
          </cell>
        </row>
        <row r="1480">
          <cell r="A1480">
            <v>206200000</v>
          </cell>
          <cell r="B1480" t="str">
            <v>tysonasm</v>
          </cell>
          <cell r="C1480" t="str">
            <v>TYSON ANCHE NGWAFONG,MAC</v>
          </cell>
          <cell r="D1480">
            <v>14434989</v>
          </cell>
          <cell r="E1480">
            <v>1299</v>
          </cell>
          <cell r="F1480" t="str">
            <v>Mon Oct 06 00:00:00 UTC 2025</v>
          </cell>
          <cell r="G1480" t="str">
            <v>3PTY</v>
          </cell>
          <cell r="H1480" t="str">
            <v>Active</v>
          </cell>
          <cell r="I1480" t="str">
            <v>elrashid,Hassan</v>
          </cell>
          <cell r="J1480" t="str">
            <v>FLO</v>
          </cell>
        </row>
        <row r="1481">
          <cell r="A1481">
            <v>204246610</v>
          </cell>
          <cell r="B1481" t="str">
            <v>appiakin</v>
          </cell>
          <cell r="C1481" t="str">
            <v>Appiah,Kingsley</v>
          </cell>
          <cell r="D1481">
            <v>14529894</v>
          </cell>
          <cell r="E1481">
            <v>1299</v>
          </cell>
          <cell r="F1481" t="str">
            <v>Mon Oct 14 00:00:00 UTC 2024</v>
          </cell>
          <cell r="G1481" t="str">
            <v>3PTY</v>
          </cell>
          <cell r="H1481" t="str">
            <v>Active</v>
          </cell>
          <cell r="I1481" t="str">
            <v>Katyal,Varun</v>
          </cell>
          <cell r="J1481" t="str">
            <v>QUES</v>
          </cell>
        </row>
        <row r="1482">
          <cell r="A1482">
            <v>206238897</v>
          </cell>
          <cell r="B1482" t="str">
            <v>ayoncari</v>
          </cell>
          <cell r="C1482" t="str">
            <v>AYONG BIH,CARINE</v>
          </cell>
          <cell r="D1482">
            <v>14645247</v>
          </cell>
          <cell r="E1482">
            <v>1299</v>
          </cell>
          <cell r="F1482" t="str">
            <v>Mon Oct 13 00:00:00 UTC 2025</v>
          </cell>
          <cell r="G1482" t="str">
            <v>3PTY</v>
          </cell>
          <cell r="H1482" t="str">
            <v>Active</v>
          </cell>
          <cell r="I1482" t="str">
            <v>elrashid,Hassan</v>
          </cell>
          <cell r="J1482" t="str">
            <v>FLO</v>
          </cell>
        </row>
        <row r="1483">
          <cell r="A1483">
            <v>203469060</v>
          </cell>
          <cell r="B1483" t="str">
            <v>manjegra</v>
          </cell>
          <cell r="C1483" t="str">
            <v>manjengwa,Grace</v>
          </cell>
          <cell r="D1483">
            <v>13200084</v>
          </cell>
          <cell r="E1483">
            <v>1299</v>
          </cell>
          <cell r="F1483" t="str">
            <v>Thu Jun 13 00:00:00 UTC 2024</v>
          </cell>
          <cell r="G1483" t="str">
            <v>3PTY</v>
          </cell>
          <cell r="H1483" t="str">
            <v>Active</v>
          </cell>
          <cell r="I1483" t="str">
            <v>Sohail,Anis</v>
          </cell>
          <cell r="J1483" t="str">
            <v>FLO</v>
          </cell>
        </row>
        <row r="1484">
          <cell r="A1484">
            <v>204868706</v>
          </cell>
          <cell r="B1484" t="str">
            <v>eamosamu</v>
          </cell>
          <cell r="C1484" t="str">
            <v>AMOAKO,SAMUEL</v>
          </cell>
          <cell r="D1484">
            <v>13634578</v>
          </cell>
          <cell r="E1484">
            <v>1299</v>
          </cell>
          <cell r="F1484" t="str">
            <v>Mon Aug 25 00:00:00 UTC 2025</v>
          </cell>
          <cell r="G1484" t="str">
            <v>3PTY</v>
          </cell>
          <cell r="H1484" t="str">
            <v>Active</v>
          </cell>
          <cell r="I1484" t="str">
            <v>Ansari,Ammar Abdullah</v>
          </cell>
          <cell r="J1484" t="str">
            <v>DULS</v>
          </cell>
        </row>
        <row r="1485">
          <cell r="A1485">
            <v>205192973</v>
          </cell>
          <cell r="B1485" t="str">
            <v>robmiah</v>
          </cell>
          <cell r="C1485" t="str">
            <v>MIAH,ROBEL</v>
          </cell>
          <cell r="D1485">
            <v>15294226</v>
          </cell>
          <cell r="E1485">
            <v>1287</v>
          </cell>
          <cell r="F1485" t="str">
            <v>Wed Apr 23 00:00:00 UTC 2025</v>
          </cell>
          <cell r="G1485" t="str">
            <v>3PTY</v>
          </cell>
          <cell r="H1485" t="str">
            <v>Active</v>
          </cell>
          <cell r="I1485" t="str">
            <v>Ouseph,Vinu</v>
          </cell>
          <cell r="J1485" t="str">
            <v>FRIZ</v>
          </cell>
        </row>
        <row r="1486">
          <cell r="A1486">
            <v>206886513</v>
          </cell>
          <cell r="B1486" t="str">
            <v>schelanw</v>
          </cell>
          <cell r="C1486" t="str">
            <v>CHELANGAT,SHARON</v>
          </cell>
          <cell r="D1486">
            <v>11068185</v>
          </cell>
          <cell r="E1486">
            <v>1299</v>
          </cell>
          <cell r="F1486" t="str">
            <v>Mon Jan 05 00:00:00 UTC 2026</v>
          </cell>
          <cell r="G1486" t="str">
            <v>3PTY</v>
          </cell>
          <cell r="H1486" t="str">
            <v>Active</v>
          </cell>
          <cell r="I1486" t="str">
            <v>Narshad,Muhammad Ashik</v>
          </cell>
          <cell r="J1486" t="str">
            <v>EFSV</v>
          </cell>
        </row>
        <row r="1487">
          <cell r="A1487">
            <v>205852637</v>
          </cell>
          <cell r="B1487" t="str">
            <v>fjefaith</v>
          </cell>
          <cell r="C1487" t="str">
            <v>JEROP,FAITH</v>
          </cell>
          <cell r="D1487">
            <v>12369880</v>
          </cell>
          <cell r="E1487">
            <v>1299</v>
          </cell>
          <cell r="F1487" t="str">
            <v>Mon Aug 25 00:00:00 UTC 2025</v>
          </cell>
          <cell r="G1487" t="str">
            <v>3PTY</v>
          </cell>
          <cell r="H1487" t="str">
            <v>Active</v>
          </cell>
          <cell r="I1487" t="str">
            <v>Scaria,Varghese</v>
          </cell>
          <cell r="J1487" t="str">
            <v>EFSV</v>
          </cell>
        </row>
        <row r="1488">
          <cell r="A1488">
            <v>204869089</v>
          </cell>
          <cell r="B1488" t="str">
            <v>nyikadzp</v>
          </cell>
          <cell r="C1488" t="str">
            <v>Nyikadzino,Patson</v>
          </cell>
          <cell r="D1488">
            <v>12749206</v>
          </cell>
          <cell r="E1488">
            <v>1299</v>
          </cell>
          <cell r="F1488" t="str">
            <v>Mon Feb 03 00:00:00 UTC 2025</v>
          </cell>
          <cell r="G1488" t="str">
            <v>3PTY</v>
          </cell>
          <cell r="H1488" t="str">
            <v>Active</v>
          </cell>
          <cell r="I1488" t="str">
            <v>Katyal,Varun</v>
          </cell>
          <cell r="J1488" t="str">
            <v>QUES</v>
          </cell>
        </row>
        <row r="1489">
          <cell r="A1489">
            <v>203512670</v>
          </cell>
          <cell r="B1489" t="str">
            <v>brmusanz</v>
          </cell>
          <cell r="C1489" t="str">
            <v>Musanzika,Brenda</v>
          </cell>
          <cell r="D1489">
            <v>13374364</v>
          </cell>
          <cell r="E1489">
            <v>1299</v>
          </cell>
          <cell r="F1489" t="str">
            <v>Thu Jun 20 00:00:00 UTC 2024</v>
          </cell>
          <cell r="G1489" t="str">
            <v>3PTY</v>
          </cell>
          <cell r="H1489" t="str">
            <v>Active</v>
          </cell>
          <cell r="I1489" t="str">
            <v>Scaria,Varghese</v>
          </cell>
          <cell r="J1489" t="str">
            <v>FLO</v>
          </cell>
        </row>
        <row r="1490">
          <cell r="A1490">
            <v>206850851</v>
          </cell>
          <cell r="B1490" t="str">
            <v>akanbria</v>
          </cell>
          <cell r="C1490" t="str">
            <v>BRIAN,AKANKWATSA</v>
          </cell>
          <cell r="D1490">
            <v>11807548</v>
          </cell>
          <cell r="E1490">
            <v>1299</v>
          </cell>
          <cell r="F1490" t="str">
            <v>Mon Dec 22 00:00:00 UTC 2025</v>
          </cell>
          <cell r="G1490" t="str">
            <v>3PTY</v>
          </cell>
          <cell r="H1490" t="str">
            <v>Active</v>
          </cell>
          <cell r="I1490" t="str">
            <v>Lakkireddy,Sai Raghavendra Reddy</v>
          </cell>
          <cell r="J1490" t="str">
            <v>DULS</v>
          </cell>
        </row>
        <row r="1491">
          <cell r="A1491">
            <v>203635501</v>
          </cell>
          <cell r="B1491" t="str">
            <v>sedbakoh</v>
          </cell>
          <cell r="C1491" t="str">
            <v>Bakoh,Sedoline  Ndongo</v>
          </cell>
          <cell r="D1491">
            <v>11689009</v>
          </cell>
          <cell r="E1491">
            <v>1299</v>
          </cell>
          <cell r="F1491" t="str">
            <v>Mon Jul 08 00:00:00 UTC 2024</v>
          </cell>
          <cell r="G1491" t="str">
            <v>3PTY</v>
          </cell>
          <cell r="H1491" t="str">
            <v>Active</v>
          </cell>
          <cell r="I1491" t="str">
            <v>Katyal,Varun</v>
          </cell>
          <cell r="J1491" t="str">
            <v>FLO</v>
          </cell>
        </row>
        <row r="1492">
          <cell r="A1492">
            <v>203736755</v>
          </cell>
          <cell r="B1492" t="str">
            <v>maxmrith</v>
          </cell>
          <cell r="C1492" t="str">
            <v>Maxy,Mrithul</v>
          </cell>
          <cell r="D1492">
            <v>11300840</v>
          </cell>
          <cell r="E1492">
            <v>1299</v>
          </cell>
          <cell r="F1492" t="str">
            <v>Mon Jul 29 00:00:00 UTC 2024</v>
          </cell>
          <cell r="G1492" t="str">
            <v>3PTY</v>
          </cell>
          <cell r="H1492" t="str">
            <v>Active</v>
          </cell>
          <cell r="I1492" t="str">
            <v>Katyal,Varun</v>
          </cell>
          <cell r="J1492" t="str">
            <v>ADEC</v>
          </cell>
        </row>
        <row r="1493">
          <cell r="A1493">
            <v>206934437</v>
          </cell>
          <cell r="B1493" t="str">
            <v>maxmijer</v>
          </cell>
          <cell r="C1493" t="str">
            <v>JERUTO,MAXMILLILA</v>
          </cell>
          <cell r="D1493">
            <v>13234264</v>
          </cell>
          <cell r="E1493">
            <v>1299</v>
          </cell>
          <cell r="F1493" t="str">
            <v>Mon Jan 19 00:00:00 UTC 2026</v>
          </cell>
          <cell r="G1493" t="str">
            <v>3PTY</v>
          </cell>
          <cell r="H1493" t="str">
            <v>Active</v>
          </cell>
          <cell r="I1493" t="str">
            <v>Katyal,Varun</v>
          </cell>
          <cell r="J1493" t="str">
            <v>EFSV</v>
          </cell>
        </row>
        <row r="1494">
          <cell r="A1494">
            <v>203965011</v>
          </cell>
          <cell r="B1494" t="str">
            <v>puthanvv</v>
          </cell>
          <cell r="C1494" t="str">
            <v>Puthanpurakkal,Vibin</v>
          </cell>
          <cell r="D1494">
            <v>11329828</v>
          </cell>
          <cell r="E1494">
            <v>1299</v>
          </cell>
          <cell r="F1494" t="str">
            <v>Mon Sep 09 00:00:00 UTC 2024</v>
          </cell>
          <cell r="G1494" t="str">
            <v>3PTY</v>
          </cell>
          <cell r="H1494" t="str">
            <v>Active</v>
          </cell>
          <cell r="I1494" t="str">
            <v>Narshad,Muhammad Ashik</v>
          </cell>
          <cell r="J1494" t="str">
            <v>ADEC</v>
          </cell>
        </row>
        <row r="1495">
          <cell r="A1495">
            <v>205830658</v>
          </cell>
          <cell r="B1495" t="str">
            <v>mahaliku</v>
          </cell>
          <cell r="C1495" t="str">
            <v>Mahalingam,Kumar</v>
          </cell>
          <cell r="D1495">
            <v>11204618</v>
          </cell>
          <cell r="E1495">
            <v>1712</v>
          </cell>
          <cell r="F1495" t="str">
            <v>Mon Aug 18 00:00:00 UTC 2025</v>
          </cell>
          <cell r="G1495" t="str">
            <v>3PTY</v>
          </cell>
          <cell r="H1495" t="str">
            <v>Active</v>
          </cell>
          <cell r="I1495" t="str">
            <v>POGALA,HAREESH</v>
          </cell>
          <cell r="J1495" t="str">
            <v>KBTS</v>
          </cell>
        </row>
        <row r="1496">
          <cell r="A1496">
            <v>206605136</v>
          </cell>
          <cell r="B1496" t="str">
            <v>fredrimw</v>
          </cell>
          <cell r="C1496" t="str">
            <v>MWANIKI,FREDRICK MWENDWA</v>
          </cell>
          <cell r="D1496">
            <v>12295594</v>
          </cell>
          <cell r="E1496">
            <v>1299</v>
          </cell>
          <cell r="F1496" t="str">
            <v>Mon Nov 17 00:00:00 UTC 2025</v>
          </cell>
          <cell r="G1496" t="str">
            <v>3PTY</v>
          </cell>
          <cell r="H1496" t="str">
            <v>Active</v>
          </cell>
          <cell r="I1496" t="str">
            <v>Lakkireddy,Sai Raghavendra Reddy</v>
          </cell>
          <cell r="J1496" t="str">
            <v>EFSV</v>
          </cell>
        </row>
        <row r="1497">
          <cell r="A1497">
            <v>206137344</v>
          </cell>
          <cell r="B1497" t="str">
            <v>opokderi</v>
          </cell>
          <cell r="C1497" t="str">
            <v>Opoku,Eric</v>
          </cell>
          <cell r="D1497">
            <v>314881</v>
          </cell>
          <cell r="E1497">
            <v>1299</v>
          </cell>
          <cell r="F1497" t="str">
            <v>Mon Sep 29 00:00:00 UTC 2025</v>
          </cell>
          <cell r="G1497" t="str">
            <v>3PTY</v>
          </cell>
          <cell r="H1497" t="str">
            <v>Active</v>
          </cell>
          <cell r="I1497" t="str">
            <v>Thomas,Binil</v>
          </cell>
          <cell r="J1497" t="str">
            <v>FLO</v>
          </cell>
        </row>
        <row r="1498">
          <cell r="A1498">
            <v>206174727</v>
          </cell>
          <cell r="B1498" t="str">
            <v>harickda</v>
          </cell>
          <cell r="C1498" t="str">
            <v>DANSO,HARICK</v>
          </cell>
          <cell r="D1498">
            <v>14065301</v>
          </cell>
          <cell r="E1498">
            <v>1299</v>
          </cell>
          <cell r="F1498" t="str">
            <v>Thu Oct 02 00:00:00 UTC 2025</v>
          </cell>
          <cell r="G1498" t="str">
            <v>3PTY</v>
          </cell>
          <cell r="H1498" t="str">
            <v>Active</v>
          </cell>
          <cell r="I1498" t="str">
            <v>Sohail,Anis</v>
          </cell>
          <cell r="J1498" t="str">
            <v>FLO</v>
          </cell>
        </row>
        <row r="1499">
          <cell r="A1499">
            <v>206192235</v>
          </cell>
          <cell r="B1499" t="str">
            <v>chirviol</v>
          </cell>
          <cell r="C1499" t="str">
            <v>chirchir,Viola chepkemboi</v>
          </cell>
          <cell r="D1499">
            <v>15081201</v>
          </cell>
          <cell r="E1499">
            <v>1299</v>
          </cell>
          <cell r="F1499" t="str">
            <v>Mon Oct 06 00:00:00 UTC 2025</v>
          </cell>
          <cell r="G1499" t="str">
            <v>3PTY</v>
          </cell>
          <cell r="H1499" t="str">
            <v>Active</v>
          </cell>
          <cell r="I1499" t="str">
            <v>Meera,Bava Bahrudeen</v>
          </cell>
          <cell r="J1499" t="str">
            <v>EFSV</v>
          </cell>
        </row>
        <row r="1500">
          <cell r="A1500">
            <v>203908328</v>
          </cell>
          <cell r="B1500" t="str">
            <v>ahabwebi</v>
          </cell>
          <cell r="C1500" t="str">
            <v>AHABWE,BISMARK</v>
          </cell>
          <cell r="D1500">
            <v>13297937</v>
          </cell>
          <cell r="E1500">
            <v>1299</v>
          </cell>
          <cell r="F1500" t="str">
            <v>Mon Sep 02 00:00:00 UTC 2024</v>
          </cell>
          <cell r="G1500" t="str">
            <v>3PTY</v>
          </cell>
          <cell r="H1500" t="str">
            <v>Active</v>
          </cell>
          <cell r="I1500" t="str">
            <v>Ansari,Ammar Abdullah</v>
          </cell>
          <cell r="J1500" t="str">
            <v>DULS</v>
          </cell>
        </row>
        <row r="1501">
          <cell r="A1501">
            <v>205133785</v>
          </cell>
          <cell r="B1501" t="str">
            <v>damatile</v>
          </cell>
          <cell r="C1501" t="str">
            <v>Damai,Tilesh</v>
          </cell>
          <cell r="D1501">
            <v>12935829</v>
          </cell>
          <cell r="E1501">
            <v>1299</v>
          </cell>
          <cell r="F1501" t="str">
            <v>Thu Apr 10 00:00:00 UTC 2025</v>
          </cell>
          <cell r="G1501" t="str">
            <v>3PTY</v>
          </cell>
          <cell r="H1501" t="str">
            <v>Active</v>
          </cell>
          <cell r="I1501" t="str">
            <v>Scaria,Varghese</v>
          </cell>
          <cell r="J1501" t="str">
            <v>EFSV</v>
          </cell>
        </row>
        <row r="1502">
          <cell r="A1502">
            <v>203160755</v>
          </cell>
          <cell r="B1502" t="str">
            <v>nawarara</v>
          </cell>
          <cell r="C1502" t="str">
            <v>RAI,NAWARAJ</v>
          </cell>
          <cell r="D1502">
            <v>13564999</v>
          </cell>
          <cell r="E1502">
            <v>1299</v>
          </cell>
          <cell r="F1502" t="str">
            <v>Sun Mar 31 00:00:00 UTC 2024</v>
          </cell>
          <cell r="G1502" t="str">
            <v>3PTY</v>
          </cell>
          <cell r="H1502" t="str">
            <v>Active</v>
          </cell>
          <cell r="I1502" t="str">
            <v>Akhtar,Muhammad Zohaib</v>
          </cell>
          <cell r="J1502" t="str">
            <v>WOFZ</v>
          </cell>
        </row>
        <row r="1503">
          <cell r="A1503">
            <v>203850881</v>
          </cell>
          <cell r="B1503" t="str">
            <v>kawenahm</v>
          </cell>
          <cell r="C1503" t="str">
            <v>Ahmed,Kawenja Swadiq</v>
          </cell>
          <cell r="D1503">
            <v>13807699</v>
          </cell>
          <cell r="E1503">
            <v>1299</v>
          </cell>
          <cell r="F1503" t="str">
            <v>Tue Aug 20 00:00:00 UTC 2024</v>
          </cell>
          <cell r="G1503" t="str">
            <v>3PTY</v>
          </cell>
          <cell r="H1503" t="str">
            <v>Active</v>
          </cell>
          <cell r="I1503" t="str">
            <v>Lakkireddy,Sai Raghavendra Reddy</v>
          </cell>
          <cell r="J1503" t="str">
            <v>DULS</v>
          </cell>
        </row>
        <row r="1504">
          <cell r="A1504">
            <v>204967143</v>
          </cell>
          <cell r="B1504" t="str">
            <v>ananecle</v>
          </cell>
          <cell r="C1504" t="str">
            <v>ANANE GEYI,CLEMENT</v>
          </cell>
          <cell r="D1504">
            <v>12378315</v>
          </cell>
          <cell r="E1504">
            <v>1299</v>
          </cell>
          <cell r="F1504" t="str">
            <v>Wed Jun 18 00:00:00 UTC 2025</v>
          </cell>
          <cell r="G1504" t="str">
            <v>3PTY</v>
          </cell>
          <cell r="H1504" t="str">
            <v>Active</v>
          </cell>
          <cell r="I1504" t="str">
            <v>Katyal,Varun</v>
          </cell>
          <cell r="J1504" t="str">
            <v>DULS</v>
          </cell>
        </row>
        <row r="1505">
          <cell r="A1505">
            <v>203468317</v>
          </cell>
          <cell r="B1505" t="str">
            <v>pdavadom</v>
          </cell>
          <cell r="C1505" t="str">
            <v>Adom,David Benjamin</v>
          </cell>
          <cell r="D1505">
            <v>15267234</v>
          </cell>
          <cell r="E1505">
            <v>1299</v>
          </cell>
          <cell r="F1505" t="str">
            <v>Thu Jun 13 00:00:00 UTC 2024</v>
          </cell>
          <cell r="G1505" t="str">
            <v>3PTY</v>
          </cell>
          <cell r="H1505" t="str">
            <v>Active</v>
          </cell>
          <cell r="I1505" t="str">
            <v>Katyal,Varun</v>
          </cell>
          <cell r="J1505" t="str">
            <v>FLO</v>
          </cell>
        </row>
        <row r="1506">
          <cell r="A1506">
            <v>206889907</v>
          </cell>
          <cell r="B1506" t="str">
            <v>bmaximki</v>
          </cell>
          <cell r="C1506" t="str">
            <v>KIPTUI,MAXIMILAR JEPCHUMBA</v>
          </cell>
          <cell r="D1506">
            <v>11727081</v>
          </cell>
          <cell r="E1506">
            <v>1299</v>
          </cell>
          <cell r="F1506" t="str">
            <v>Mon Jan 05 00:00:00 UTC 2026</v>
          </cell>
          <cell r="G1506" t="str">
            <v>3PTY</v>
          </cell>
          <cell r="H1506" t="str">
            <v>Active</v>
          </cell>
          <cell r="I1506" t="str">
            <v>Thomas,Binil</v>
          </cell>
          <cell r="J1506" t="str">
            <v>EFSV</v>
          </cell>
        </row>
        <row r="1507">
          <cell r="A1507">
            <v>203965181</v>
          </cell>
          <cell r="B1507" t="str">
            <v>mfatorib</v>
          </cell>
          <cell r="C1507" t="str">
            <v>Fatorma Dakowa,Ibrahim</v>
          </cell>
          <cell r="D1507">
            <v>14988038</v>
          </cell>
          <cell r="E1507">
            <v>1299</v>
          </cell>
          <cell r="F1507" t="str">
            <v>Mon Sep 09 00:00:00 UTC 2024</v>
          </cell>
          <cell r="G1507" t="str">
            <v>3PTY</v>
          </cell>
          <cell r="H1507" t="str">
            <v>Active</v>
          </cell>
          <cell r="I1507" t="str">
            <v>Thomas,Binil</v>
          </cell>
          <cell r="J1507" t="str">
            <v>FLO</v>
          </cell>
        </row>
        <row r="1508">
          <cell r="A1508">
            <v>206953811</v>
          </cell>
          <cell r="B1508" t="str">
            <v>allanmub</v>
          </cell>
          <cell r="C1508" t="str">
            <v>MUBANGIZI,ALLAN</v>
          </cell>
          <cell r="D1508">
            <v>13384849</v>
          </cell>
          <cell r="E1508">
            <v>1299</v>
          </cell>
          <cell r="F1508" t="str">
            <v>Mon Jan 26 00:00:00 UTC 2026</v>
          </cell>
          <cell r="G1508" t="str">
            <v>3PTY</v>
          </cell>
          <cell r="H1508" t="str">
            <v>Active</v>
          </cell>
          <cell r="I1508" t="str">
            <v>Meera,Bava Bahrudeen</v>
          </cell>
          <cell r="J1508" t="str">
            <v>DULS</v>
          </cell>
        </row>
        <row r="1509">
          <cell r="A1509">
            <v>203851103</v>
          </cell>
          <cell r="B1509" t="str">
            <v>tuajenic</v>
          </cell>
          <cell r="C1509" t="str">
            <v>Tucker,Ajenical Baby</v>
          </cell>
          <cell r="D1509">
            <v>13497098</v>
          </cell>
          <cell r="E1509">
            <v>1299</v>
          </cell>
          <cell r="F1509" t="str">
            <v>Tue Aug 20 00:00:00 UTC 2024</v>
          </cell>
          <cell r="G1509" t="str">
            <v>3PTY</v>
          </cell>
          <cell r="H1509" t="str">
            <v>Active</v>
          </cell>
          <cell r="I1509" t="str">
            <v>Lakkireddy,Sai Raghavendra Reddy</v>
          </cell>
          <cell r="J1509" t="str">
            <v>FLO</v>
          </cell>
        </row>
        <row r="1510">
          <cell r="A1510">
            <v>203800615</v>
          </cell>
          <cell r="B1510" t="str">
            <v>vokuma</v>
          </cell>
          <cell r="C1510" t="str">
            <v>Kumar,Vijay</v>
          </cell>
          <cell r="D1510">
            <v>14794369</v>
          </cell>
          <cell r="E1510">
            <v>1299</v>
          </cell>
          <cell r="F1510" t="str">
            <v>Fri Aug 09 00:00:00 UTC 2024</v>
          </cell>
          <cell r="G1510" t="str">
            <v>3PTY</v>
          </cell>
          <cell r="H1510" t="str">
            <v>Active</v>
          </cell>
          <cell r="I1510" t="str">
            <v>POGALA,HAREESH</v>
          </cell>
          <cell r="J1510" t="str">
            <v>KBTS</v>
          </cell>
        </row>
        <row r="1511">
          <cell r="A1511">
            <v>205638318</v>
          </cell>
          <cell r="B1511" t="str">
            <v>nishrail</v>
          </cell>
          <cell r="C1511" t="str">
            <v>Rai,Nishanta</v>
          </cell>
          <cell r="D1511">
            <v>12556448</v>
          </cell>
          <cell r="E1511">
            <v>1712</v>
          </cell>
          <cell r="F1511" t="str">
            <v>Tue Jul 08 00:00:00 UTC 2025</v>
          </cell>
          <cell r="G1511" t="str">
            <v>3PTY</v>
          </cell>
          <cell r="H1511" t="str">
            <v>Active</v>
          </cell>
          <cell r="I1511" t="str">
            <v>Rizvan,Mohamed</v>
          </cell>
          <cell r="J1511" t="str">
            <v>KBTS</v>
          </cell>
        </row>
        <row r="1512">
          <cell r="A1512">
            <v>204864416</v>
          </cell>
          <cell r="B1512" t="str">
            <v>adarkwno</v>
          </cell>
          <cell r="C1512" t="str">
            <v>ADARKWAH,NOAH</v>
          </cell>
          <cell r="D1512">
            <v>303658</v>
          </cell>
          <cell r="E1512">
            <v>1299</v>
          </cell>
          <cell r="F1512" t="str">
            <v>Mon Jan 27 00:00:00 UTC 2025</v>
          </cell>
          <cell r="G1512" t="str">
            <v>3PTY</v>
          </cell>
          <cell r="H1512" t="str">
            <v>Active</v>
          </cell>
          <cell r="I1512" t="str">
            <v>Meera,Bava Bahrudeen</v>
          </cell>
          <cell r="J1512" t="str">
            <v>DULS</v>
          </cell>
        </row>
        <row r="1513">
          <cell r="A1513">
            <v>207865019</v>
          </cell>
          <cell r="B1513" t="str">
            <v>keltnasr</v>
          </cell>
          <cell r="C1513" t="str">
            <v>Nasrulaev,Kelbiali</v>
          </cell>
          <cell r="D1513">
            <v>14664841</v>
          </cell>
          <cell r="E1513">
            <v>1200</v>
          </cell>
          <cell r="F1513" t="str">
            <v>Sun Jul 05 00:00:00 UTC 2026</v>
          </cell>
          <cell r="G1513" t="str">
            <v>3PTY</v>
          </cell>
          <cell r="H1513" t="str">
            <v>Active</v>
          </cell>
          <cell r="I1513" t="str">
            <v>Alhashmi,Abdulla</v>
          </cell>
          <cell r="J1513" t="str">
            <v>SSIS</v>
          </cell>
        </row>
        <row r="1514">
          <cell r="A1514">
            <v>205189275</v>
          </cell>
          <cell r="B1514" t="str">
            <v>jkapfere</v>
          </cell>
          <cell r="C1514" t="str">
            <v>Kapferer,Joachim</v>
          </cell>
          <cell r="D1514">
            <v>12565395</v>
          </cell>
          <cell r="E1514">
            <v>1200</v>
          </cell>
          <cell r="F1514" t="str">
            <v>Wed Jul 01 00:00:00 UTC 2026</v>
          </cell>
          <cell r="G1514" t="str">
            <v>3PTY</v>
          </cell>
          <cell r="H1514" t="str">
            <v>Active</v>
          </cell>
          <cell r="I1514" t="str">
            <v>Alhashmi,Abdulla</v>
          </cell>
          <cell r="J1514" t="str">
            <v>SSIS</v>
          </cell>
        </row>
        <row r="1515">
          <cell r="A1515">
            <v>203737010</v>
          </cell>
          <cell r="B1515" t="str">
            <v>ansafraz</v>
          </cell>
          <cell r="C1515" t="str">
            <v>Ansah,Francis Owusu</v>
          </cell>
          <cell r="D1515">
            <v>14899683</v>
          </cell>
          <cell r="E1515">
            <v>1299</v>
          </cell>
          <cell r="F1515" t="str">
            <v>Mon Jul 29 00:00:00 UTC 2024</v>
          </cell>
          <cell r="G1515" t="str">
            <v>3PTY</v>
          </cell>
          <cell r="H1515" t="str">
            <v>Active</v>
          </cell>
          <cell r="I1515" t="str">
            <v>Narshad,Muhammad Ashik</v>
          </cell>
          <cell r="J1515" t="str">
            <v>FLO</v>
          </cell>
        </row>
        <row r="1516">
          <cell r="A1516">
            <v>204009949</v>
          </cell>
          <cell r="B1516" t="str">
            <v>shrrabib</v>
          </cell>
          <cell r="C1516" t="str">
            <v>SHRESTHA,RABIN</v>
          </cell>
          <cell r="D1516">
            <v>13177384</v>
          </cell>
          <cell r="E1516">
            <v>1299</v>
          </cell>
          <cell r="F1516" t="str">
            <v>Mon May 12 00:00:00 UTC 2025</v>
          </cell>
          <cell r="G1516" t="str">
            <v>3PTY</v>
          </cell>
          <cell r="H1516" t="str">
            <v>Active</v>
          </cell>
          <cell r="I1516" t="str">
            <v>Ansari,Ammar Abdullah</v>
          </cell>
          <cell r="J1516" t="str">
            <v>DULS</v>
          </cell>
        </row>
        <row r="1517">
          <cell r="A1517">
            <v>205608624</v>
          </cell>
          <cell r="B1517" t="str">
            <v>kyeqeben</v>
          </cell>
          <cell r="C1517" t="str">
            <v>EBENEZER,KYEM STEPHEN</v>
          </cell>
          <cell r="D1517">
            <v>14253117</v>
          </cell>
          <cell r="E1517">
            <v>1299</v>
          </cell>
          <cell r="F1517" t="str">
            <v>Mon Jul 07 00:00:00 UTC 2025</v>
          </cell>
          <cell r="G1517" t="str">
            <v>3PTY</v>
          </cell>
          <cell r="H1517" t="str">
            <v>Active</v>
          </cell>
          <cell r="I1517" t="str">
            <v>Meera,Bava Bahrudeen</v>
          </cell>
          <cell r="J1517" t="str">
            <v>DULS</v>
          </cell>
        </row>
        <row r="1518">
          <cell r="A1518">
            <v>206953981</v>
          </cell>
          <cell r="B1518" t="str">
            <v>fsangula</v>
          </cell>
          <cell r="C1518" t="str">
            <v>SANGULAYA,FREDO</v>
          </cell>
          <cell r="D1518">
            <v>14006304</v>
          </cell>
          <cell r="E1518">
            <v>1299</v>
          </cell>
          <cell r="F1518" t="str">
            <v>Mon Jan 26 00:00:00 UTC 2026</v>
          </cell>
          <cell r="G1518" t="str">
            <v>3PTY</v>
          </cell>
          <cell r="H1518" t="str">
            <v>Active</v>
          </cell>
          <cell r="I1518" t="str">
            <v>Sohail,Anis</v>
          </cell>
          <cell r="J1518" t="str">
            <v>DULS</v>
          </cell>
        </row>
        <row r="1519">
          <cell r="A1519">
            <v>204137705</v>
          </cell>
          <cell r="B1519" t="str">
            <v>kufranc</v>
          </cell>
          <cell r="C1519" t="str">
            <v>Kuma,Francis</v>
          </cell>
          <cell r="D1519">
            <v>14985911</v>
          </cell>
          <cell r="E1519">
            <v>1299</v>
          </cell>
          <cell r="F1519" t="str">
            <v>Mon Sep 30 00:00:00 UTC 2024</v>
          </cell>
          <cell r="G1519" t="str">
            <v>3PTY</v>
          </cell>
          <cell r="H1519" t="str">
            <v>Active</v>
          </cell>
          <cell r="I1519" t="str">
            <v>Scaria,Varghese</v>
          </cell>
          <cell r="J1519" t="str">
            <v>QUES</v>
          </cell>
        </row>
        <row r="1520">
          <cell r="A1520">
            <v>206926479</v>
          </cell>
          <cell r="B1520" t="str">
            <v>huzamita</v>
          </cell>
          <cell r="C1520" t="str">
            <v>MITALA,HUZAIFAH</v>
          </cell>
          <cell r="D1520">
            <v>11170127</v>
          </cell>
          <cell r="E1520">
            <v>1299</v>
          </cell>
          <cell r="F1520" t="str">
            <v>Thu Jan 15 00:00:00 UTC 2026</v>
          </cell>
          <cell r="G1520" t="str">
            <v>3PTY</v>
          </cell>
          <cell r="H1520" t="str">
            <v>Active</v>
          </cell>
          <cell r="I1520" t="str">
            <v>Lakkireddy,Sai Raghavendra Reddy</v>
          </cell>
          <cell r="J1520" t="str">
            <v>DULS</v>
          </cell>
        </row>
        <row r="1521">
          <cell r="A1521">
            <v>205839583</v>
          </cell>
          <cell r="B1521" t="str">
            <v>tibainhd</v>
          </cell>
          <cell r="C1521" t="str">
            <v>TIBAINGANA,DAN</v>
          </cell>
          <cell r="D1521">
            <v>15164965</v>
          </cell>
          <cell r="E1521">
            <v>1299</v>
          </cell>
          <cell r="F1521" t="str">
            <v>Mon Aug 25 00:00:00 UTC 2025</v>
          </cell>
          <cell r="G1521" t="str">
            <v>3PTY</v>
          </cell>
          <cell r="H1521" t="str">
            <v>Active</v>
          </cell>
          <cell r="I1521" t="str">
            <v>Thomas,Binil</v>
          </cell>
          <cell r="J1521" t="str">
            <v>DULS</v>
          </cell>
        </row>
        <row r="1522">
          <cell r="A1522">
            <v>204246606</v>
          </cell>
          <cell r="B1522" t="str">
            <v>rosethea</v>
          </cell>
          <cell r="C1522" t="str">
            <v>Thea,Rose</v>
          </cell>
          <cell r="D1522">
            <v>12582349</v>
          </cell>
          <cell r="E1522">
            <v>1299</v>
          </cell>
          <cell r="F1522" t="str">
            <v>Mon Oct 14 00:00:00 UTC 2024</v>
          </cell>
          <cell r="G1522" t="str">
            <v>3PTY</v>
          </cell>
          <cell r="H1522" t="str">
            <v>Active</v>
          </cell>
          <cell r="I1522" t="str">
            <v>Katyal,Varun</v>
          </cell>
          <cell r="J1522" t="str">
            <v>QUES</v>
          </cell>
        </row>
        <row r="1523">
          <cell r="A1523">
            <v>203800445</v>
          </cell>
          <cell r="B1523" t="str">
            <v>nithapaa</v>
          </cell>
          <cell r="C1523" t="str">
            <v>THAPA,NIRAJAN</v>
          </cell>
          <cell r="D1523">
            <v>13873618</v>
          </cell>
          <cell r="E1523">
            <v>1299</v>
          </cell>
          <cell r="F1523" t="str">
            <v>Fri Aug 09 00:00:00 UTC 2024</v>
          </cell>
          <cell r="G1523" t="str">
            <v>3PTY</v>
          </cell>
          <cell r="H1523" t="str">
            <v>Active</v>
          </cell>
          <cell r="I1523" t="str">
            <v>Rajendran,Ajith Kumar</v>
          </cell>
          <cell r="J1523" t="str">
            <v>KBTS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W1407" totalsRowShown="0" headerRowDxfId="786" dataDxfId="784" headerRowBorderDxfId="785" tableBorderDxfId="783" totalsRowBorderDxfId="782" dataCellStyle="Percent">
  <tableColumns count="23">
    <tableColumn id="1" xr3:uid="{BCE29A67-12E8-4558-8580-3259C3F345D1}" name="S.No" dataDxfId="781" dataCellStyle="Percent"/>
    <tableColumn id="2" xr3:uid="{2A531BA2-670E-47B6-8C54-A268061DF0C4}" name="Psoft No" dataDxfId="780" dataCellStyle="Percent"/>
    <tableColumn id="3" xr3:uid="{5211A305-297F-4148-BFE0-A822C9572ABC}" name="AMZ ID" dataDxfId="779" dataCellStyle="Comma"/>
    <tableColumn id="4" xr3:uid="{3A164886-BB7E-4199-B547-D765B2D8E209}" name="EMP Name" dataDxfId="778" dataCellStyle="Comma"/>
    <tableColumn id="21" xr3:uid="{B96A5737-172D-4C27-A01A-D01707DF4279}" name="Employment Type" dataDxfId="777" dataCellStyle="Percent"/>
    <tableColumn id="5" xr3:uid="{5F7A53E1-02F5-47EB-81C8-97C09FA2B568}" name="Country" dataDxfId="776" dataCellStyle="Percent"/>
    <tableColumn id="7" xr3:uid="{200B394F-49B2-4204-9B36-0BE27E346183}" name="Building" dataDxfId="775" dataCellStyle="Percent"/>
    <tableColumn id="22" xr3:uid="{6940F9EF-2C19-4297-85AF-FB9B029F70F8}" name="LOB" dataDxfId="774" dataCellStyle="Percent"/>
    <tableColumn id="8" xr3:uid="{AD7FC9C0-1CB1-4924-8082-447C98D6207B}" name="Cost Center" dataDxfId="773" dataCellStyle="Percent"/>
    <tableColumn id="9" xr3:uid="{A2DF0313-D2EB-48E2-B0AE-440FDA42B3F4}" name="Shift" dataDxfId="772" dataCellStyle="Percent"/>
    <tableColumn id="23" xr3:uid="{4F2A0626-A831-4633-B9B7-D7736BC61A21}" name="Shift Difference" dataDxfId="771" dataCellStyle="Percent"/>
    <tableColumn id="10" xr3:uid="{3039464D-2B75-4E9D-8C2B-C45F2AE0EA25}" name="OFF1" dataDxfId="770" dataCellStyle="Percent"/>
    <tableColumn id="11" xr3:uid="{FB40016D-4358-4A88-BE20-305D2220A7D7}" name="OFF2" dataDxfId="769" dataCellStyle="Percent"/>
    <tableColumn id="12" xr3:uid="{9C11C26C-621B-47DA-8AD2-48E4EA7AF7F6}" name="Job Title" dataDxfId="768" dataCellStyle="Percent"/>
    <tableColumn id="13" xr3:uid="{78CCCED1-4589-4768-88FD-C337A4B51D57}" name="Department" dataDxfId="767" dataCellStyle="Percent"/>
    <tableColumn id="15" xr3:uid="{BF545AB2-BB16-462C-98B6-98B12CCDA3E2}" name="Type" dataDxfId="766" dataCellStyle="Percent"/>
    <tableColumn id="16" xr3:uid="{33176F9B-859A-4E8A-BFC8-2B3E80F765B1}" name="3P" dataDxfId="765" dataCellStyle="Percent"/>
    <tableColumn id="17" xr3:uid="{B16D20CA-C8D1-4A73-9FED-F32C03A7F7B1}" name="Line Manager Login" dataDxfId="764" dataCellStyle="Percent"/>
    <tableColumn id="18" xr3:uid="{EDBED78B-2E5D-4CAA-ADED-B7A17FBB7972}" name="Line Manager" dataDxfId="763" dataCellStyle="Percent"/>
    <tableColumn id="19" xr3:uid="{963E2666-A9AD-44A5-92DF-EE8BBB31D341}" name="Attendance" dataDxfId="762" dataCellStyle="Percent"/>
    <tableColumn id="20" xr3:uid="{B55677C2-AA17-4298-9607-D84F248BC1EA}" name="Remarks" dataDxfId="761" dataCellStyle="Percent"/>
    <tableColumn id="24" xr3:uid="{F0941C5C-C7C6-48D2-9385-5ECE49D31862}" name="DOJ" dataDxfId="760" dataCellStyle="Percent"/>
    <tableColumn id="25" xr3:uid="{1771362B-7773-4548-9495-CD299074DEFD}" name="Process Path" dataDxfId="759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topLeftCell="O2" zoomScale="80" zoomScaleNormal="85" workbookViewId="0">
      <selection activeCell="AB11" sqref="AB11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46" t="s">
        <v>64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66"/>
      <c r="O1" s="66"/>
      <c r="P1" s="66"/>
      <c r="Q1" s="66"/>
      <c r="R1" s="118"/>
      <c r="S1" s="119" t="s">
        <v>65</v>
      </c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1"/>
      <c r="AE1" s="118"/>
      <c r="AF1" s="119" t="s">
        <v>66</v>
      </c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1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26" t="s">
        <v>30</v>
      </c>
      <c r="I2" s="126"/>
      <c r="J2" s="126"/>
      <c r="K2" s="126"/>
      <c r="L2" s="126"/>
      <c r="M2" s="126"/>
      <c r="N2" s="67"/>
      <c r="O2" s="67"/>
      <c r="P2" s="67"/>
      <c r="Q2" s="67"/>
      <c r="R2" s="118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26" t="s">
        <v>30</v>
      </c>
      <c r="AA2" s="126"/>
      <c r="AB2" s="126"/>
      <c r="AC2" s="126"/>
      <c r="AD2" s="126"/>
      <c r="AE2" s="118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26" t="s">
        <v>30</v>
      </c>
      <c r="AN2" s="126"/>
      <c r="AO2" s="126"/>
      <c r="AP2" s="126"/>
      <c r="AQ2" s="127"/>
    </row>
    <row r="3" spans="1:43" s="9" customFormat="1" x14ac:dyDescent="0.35">
      <c r="A3" s="19">
        <v>1247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1187</v>
      </c>
      <c r="E3" s="11">
        <f>C3+D3</f>
        <v>1245</v>
      </c>
      <c r="F3" s="19">
        <f>E3</f>
        <v>1245</v>
      </c>
      <c r="G3" s="12">
        <f>E3/F3</f>
        <v>1</v>
      </c>
      <c r="H3" s="134"/>
      <c r="I3" s="116"/>
      <c r="J3" s="116"/>
      <c r="K3" s="116"/>
      <c r="L3" s="116"/>
      <c r="M3" s="116"/>
      <c r="R3" s="118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75</v>
      </c>
      <c r="W3" s="11">
        <f>U3+V3</f>
        <v>89</v>
      </c>
      <c r="X3" s="20">
        <f>W3</f>
        <v>89</v>
      </c>
      <c r="Y3" s="12">
        <f>W3/X3</f>
        <v>1</v>
      </c>
      <c r="Z3" s="135"/>
      <c r="AA3" s="136"/>
      <c r="AB3" s="136"/>
      <c r="AC3" s="136"/>
      <c r="AD3" s="137"/>
      <c r="AE3" s="118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16"/>
      <c r="AN3" s="116"/>
      <c r="AO3" s="116"/>
      <c r="AP3" s="116"/>
      <c r="AQ3" s="117"/>
    </row>
    <row r="4" spans="1:43" x14ac:dyDescent="0.3">
      <c r="A4" s="42">
        <f>Roster!B1</f>
        <v>46242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45"/>
      <c r="M4" s="117"/>
      <c r="N4" s="9"/>
      <c r="O4" s="9"/>
      <c r="P4" s="9"/>
      <c r="Q4" s="9"/>
      <c r="R4" s="118"/>
      <c r="S4" s="42">
        <f>Roster!B1</f>
        <v>46242</v>
      </c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7"/>
      <c r="AE4" s="118"/>
      <c r="AF4" s="42">
        <f>Roster!B1</f>
        <v>46242</v>
      </c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5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32"/>
      <c r="R5" s="118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38"/>
      <c r="AE5" s="118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32"/>
    </row>
    <row r="6" spans="1:43" x14ac:dyDescent="0.3">
      <c r="A6" s="11" t="s">
        <v>32</v>
      </c>
      <c r="B6" s="11">
        <f>COUNTIFS(Roster!G:G,"AUH1",Roster!P:P,"Direct",Roster!J:J,"Day Shift")</f>
        <v>675</v>
      </c>
      <c r="C6" s="11">
        <f>SUMIFS($D$12:$D$27,$B$12:$B$27,"Day Shift")</f>
        <v>167</v>
      </c>
      <c r="D6" s="11">
        <f>SUMIFS($K$12:$K$27,$B$12:$B$27,"Day Shift")</f>
        <v>508</v>
      </c>
      <c r="E6" s="11">
        <f>SUMIFS($E$12:$E$27,$B$12:$B$27,"Day Shift")</f>
        <v>53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0</v>
      </c>
      <c r="G6" s="11">
        <f>SUMIFS($H$12:$H$26,$B$12:$B$26,"Day Shift")+SUMIFS($I$12:$I$26,$B$12:$B$26,"Day Shift")</f>
        <v>18</v>
      </c>
      <c r="H6" s="11">
        <f>D6-E6-G6</f>
        <v>437</v>
      </c>
      <c r="I6" s="12">
        <f>H6/D6</f>
        <v>0.86023622047244097</v>
      </c>
      <c r="J6" s="21">
        <v>0.87426416819012798</v>
      </c>
      <c r="K6" s="12">
        <f>I6/J6</f>
        <v>0.98395456633350631</v>
      </c>
      <c r="L6" s="59"/>
      <c r="M6" s="132"/>
      <c r="N6" s="8"/>
      <c r="O6" s="8"/>
      <c r="P6" s="8"/>
      <c r="Q6" s="8"/>
      <c r="R6" s="118"/>
      <c r="S6" s="13" t="s">
        <v>32</v>
      </c>
      <c r="T6" s="11">
        <f>COUNTIFS(Roster!G:G,"AUH3",Roster!P:P,"Direct",Roster!J:J,"Day Shift")+COUNTIFS(Roster!G:G,"DDB1",Roster!P:P,"Direct",Roster!J:J,"Day Shift")</f>
        <v>38</v>
      </c>
      <c r="U6" s="11">
        <f>SUMIFS($V$12:$V$14,$T$12:$T$14,"Day Shift")</f>
        <v>11</v>
      </c>
      <c r="V6" s="11">
        <f>SUMIFS($AC$12:$AC$14,$T$12:$T$14,"Day Shift")</f>
        <v>27</v>
      </c>
      <c r="W6" s="11">
        <f>SUMIFS($W$12:$W$14,$T$12:$T$14,"Day Shift")</f>
        <v>2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1</v>
      </c>
      <c r="Z6" s="11">
        <f>V6-W6-Y6</f>
        <v>24</v>
      </c>
      <c r="AA6" s="12">
        <f>Z6/V6</f>
        <v>0.88888888888888884</v>
      </c>
      <c r="AB6" s="21">
        <v>0.90103448275862064</v>
      </c>
      <c r="AC6" s="12">
        <f>AA6/AB6</f>
        <v>0.98652038950546417</v>
      </c>
      <c r="AD6" s="139"/>
      <c r="AE6" s="118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32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32"/>
      <c r="N7" s="8"/>
      <c r="O7" s="8"/>
      <c r="P7" s="8"/>
      <c r="Q7" s="8"/>
      <c r="R7" s="118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39"/>
      <c r="AE7" s="118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32"/>
    </row>
    <row r="8" spans="1:43" x14ac:dyDescent="0.3">
      <c r="A8" s="11" t="s">
        <v>39</v>
      </c>
      <c r="B8" s="11">
        <f>COUNTIFS(Roster!G:G,"AUH1",Roster!P:P,"Direct",Roster!J:J,"Night Shift")</f>
        <v>570</v>
      </c>
      <c r="C8" s="11">
        <f>SUMIFS($D$12:$D$27,$B$12:$B$27,"Night Shift")</f>
        <v>163</v>
      </c>
      <c r="D8" s="11">
        <f>SUMIFS($K$12:$K$27,$B$12:$B$27,"Night Shift")</f>
        <v>407</v>
      </c>
      <c r="E8" s="11">
        <f>SUMIFS($E$12:$E$27,$B$12:$B$27,"Night Shift")</f>
        <v>40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13</v>
      </c>
      <c r="H8" s="11">
        <f>D8-E8-G8</f>
        <v>354</v>
      </c>
      <c r="I8" s="12">
        <f>H8/D8</f>
        <v>0.86977886977886976</v>
      </c>
      <c r="J8" s="21">
        <v>0.86776246719160111</v>
      </c>
      <c r="K8" s="12">
        <f>I8/J8</f>
        <v>1.0023236803428415</v>
      </c>
      <c r="L8" s="59"/>
      <c r="M8" s="132"/>
      <c r="N8" s="8"/>
      <c r="O8" s="8"/>
      <c r="P8" s="8"/>
      <c r="Q8" s="8"/>
      <c r="R8" s="118"/>
      <c r="S8" s="13" t="s">
        <v>39</v>
      </c>
      <c r="T8" s="11">
        <f>COUNTIFS(Roster!G:G,"AUH3",Roster!P:P,"Direct",Roster!J:J,"Night Shift")+COUNTIFS(Roster!G:G,"DDB1",Roster!P:P,"Direct",Roster!J:J,"Night Shift")</f>
        <v>51</v>
      </c>
      <c r="U8" s="11">
        <f>SUMIFS($V$12:$V$14,$T$12:$T$14,"Night Shift")</f>
        <v>16</v>
      </c>
      <c r="V8" s="11">
        <f>SUMIFS($AC$12:$AC$14,$T$12:$T$14,"Night Shift")</f>
        <v>35</v>
      </c>
      <c r="W8" s="11">
        <f>SUMIFS($W$12:$W$14,$T$12:$T$14,"Night Shift")</f>
        <v>1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1</v>
      </c>
      <c r="Z8" s="11">
        <f>V8-W8-Y8</f>
        <v>33</v>
      </c>
      <c r="AA8" s="12">
        <f>Z8/V8</f>
        <v>0.94285714285714284</v>
      </c>
      <c r="AB8" s="21">
        <v>0.8866666666666666</v>
      </c>
      <c r="AC8" s="12">
        <f>AA8/AB8</f>
        <v>1.0633727175080558</v>
      </c>
      <c r="AD8" s="139"/>
      <c r="AE8" s="118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3</v>
      </c>
      <c r="AI8" s="2">
        <f>SUMIFS($AP$12:$AP$15,$AG$12:$AG$15,"Night Shift")</f>
        <v>9</v>
      </c>
      <c r="AJ8" s="2">
        <f>SUMIFS($AJ$12:$AJ$15,$AG$12:$AG$15,"Night Shift")</f>
        <v>2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7</v>
      </c>
      <c r="AN8" s="15">
        <f>AM8/AI8</f>
        <v>0.77777777777777779</v>
      </c>
      <c r="AO8" s="22">
        <v>0.95679999999999998</v>
      </c>
      <c r="AP8" s="15">
        <f>AN8/AO8</f>
        <v>0.81289483463396506</v>
      </c>
      <c r="AQ8" s="132"/>
    </row>
    <row r="9" spans="1:43" x14ac:dyDescent="0.3">
      <c r="A9" s="34" t="s">
        <v>54</v>
      </c>
      <c r="B9" s="35">
        <f t="shared" ref="B9:H9" si="0">SUM(B6:B8)</f>
        <v>1245</v>
      </c>
      <c r="C9" s="35">
        <f t="shared" si="0"/>
        <v>330</v>
      </c>
      <c r="D9" s="35">
        <f t="shared" si="0"/>
        <v>915</v>
      </c>
      <c r="E9" s="35">
        <f t="shared" si="0"/>
        <v>93</v>
      </c>
      <c r="F9" s="35">
        <f t="shared" si="0"/>
        <v>0</v>
      </c>
      <c r="G9" s="35">
        <f>SUM(G6:G8)</f>
        <v>31</v>
      </c>
      <c r="H9" s="35">
        <f t="shared" si="0"/>
        <v>791</v>
      </c>
      <c r="I9" s="36">
        <f>H9/D9</f>
        <v>0.86448087431693987</v>
      </c>
      <c r="J9" s="36">
        <v>0.87159482758620688</v>
      </c>
      <c r="K9" s="36">
        <f>I9/J9</f>
        <v>0.991838004260571</v>
      </c>
      <c r="L9" s="61"/>
      <c r="M9" s="132"/>
      <c r="N9" s="8"/>
      <c r="O9" s="68"/>
      <c r="P9" s="69"/>
      <c r="Q9" s="8"/>
      <c r="R9" s="118"/>
      <c r="S9" s="33" t="s">
        <v>54</v>
      </c>
      <c r="T9" s="35">
        <f t="shared" ref="T9:Z9" si="1">SUM(T6:T8)</f>
        <v>89</v>
      </c>
      <c r="U9" s="35">
        <f t="shared" si="1"/>
        <v>27</v>
      </c>
      <c r="V9" s="35">
        <f t="shared" si="1"/>
        <v>62</v>
      </c>
      <c r="W9" s="35">
        <f t="shared" si="1"/>
        <v>3</v>
      </c>
      <c r="X9" s="35">
        <f t="shared" si="1"/>
        <v>0</v>
      </c>
      <c r="Y9" s="35">
        <f t="shared" si="1"/>
        <v>2</v>
      </c>
      <c r="Z9" s="35">
        <f t="shared" si="1"/>
        <v>57</v>
      </c>
      <c r="AA9" s="36">
        <f>Z9/V9</f>
        <v>0.91935483870967738</v>
      </c>
      <c r="AB9" s="36">
        <v>0.8930769230769231</v>
      </c>
      <c r="AC9" s="36">
        <f>AA9/AB9</f>
        <v>1.0294240226723346</v>
      </c>
      <c r="AD9" s="140"/>
      <c r="AE9" s="118"/>
      <c r="AF9" s="33" t="s">
        <v>54</v>
      </c>
      <c r="AG9" s="35">
        <f t="shared" ref="AG9:AM9" si="2">SUM(AG6:AG8)</f>
        <v>12</v>
      </c>
      <c r="AH9" s="35">
        <f t="shared" si="2"/>
        <v>3</v>
      </c>
      <c r="AI9" s="35">
        <f t="shared" si="2"/>
        <v>9</v>
      </c>
      <c r="AJ9" s="35">
        <f t="shared" si="2"/>
        <v>2</v>
      </c>
      <c r="AK9" s="35">
        <f t="shared" si="2"/>
        <v>0</v>
      </c>
      <c r="AL9" s="35">
        <f t="shared" si="2"/>
        <v>0</v>
      </c>
      <c r="AM9" s="35">
        <f t="shared" si="2"/>
        <v>7</v>
      </c>
      <c r="AN9" s="39">
        <f>AM9/AI9</f>
        <v>0.77777777777777779</v>
      </c>
      <c r="AO9" s="39">
        <f>AVERAGE(AO6,AO7,AO8)</f>
        <v>0.95483333333333331</v>
      </c>
      <c r="AP9" s="39">
        <f>AN9/AO9</f>
        <v>0.81456915110257755</v>
      </c>
      <c r="AQ9" s="132"/>
    </row>
    <row r="10" spans="1:43" x14ac:dyDescent="0.3">
      <c r="A10" s="13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45"/>
      <c r="M10" s="117"/>
      <c r="N10" s="9"/>
      <c r="O10" s="9"/>
      <c r="P10" s="9"/>
      <c r="Q10" s="9"/>
      <c r="R10" s="118"/>
      <c r="S10" s="141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3"/>
      <c r="AE10" s="118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32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1618</v>
      </c>
      <c r="N11" s="34" t="s">
        <v>1653</v>
      </c>
      <c r="O11" s="34" t="s">
        <v>1654</v>
      </c>
      <c r="P11" s="34" t="s">
        <v>1655</v>
      </c>
      <c r="Q11" s="34" t="s">
        <v>1656</v>
      </c>
      <c r="R11" s="118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18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16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15</v>
      </c>
      <c r="E12" s="11">
        <f>COUNTIFS(Roster!T:T,"PL",Roster!O:O,"ICQA",Roster!J:J,"Day Shift",Roster!P:P,"Direct",Roster!G:G,"AUH1")</f>
        <v>2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25</v>
      </c>
      <c r="H12" s="11">
        <f>COUNTIFS(Roster!T:T,"SL",Roster!O:O,"ICQA",Roster!J:J,"Day Shift",Roster!P:P,"Direct",Roster!G:G,"AUH1")</f>
        <v>1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28</v>
      </c>
      <c r="L12" s="62">
        <v>0.86405172413793108</v>
      </c>
      <c r="M12" s="12">
        <f t="shared" ref="M12:M28" si="3">(G12-F12)/(K12)</f>
        <v>0.8928571428571429</v>
      </c>
      <c r="N12" s="12">
        <f>G12/K12</f>
        <v>0.8928571428571429</v>
      </c>
      <c r="O12" s="12"/>
      <c r="P12" s="12"/>
      <c r="Q12" s="12"/>
      <c r="R12" s="118"/>
      <c r="S12" s="133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2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24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1</v>
      </c>
      <c r="AB12" s="11">
        <f>SUM(Y12:AA12,)+SUM(U12:W12)</f>
        <v>38</v>
      </c>
      <c r="AC12" s="11">
        <f>(AB12-V12)-U12-X12</f>
        <v>27</v>
      </c>
      <c r="AD12" s="16">
        <f>Y12/AC12</f>
        <v>0.88888888888888884</v>
      </c>
      <c r="AE12" s="118"/>
      <c r="AF12" s="133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47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18"/>
      <c r="S13" s="133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18"/>
      <c r="AF13" s="133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16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3</v>
      </c>
      <c r="E14" s="11">
        <f>COUNTIFS(Roster!T:T,"PL",Roster!O:O,"ICQA",Roster!J:J,"Night Shift",Roster!P:P,"Direct",Roster!G:G,"AUH1")</f>
        <v>0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4</v>
      </c>
      <c r="L14" s="62">
        <v>0.96750000000000003</v>
      </c>
      <c r="M14" s="12">
        <f t="shared" si="3"/>
        <v>1</v>
      </c>
      <c r="N14" s="12">
        <f t="shared" ref="N14:N28" si="5">G14/K14</f>
        <v>1</v>
      </c>
      <c r="O14" s="12"/>
      <c r="P14" s="12"/>
      <c r="Q14" s="12"/>
      <c r="R14" s="118"/>
      <c r="S14" s="133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16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1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33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1</v>
      </c>
      <c r="AB14" s="11">
        <f>SUM(Y14:AA14,)+SUM(U14:W14)</f>
        <v>51</v>
      </c>
      <c r="AC14" s="11">
        <f>(AB14-V14)-U14-X14</f>
        <v>35</v>
      </c>
      <c r="AD14" s="16">
        <f>Y14/AC14</f>
        <v>0.94285714285714284</v>
      </c>
      <c r="AE14" s="118"/>
      <c r="AF14" s="133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3</v>
      </c>
      <c r="AJ14" s="2">
        <f>COUNTIFS(Roster!T:T,"PL",Roster!O:O,"Warehouse Deals",Roster!J:J,"Night Shift",Roster!P:P,"Support",Roster!G:G,"DAD1")</f>
        <v>2</v>
      </c>
      <c r="AK14" s="2">
        <f>COUNTIFS(Roster!T:T,"P",Roster!O:O,"Warehouse Deals",Roster!J:J,"Night Shift",Roster!P:P,"Support",Roster!G:G,"DAD1")</f>
        <v>7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9</v>
      </c>
      <c r="AQ14" s="32">
        <f>AK14/AP14</f>
        <v>0.77777777777777779</v>
      </c>
    </row>
    <row r="15" spans="1:43" s="10" customFormat="1" x14ac:dyDescent="0.3">
      <c r="A15" s="125" t="s">
        <v>57</v>
      </c>
      <c r="B15" s="125"/>
      <c r="C15" s="23">
        <f t="shared" ref="C15:J15" si="6">SUM(C12:C14)</f>
        <v>0</v>
      </c>
      <c r="D15" s="23">
        <f t="shared" si="6"/>
        <v>18</v>
      </c>
      <c r="E15" s="23">
        <f t="shared" si="6"/>
        <v>2</v>
      </c>
      <c r="F15" s="23">
        <f t="shared" si="6"/>
        <v>0</v>
      </c>
      <c r="G15" s="24">
        <f t="shared" si="6"/>
        <v>29</v>
      </c>
      <c r="H15" s="23">
        <f t="shared" si="6"/>
        <v>1</v>
      </c>
      <c r="I15" s="23">
        <f t="shared" si="6"/>
        <v>0</v>
      </c>
      <c r="J15" s="23">
        <f t="shared" si="6"/>
        <v>50</v>
      </c>
      <c r="K15" s="23">
        <f>SUM(K12:K14)</f>
        <v>32</v>
      </c>
      <c r="L15" s="63">
        <v>0.87659090909090909</v>
      </c>
      <c r="M15" s="57">
        <f>(G15-F15)/(K15)</f>
        <v>0.90625</v>
      </c>
      <c r="N15" s="57">
        <f t="shared" si="5"/>
        <v>0.90625</v>
      </c>
      <c r="O15" s="85">
        <f>L15*K15</f>
        <v>28.050909090909091</v>
      </c>
      <c r="P15" s="85">
        <f>G15-F15</f>
        <v>29</v>
      </c>
      <c r="Q15" s="85">
        <f>P15-O15</f>
        <v>0.94909090909090921</v>
      </c>
      <c r="R15" s="118"/>
      <c r="S15" s="124" t="s">
        <v>59</v>
      </c>
      <c r="T15" s="125"/>
      <c r="U15" s="23">
        <f t="shared" ref="U15:AB15" si="7">SUM(U12:U14)</f>
        <v>0</v>
      </c>
      <c r="V15" s="23">
        <f t="shared" si="7"/>
        <v>27</v>
      </c>
      <c r="W15" s="23">
        <f t="shared" si="7"/>
        <v>3</v>
      </c>
      <c r="X15" s="23">
        <f>SUM(X12:X14)</f>
        <v>0</v>
      </c>
      <c r="Y15" s="24">
        <f t="shared" si="7"/>
        <v>57</v>
      </c>
      <c r="Z15" s="23">
        <f t="shared" si="7"/>
        <v>0</v>
      </c>
      <c r="AA15" s="23">
        <f t="shared" si="7"/>
        <v>2</v>
      </c>
      <c r="AB15" s="23">
        <f t="shared" si="7"/>
        <v>89</v>
      </c>
      <c r="AC15" s="23">
        <f>SUM(AC12:AC14)</f>
        <v>62</v>
      </c>
      <c r="AD15" s="25"/>
      <c r="AE15" s="118"/>
      <c r="AF15" s="128" t="s">
        <v>68</v>
      </c>
      <c r="AG15" s="129"/>
      <c r="AH15" s="27">
        <f t="shared" ref="AH15:AN15" si="8">SUM(AH12:AH14)</f>
        <v>0</v>
      </c>
      <c r="AI15" s="27">
        <f t="shared" si="8"/>
        <v>3</v>
      </c>
      <c r="AJ15" s="27">
        <f t="shared" si="8"/>
        <v>2</v>
      </c>
      <c r="AK15" s="26">
        <f t="shared" si="8"/>
        <v>7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9</v>
      </c>
      <c r="AQ15" s="122"/>
    </row>
    <row r="16" spans="1:43" ht="13.5" thickBot="1" x14ac:dyDescent="0.35">
      <c r="A16" s="151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35</v>
      </c>
      <c r="E16" s="54">
        <f>COUNTIFS(Roster!T:T,"PL",Roster!O:O,"Inbound",Roster!J:J,"Day Shift",Roster!P:P,"Direct",Roster!G:G,"AUH1")</f>
        <v>19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175</v>
      </c>
      <c r="H16" s="54">
        <f>COUNTIFS(Roster!T:T,"SL",Roster!O:O,"Inbound",Roster!J:J,"Day Shift",Roster!P:P,"Direct",Roster!G:G,"AUH1")</f>
        <v>4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5</v>
      </c>
      <c r="J16" s="54">
        <f t="shared" si="4"/>
        <v>238</v>
      </c>
      <c r="K16" s="54">
        <f>(J16-D16)-C16-F16</f>
        <v>203</v>
      </c>
      <c r="L16" s="62">
        <v>0.90027310924369752</v>
      </c>
      <c r="M16" s="12">
        <f t="shared" si="3"/>
        <v>0.86206896551724133</v>
      </c>
      <c r="N16" s="12">
        <f t="shared" si="5"/>
        <v>0.86206896551724133</v>
      </c>
      <c r="O16" s="98"/>
      <c r="P16" s="98"/>
      <c r="Q16" s="12"/>
      <c r="R16" s="118"/>
      <c r="S16" s="133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7"/>
      <c r="AE16" s="118"/>
      <c r="AF16" s="130" t="s">
        <v>54</v>
      </c>
      <c r="AG16" s="131"/>
      <c r="AH16" s="38">
        <f>AH15</f>
        <v>0</v>
      </c>
      <c r="AI16" s="38">
        <f t="shared" ref="AI16:AP16" si="9">AI15</f>
        <v>3</v>
      </c>
      <c r="AJ16" s="38">
        <f t="shared" si="9"/>
        <v>2</v>
      </c>
      <c r="AK16" s="38">
        <f t="shared" si="9"/>
        <v>7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9</v>
      </c>
      <c r="AQ16" s="123"/>
    </row>
    <row r="17" spans="1:43" hidden="1" x14ac:dyDescent="0.3">
      <c r="A17" s="152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8"/>
      <c r="P17" s="98"/>
      <c r="Q17" s="12"/>
      <c r="R17" s="118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18"/>
    </row>
    <row r="18" spans="1:43" x14ac:dyDescent="0.3">
      <c r="A18" s="147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19</v>
      </c>
      <c r="E18" s="11">
        <f>COUNTIFS(Roster!T:T,"PL",Roster!O:O,"Inbound",Roster!J:J,"Night Shift",Roster!P:P,"Direct",Roster!G:G,"AUH1")</f>
        <v>7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59</v>
      </c>
      <c r="H18" s="11">
        <f>COUNTIFS(Roster!T:T,"SL",Roster!O:O,"Inbound",Roster!J:J,"Night Shift",Roster!P:P,"Direct",Roster!G:G,"AUH1")</f>
        <v>1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0</v>
      </c>
      <c r="J18" s="11">
        <f t="shared" si="4"/>
        <v>86</v>
      </c>
      <c r="K18" s="54">
        <f>(J18-D18)-C18-F18</f>
        <v>67</v>
      </c>
      <c r="L18" s="62">
        <v>0.90500000000000003</v>
      </c>
      <c r="M18" s="12">
        <f t="shared" si="3"/>
        <v>0.88059701492537312</v>
      </c>
      <c r="N18" s="12">
        <f t="shared" si="5"/>
        <v>0.88059701492537312</v>
      </c>
      <c r="O18" s="98"/>
      <c r="P18" s="98"/>
      <c r="Q18" s="12"/>
      <c r="R18" s="118"/>
      <c r="S18" s="133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7</v>
      </c>
      <c r="W18" s="11">
        <f>COUNTIFS(Roster!G:G,"AUH3",Roster!P:P,"Direct",Roster!T:T,"PL",Roster!E:E,"Regular")+COUNTIFS(Roster!G:G,"DDB1",Roster!P:P,"Direct",Roster!T:T,"PL",Roster!E:E,"Regular")</f>
        <v>2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5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7</v>
      </c>
      <c r="AD18" s="16">
        <f>Y18/AC18</f>
        <v>0.7142857142857143</v>
      </c>
      <c r="AE18" s="118"/>
      <c r="AL18" s="7">
        <f>1443+83</f>
        <v>1526</v>
      </c>
    </row>
    <row r="19" spans="1:43" s="10" customFormat="1" x14ac:dyDescent="0.3">
      <c r="A19" s="125" t="s">
        <v>70</v>
      </c>
      <c r="B19" s="125"/>
      <c r="C19" s="23">
        <f>SUM(C16:C18)</f>
        <v>0</v>
      </c>
      <c r="D19" s="23">
        <f t="shared" ref="D19:J19" si="10">SUM(D16:D18)</f>
        <v>54</v>
      </c>
      <c r="E19" s="23">
        <f>SUM(E16:E18)</f>
        <v>26</v>
      </c>
      <c r="F19" s="23">
        <f>SUM(F16:F18)</f>
        <v>0</v>
      </c>
      <c r="G19" s="24">
        <f t="shared" si="10"/>
        <v>234</v>
      </c>
      <c r="H19" s="23">
        <f t="shared" si="10"/>
        <v>5</v>
      </c>
      <c r="I19" s="23">
        <f t="shared" si="10"/>
        <v>5</v>
      </c>
      <c r="J19" s="23">
        <f t="shared" si="10"/>
        <v>324</v>
      </c>
      <c r="K19" s="23">
        <f>SUM(K16:K18)</f>
        <v>270</v>
      </c>
      <c r="L19" s="63">
        <v>0.90106643356643357</v>
      </c>
      <c r="M19" s="57">
        <f>(G19-F19)/(K19)</f>
        <v>0.8666666666666667</v>
      </c>
      <c r="N19" s="57">
        <f t="shared" si="5"/>
        <v>0.8666666666666667</v>
      </c>
      <c r="O19" s="85">
        <f>L19*K19</f>
        <v>243.28793706293706</v>
      </c>
      <c r="P19" s="85">
        <f>G19-F19</f>
        <v>234</v>
      </c>
      <c r="Q19" s="85">
        <f>P19-O19</f>
        <v>-9.2879370629370612</v>
      </c>
      <c r="R19" s="118"/>
      <c r="S19" s="133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20</v>
      </c>
      <c r="W19" s="11">
        <f>COUNTIFS(Roster!G:G,"AUH3",Roster!P:P,"Direct",Roster!T:T,"PL",Roster!E:E,"Temporary")+COUNTIFS(Roster!G:G,"DDB1",Roster!P:P,"Direct",Roster!T:T,"PL",Roster!E:E,"Temporary")</f>
        <v>1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52</v>
      </c>
      <c r="Z19" s="11">
        <f>COUNTIFS(Roster!G:G,"AUH3",Roster!P:P,"Direct",Roster!T:T,"SL",Roster!E:E,"Temporary")+COUNTIFS(Roster!G:G,"DDB1",Roster!P:P,"Direct",Roster!T:T,"SL",Roster!E:E,"Temporary")</f>
        <v>0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2</v>
      </c>
      <c r="AB19" s="11">
        <f>SUM(Y19:AA19,)+SUM(U19:W19)</f>
        <v>75</v>
      </c>
      <c r="AC19" s="11">
        <f>(AB19-V19)-U19</f>
        <v>55</v>
      </c>
      <c r="AD19" s="16">
        <f>Y19/AC19</f>
        <v>0.94545454545454544</v>
      </c>
      <c r="AE19" s="118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16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79</v>
      </c>
      <c r="E20" s="11">
        <f>COUNTIFS(Roster!T:T,"PL",Roster!O:O,"Outbound",Roster!J:J,"Day Shift",Roster!P:P,"Direct",Roster!G:G,"AUH1")</f>
        <v>23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151</v>
      </c>
      <c r="H20" s="11">
        <f>COUNTIFS(Roster!T:T,"SL",Roster!O:O,"Outbound",Roster!J:J,"Day Shift",Roster!P:P,"Direct",Roster!G:G,"AUH1")</f>
        <v>4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3</v>
      </c>
      <c r="J20" s="11">
        <f>SUM(G20:I20,)+SUM(C20:E20)</f>
        <v>260</v>
      </c>
      <c r="K20" s="11">
        <f>(J20-D20)-C20-F20</f>
        <v>181</v>
      </c>
      <c r="L20" s="62">
        <v>0.84662087912087913</v>
      </c>
      <c r="M20" s="12">
        <f t="shared" si="3"/>
        <v>0.83425414364640882</v>
      </c>
      <c r="N20" s="12">
        <f t="shared" si="5"/>
        <v>0.83425414364640882</v>
      </c>
      <c r="O20" s="98"/>
      <c r="P20" s="98"/>
      <c r="Q20" s="12"/>
      <c r="R20" s="118"/>
      <c r="S20" s="124" t="s">
        <v>59</v>
      </c>
      <c r="T20" s="125"/>
      <c r="U20" s="23">
        <f t="shared" ref="U20:AA20" si="11">SUM(U17:U19)</f>
        <v>0</v>
      </c>
      <c r="V20" s="23">
        <f t="shared" si="11"/>
        <v>27</v>
      </c>
      <c r="W20" s="23">
        <f t="shared" si="11"/>
        <v>3</v>
      </c>
      <c r="X20" s="23">
        <f t="shared" si="11"/>
        <v>0</v>
      </c>
      <c r="Y20" s="24">
        <f t="shared" si="11"/>
        <v>57</v>
      </c>
      <c r="Z20" s="23">
        <f t="shared" si="11"/>
        <v>0</v>
      </c>
      <c r="AA20" s="23">
        <f t="shared" si="11"/>
        <v>2</v>
      </c>
      <c r="AB20" s="23">
        <f>SUM(AB17:AB19)</f>
        <v>89</v>
      </c>
      <c r="AC20" s="23">
        <f>SUM(AC18:AC19)</f>
        <v>62</v>
      </c>
      <c r="AD20" s="25"/>
      <c r="AE20" s="118"/>
    </row>
    <row r="21" spans="1:43" hidden="1" x14ac:dyDescent="0.3">
      <c r="A21" s="147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8"/>
      <c r="P21" s="98"/>
      <c r="Q21" s="12"/>
      <c r="R21" s="118"/>
      <c r="S21" s="133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7"/>
      <c r="AE21" s="118"/>
    </row>
    <row r="22" spans="1:43" ht="24" x14ac:dyDescent="0.3">
      <c r="A22" s="153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116</v>
      </c>
      <c r="E22" s="54">
        <f>COUNTIFS(Roster!T:T,"PL",Roster!O:O,"Outbound",Roster!J:J,"Night Shift",Roster!P:P,"Direct",Roster!G:G,"AUH1")</f>
        <v>28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235</v>
      </c>
      <c r="H22" s="54">
        <f>COUNTIFS(Roster!T:T,"SL",Roster!O:O,"Outbound",Roster!J:J,"Night Shift",Roster!P:P,"Direct",Roster!G:G,"AUH1")</f>
        <v>10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2</v>
      </c>
      <c r="J22" s="54">
        <f t="shared" si="4"/>
        <v>391</v>
      </c>
      <c r="K22" s="54">
        <f>(J22-D22)-C22-F22</f>
        <v>275</v>
      </c>
      <c r="L22" s="62">
        <v>0.85310885608856091</v>
      </c>
      <c r="M22" s="65">
        <f t="shared" si="3"/>
        <v>0.8545454545454545</v>
      </c>
      <c r="N22" s="65">
        <f t="shared" si="5"/>
        <v>0.8545454545454545</v>
      </c>
      <c r="O22" s="99"/>
      <c r="P22" s="99"/>
      <c r="Q22" s="12"/>
      <c r="R22" s="118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48"/>
      <c r="AE22" s="118"/>
    </row>
    <row r="23" spans="1:43" s="10" customFormat="1" x14ac:dyDescent="0.3">
      <c r="A23" s="125" t="s">
        <v>58</v>
      </c>
      <c r="B23" s="125"/>
      <c r="C23" s="23">
        <f t="shared" ref="C23:J23" si="12">SUM(C20:C22)</f>
        <v>0</v>
      </c>
      <c r="D23" s="23">
        <f t="shared" si="12"/>
        <v>195</v>
      </c>
      <c r="E23" s="23">
        <f t="shared" si="12"/>
        <v>51</v>
      </c>
      <c r="F23" s="23">
        <f>SUM(F20:F22)</f>
        <v>0</v>
      </c>
      <c r="G23" s="24">
        <f t="shared" si="12"/>
        <v>386</v>
      </c>
      <c r="H23" s="23">
        <f t="shared" si="12"/>
        <v>14</v>
      </c>
      <c r="I23" s="23">
        <f t="shared" si="12"/>
        <v>5</v>
      </c>
      <c r="J23" s="23">
        <f t="shared" si="12"/>
        <v>651</v>
      </c>
      <c r="K23" s="23">
        <f>SUM(K20:K22)</f>
        <v>456</v>
      </c>
      <c r="L23" s="63">
        <v>0.85050220750551875</v>
      </c>
      <c r="M23" s="57">
        <v>0.88060344827586201</v>
      </c>
      <c r="N23" s="57">
        <f t="shared" si="5"/>
        <v>0.84649122807017541</v>
      </c>
      <c r="O23" s="85">
        <f>L23*K23</f>
        <v>387.82900662251654</v>
      </c>
      <c r="P23" s="85">
        <f>G23-F23</f>
        <v>386</v>
      </c>
      <c r="Q23" s="85">
        <f>P23-O23</f>
        <v>-1.8290066225165447</v>
      </c>
      <c r="R23" s="118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7</v>
      </c>
      <c r="V23" s="11">
        <f>SUMIFS($AC$18:$AC$19,$T$18:$T$19,"Regular")</f>
        <v>7</v>
      </c>
      <c r="W23" s="11">
        <f>COUNTIFS(Roster!G:G,"AUH3",Roster!E:E,"Regular",Roster!T:T,"PL",Roster!P:P,"Direct")+COUNTIFS(Roster!G:G,"DDB1",Roster!E:E,"Regular",Roster!T:T,"PL",Roster!P:P,"Direct")</f>
        <v>2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5</v>
      </c>
      <c r="AA23" s="12">
        <f>Z23/V23</f>
        <v>0.7142857142857143</v>
      </c>
      <c r="AB23" s="21">
        <v>0.92384615384615376</v>
      </c>
      <c r="AC23" s="12">
        <f>AA23/AB23</f>
        <v>0.77316521945997396</v>
      </c>
      <c r="AD23" s="149"/>
      <c r="AE23" s="118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16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38</v>
      </c>
      <c r="E24" s="11">
        <f>COUNTIFS(Roster!T:T,"PL",Roster!O:O,"CRET",Roster!J:J,"Day Shift",Roster!P:P,"Direct",Roster!G:G,"AUH1")</f>
        <v>9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86</v>
      </c>
      <c r="H24" s="11">
        <f>COUNTIFS(Roster!T:T,"SL",Roster!O:O,"CRET",Roster!J:J,"Day Shift",Roster!P:P,"Direct",Roster!G:G,"AUH1")</f>
        <v>1</v>
      </c>
      <c r="I24" s="11">
        <f>COUNTIFS(Roster!T:T,"AB",Roster!O:O,"CRET",Roster!J:J,"Day Shift",Roster!P:P,"Direct",Roster!G:G,"AUH1")+COUNTIFS(Roster!T:T,"ABWI",Roster!O:O,"CRET",Roster!J:J,"Day Shift",Roster!P:P,"Direct",Roster!G:G,"AUH1")</f>
        <v>0</v>
      </c>
      <c r="J24" s="11">
        <f t="shared" si="4"/>
        <v>134</v>
      </c>
      <c r="K24" s="11">
        <f>(J24-D24)-C24-F24</f>
        <v>96</v>
      </c>
      <c r="L24" s="62">
        <v>0.86545918367346941</v>
      </c>
      <c r="M24" s="12">
        <f t="shared" si="3"/>
        <v>0.89583333333333337</v>
      </c>
      <c r="N24" s="12">
        <f t="shared" si="5"/>
        <v>0.89583333333333337</v>
      </c>
      <c r="O24" s="98"/>
      <c r="P24" s="98"/>
      <c r="Q24" s="12"/>
      <c r="R24" s="118"/>
      <c r="S24" s="17" t="s">
        <v>31</v>
      </c>
      <c r="T24" s="18">
        <f>COUNTIFS(Roster!G:G,"AUH3",Roster!E:E,"Temporary")+COUNTIFS(Roster!G:G,"DDB1",Roster!E:E,"Temporary",Roster!P:P,"Direct")</f>
        <v>75</v>
      </c>
      <c r="U24" s="18">
        <f>COUNTIFS(Roster!G:G,"AUH3",Roster!E:E,"Temporary",Roster!T:T,"OFF",Roster!P:P,"Direct")+COUNTIFS(Roster!G:G,"DDB1",Roster!E:E,"Temporary",Roster!T:T,"OFF",Roster!P:P,"Direct")</f>
        <v>20</v>
      </c>
      <c r="V24" s="18">
        <f>SUMIFS($AC$18:$AC$19,$T$18:$T$19,"Temporary")</f>
        <v>55</v>
      </c>
      <c r="W24" s="18">
        <f>COUNTIFS(Roster!G:G,"AUH3",Roster!E:E,"Temporary",Roster!T:T,"PL",Roster!P:P,"Direct")+COUNTIFS(Roster!G:G,"DDB1",Roster!E:E,"Temporary",Roster!T:T,"PL",Roster!P:P,"Direct")</f>
        <v>1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2</v>
      </c>
      <c r="Z24" s="18">
        <f>V24-W24-Y24</f>
        <v>52</v>
      </c>
      <c r="AA24" s="12">
        <f>Z24/V24</f>
        <v>0.94545454545454544</v>
      </c>
      <c r="AB24" s="21">
        <v>0.90181818181818185</v>
      </c>
      <c r="AC24" s="12">
        <f>AA24/AB24</f>
        <v>1.0483870967741935</v>
      </c>
      <c r="AD24" s="150"/>
      <c r="AE24" s="118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47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8"/>
      <c r="P25" s="98"/>
      <c r="Q25" s="12"/>
      <c r="R25" s="118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18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16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25</v>
      </c>
      <c r="E26" s="11">
        <f>COUNTIFS(Roster!T:T,"PL",Roster!O:O,"CRET",Roster!J:J,"Night Shift",Roster!P:P,"Direct",Roster!G:G,"AUH1")</f>
        <v>5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56</v>
      </c>
      <c r="H26" s="11">
        <f>COUNTIFS(Roster!T:T,"SL",Roster!O:O,"CRET",Roster!J:J,"Night Shift",Roster!P:P,"Direct",Roster!G:G,"AUH1")</f>
        <v>0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61</v>
      </c>
      <c r="L26" s="62">
        <v>0.89853448275862069</v>
      </c>
      <c r="M26" s="12">
        <f t="shared" si="3"/>
        <v>0.91803278688524592</v>
      </c>
      <c r="N26" s="12">
        <f t="shared" si="5"/>
        <v>0.91803278688524592</v>
      </c>
      <c r="O26" s="98"/>
      <c r="P26" s="98"/>
      <c r="Q26" s="12"/>
      <c r="R26" s="118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18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25" t="s">
        <v>69</v>
      </c>
      <c r="B27" s="125"/>
      <c r="C27" s="23">
        <f t="shared" ref="C27:J27" si="13">SUM(C24:C26)</f>
        <v>0</v>
      </c>
      <c r="D27" s="23">
        <f t="shared" si="13"/>
        <v>63</v>
      </c>
      <c r="E27" s="23">
        <f t="shared" si="13"/>
        <v>14</v>
      </c>
      <c r="F27" s="23">
        <f>SUM(F24:F26)</f>
        <v>0</v>
      </c>
      <c r="G27" s="24">
        <f t="shared" si="13"/>
        <v>142</v>
      </c>
      <c r="H27" s="23">
        <f t="shared" si="13"/>
        <v>1</v>
      </c>
      <c r="I27" s="23">
        <f t="shared" si="13"/>
        <v>0</v>
      </c>
      <c r="J27" s="23">
        <f t="shared" si="13"/>
        <v>220</v>
      </c>
      <c r="K27" s="23">
        <f>SUM(K24:K26)</f>
        <v>157</v>
      </c>
      <c r="L27" s="63">
        <v>0.87775641025641027</v>
      </c>
      <c r="M27" s="57">
        <f t="shared" si="3"/>
        <v>0.90445859872611467</v>
      </c>
      <c r="N27" s="63">
        <f t="shared" si="5"/>
        <v>0.90445859872611467</v>
      </c>
      <c r="O27" s="85">
        <f>L27*K27</f>
        <v>137.80775641025642</v>
      </c>
      <c r="P27" s="85">
        <f>G27-F27</f>
        <v>142</v>
      </c>
      <c r="Q27" s="85">
        <f>P27-O27</f>
        <v>4.1922435897435832</v>
      </c>
      <c r="R27" s="118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18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44" t="s">
        <v>54</v>
      </c>
      <c r="B28" s="144"/>
      <c r="C28" s="50">
        <f t="shared" ref="C28:J28" si="14">C15+C19+C23+C27</f>
        <v>0</v>
      </c>
      <c r="D28" s="50">
        <f t="shared" si="14"/>
        <v>330</v>
      </c>
      <c r="E28" s="50">
        <f t="shared" si="14"/>
        <v>93</v>
      </c>
      <c r="F28" s="50">
        <f t="shared" si="14"/>
        <v>0</v>
      </c>
      <c r="G28" s="50">
        <f t="shared" si="14"/>
        <v>791</v>
      </c>
      <c r="H28" s="50">
        <f t="shared" si="14"/>
        <v>21</v>
      </c>
      <c r="I28" s="50">
        <f t="shared" si="14"/>
        <v>10</v>
      </c>
      <c r="J28" s="50">
        <f t="shared" si="14"/>
        <v>1245</v>
      </c>
      <c r="K28" s="50">
        <f>K15+K19+K23+K27</f>
        <v>915</v>
      </c>
      <c r="L28" s="36">
        <f>J9</f>
        <v>0.87159482758620688</v>
      </c>
      <c r="M28" s="64">
        <f t="shared" si="3"/>
        <v>0.86448087431693987</v>
      </c>
      <c r="N28" s="64">
        <f t="shared" si="5"/>
        <v>0.86448087431693987</v>
      </c>
      <c r="O28" s="85">
        <f>L28*K28</f>
        <v>797.50926724137935</v>
      </c>
      <c r="P28" s="85">
        <f>G28-F28</f>
        <v>791</v>
      </c>
      <c r="Q28" s="86">
        <f>P28-O28</f>
        <v>-6.509267241379348</v>
      </c>
      <c r="R28" s="118"/>
      <c r="AE28" s="118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  <mergeCell ref="H2:M2"/>
    <mergeCell ref="H3:M3"/>
    <mergeCell ref="Z2:AD2"/>
    <mergeCell ref="Z3:AD3"/>
    <mergeCell ref="A15:B15"/>
    <mergeCell ref="S12:S14"/>
    <mergeCell ref="AD5:AD9"/>
    <mergeCell ref="S10:AD10"/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7"/>
  <sheetViews>
    <sheetView tabSelected="1" topLeftCell="A6" zoomScale="70" zoomScaleNormal="70" workbookViewId="0">
      <selection activeCell="C8" sqref="C8"/>
    </sheetView>
  </sheetViews>
  <sheetFormatPr defaultColWidth="13.54296875" defaultRowHeight="13" customHeight="1" x14ac:dyDescent="0.35"/>
  <cols>
    <col min="1" max="1" width="5.81640625" customWidth="1"/>
    <col min="2" max="2" width="13.453125" bestFit="1" customWidth="1"/>
    <col min="3" max="3" width="12.453125" bestFit="1" customWidth="1"/>
    <col min="4" max="4" width="37.453125" bestFit="1" customWidth="1"/>
    <col min="5" max="5" width="20.36328125" bestFit="1" customWidth="1"/>
    <col min="6" max="6" width="13.08984375" bestFit="1" customWidth="1"/>
    <col min="7" max="7" width="12.90625" bestFit="1" customWidth="1"/>
    <col min="8" max="8" width="10.1796875" bestFit="1" customWidth="1"/>
    <col min="9" max="9" width="8.7265625" bestFit="1" customWidth="1"/>
    <col min="10" max="10" width="10.6328125" bestFit="1" customWidth="1"/>
    <col min="11" max="11" width="11.453125" bestFit="1" customWidth="1"/>
    <col min="12" max="13" width="11" bestFit="1" customWidth="1"/>
    <col min="14" max="14" width="22.1796875" bestFit="1" customWidth="1"/>
    <col min="15" max="15" width="12.453125" customWidth="1"/>
    <col min="16" max="16" width="10.7265625" bestFit="1" customWidth="1"/>
    <col min="17" max="17" width="9.1796875" bestFit="1" customWidth="1"/>
    <col min="18" max="18" width="14.36328125" bestFit="1" customWidth="1"/>
    <col min="19" max="19" width="23.90625" bestFit="1" customWidth="1"/>
    <col min="20" max="20" width="15.6328125" style="56" bestFit="1" customWidth="1"/>
    <col min="21" max="21" width="20.453125" bestFit="1" customWidth="1"/>
    <col min="22" max="22" width="10.08984375" bestFit="1" customWidth="1"/>
    <col min="23" max="23" width="16.36328125" bestFit="1" customWidth="1"/>
  </cols>
  <sheetData>
    <row r="1" spans="1:23" ht="13" customHeight="1" thickBot="1" x14ac:dyDescent="0.4">
      <c r="A1" s="43" t="s">
        <v>0</v>
      </c>
      <c r="B1" s="44">
        <v>46242</v>
      </c>
      <c r="C1" s="45" t="str">
        <f>TEXT(B1,"dddd")</f>
        <v>Saturday</v>
      </c>
      <c r="Q1" s="1" t="s">
        <v>1</v>
      </c>
      <c r="R1" s="2" t="s">
        <v>2</v>
      </c>
      <c r="S1" s="2" t="s">
        <v>3</v>
      </c>
      <c r="T1"/>
    </row>
    <row r="2" spans="1:23" ht="13" customHeight="1" x14ac:dyDescent="0.35">
      <c r="Q2" s="3" t="s">
        <v>4</v>
      </c>
      <c r="R2" s="2" t="s">
        <v>5</v>
      </c>
      <c r="S2" s="2" t="s">
        <v>6</v>
      </c>
      <c r="T2"/>
    </row>
    <row r="3" spans="1:23" ht="13" customHeight="1" x14ac:dyDescent="0.35">
      <c r="Q3" s="4" t="s">
        <v>7</v>
      </c>
      <c r="R3" s="2" t="s">
        <v>8</v>
      </c>
      <c r="S3" s="5" t="s">
        <v>9</v>
      </c>
      <c r="T3"/>
    </row>
    <row r="4" spans="1:23" ht="13" customHeight="1" x14ac:dyDescent="0.35">
      <c r="Q4" s="72" t="s">
        <v>10</v>
      </c>
      <c r="R4" s="2" t="s">
        <v>11</v>
      </c>
      <c r="S4" s="6">
        <v>0</v>
      </c>
      <c r="T4"/>
    </row>
    <row r="5" spans="1:23" ht="13" customHeight="1" x14ac:dyDescent="0.35">
      <c r="J5" t="s">
        <v>2791</v>
      </c>
      <c r="T5"/>
    </row>
    <row r="6" spans="1:23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2559</v>
      </c>
      <c r="U6" s="70" t="s">
        <v>30</v>
      </c>
      <c r="V6" s="70" t="s">
        <v>16</v>
      </c>
      <c r="W6" s="70" t="s">
        <v>25</v>
      </c>
    </row>
    <row r="7" spans="1:23" ht="13" customHeight="1" x14ac:dyDescent="0.35">
      <c r="A7" s="11">
        <v>1</v>
      </c>
      <c r="B7" s="47">
        <v>206875258</v>
      </c>
      <c r="C7" s="94" t="s">
        <v>1766</v>
      </c>
      <c r="D7" s="11" t="s">
        <v>1767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2819</v>
      </c>
      <c r="T7" s="90" t="s">
        <v>1</v>
      </c>
      <c r="U7" s="89"/>
      <c r="V7" s="51">
        <v>46051</v>
      </c>
      <c r="W7" s="11" t="s">
        <v>1601</v>
      </c>
    </row>
    <row r="8" spans="1:23" ht="13" customHeight="1" x14ac:dyDescent="0.35">
      <c r="A8" s="11">
        <v>2</v>
      </c>
      <c r="B8" s="47">
        <v>206873715</v>
      </c>
      <c r="C8" s="94" t="s">
        <v>1756</v>
      </c>
      <c r="D8" s="11" t="s">
        <v>1757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2819</v>
      </c>
      <c r="T8" s="90" t="s">
        <v>10</v>
      </c>
      <c r="U8" s="89"/>
      <c r="V8" s="51">
        <v>46020</v>
      </c>
      <c r="W8" s="11" t="s">
        <v>1601</v>
      </c>
    </row>
    <row r="9" spans="1:23" ht="13" customHeight="1" x14ac:dyDescent="0.35">
      <c r="A9" s="11">
        <v>3</v>
      </c>
      <c r="B9" s="47">
        <v>203679309</v>
      </c>
      <c r="C9" s="94" t="s">
        <v>2313</v>
      </c>
      <c r="D9" s="11" t="s">
        <v>2314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2819</v>
      </c>
      <c r="T9" s="90" t="s">
        <v>1</v>
      </c>
      <c r="U9" s="91"/>
      <c r="V9" s="51">
        <v>45488</v>
      </c>
      <c r="W9" s="11" t="s">
        <v>1601</v>
      </c>
    </row>
    <row r="10" spans="1:23" ht="13" customHeight="1" x14ac:dyDescent="0.35">
      <c r="A10" s="11">
        <v>4</v>
      </c>
      <c r="B10" s="47">
        <v>204864408</v>
      </c>
      <c r="C10" s="94" t="s">
        <v>91</v>
      </c>
      <c r="D10" s="11" t="s">
        <v>2067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2819</v>
      </c>
      <c r="T10" s="90" t="s">
        <v>1</v>
      </c>
      <c r="U10" s="91"/>
      <c r="V10" s="51">
        <v>45684</v>
      </c>
      <c r="W10" s="11" t="s">
        <v>1601</v>
      </c>
    </row>
    <row r="11" spans="1:23" ht="13" customHeight="1" x14ac:dyDescent="0.35">
      <c r="A11" s="11">
        <v>5</v>
      </c>
      <c r="B11" s="47">
        <v>203800376</v>
      </c>
      <c r="C11" s="94" t="s">
        <v>2315</v>
      </c>
      <c r="D11" s="11" t="s">
        <v>2316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2819</v>
      </c>
      <c r="T11" s="90" t="s">
        <v>1</v>
      </c>
      <c r="U11" s="91"/>
      <c r="V11" s="51">
        <v>45516</v>
      </c>
      <c r="W11" s="11" t="s">
        <v>1601</v>
      </c>
    </row>
    <row r="12" spans="1:23" ht="13" customHeight="1" x14ac:dyDescent="0.35">
      <c r="A12" s="11">
        <v>6</v>
      </c>
      <c r="B12" s="47">
        <v>206953791</v>
      </c>
      <c r="C12" s="95" t="s">
        <v>2251</v>
      </c>
      <c r="D12" s="113" t="s">
        <v>2252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2819</v>
      </c>
      <c r="T12" s="90" t="s">
        <v>1</v>
      </c>
      <c r="U12" s="89"/>
      <c r="V12" s="51">
        <v>46048</v>
      </c>
      <c r="W12" s="11" t="s">
        <v>1601</v>
      </c>
    </row>
    <row r="13" spans="1:23" ht="13" customHeight="1" x14ac:dyDescent="0.35">
      <c r="A13" s="11">
        <v>7</v>
      </c>
      <c r="B13" s="47">
        <v>205608373</v>
      </c>
      <c r="C13" s="94" t="s">
        <v>233</v>
      </c>
      <c r="D13" s="11" t="s">
        <v>2068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2819</v>
      </c>
      <c r="T13" s="90" t="s">
        <v>1</v>
      </c>
      <c r="U13" s="90"/>
      <c r="V13" s="51">
        <v>45845</v>
      </c>
      <c r="W13" s="11" t="s">
        <v>1601</v>
      </c>
    </row>
    <row r="14" spans="1:23" ht="13" customHeight="1" x14ac:dyDescent="0.35">
      <c r="A14" s="11">
        <v>8</v>
      </c>
      <c r="B14" s="47">
        <v>204869098</v>
      </c>
      <c r="C14" s="94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2819</v>
      </c>
      <c r="T14" s="90" t="s">
        <v>10</v>
      </c>
      <c r="U14" s="90"/>
      <c r="V14" s="51">
        <v>45691</v>
      </c>
      <c r="W14" s="11" t="s">
        <v>1601</v>
      </c>
    </row>
    <row r="15" spans="1:23" ht="13" customHeight="1" x14ac:dyDescent="0.35">
      <c r="A15" s="11">
        <v>9</v>
      </c>
      <c r="B15" s="47">
        <v>206875144</v>
      </c>
      <c r="C15" s="94" t="s">
        <v>1760</v>
      </c>
      <c r="D15" s="11" t="s">
        <v>1761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2819</v>
      </c>
      <c r="T15" s="90" t="s">
        <v>1</v>
      </c>
      <c r="U15" s="90"/>
      <c r="V15" s="51">
        <v>46020</v>
      </c>
      <c r="W15" s="11" t="s">
        <v>1601</v>
      </c>
    </row>
    <row r="16" spans="1:23" ht="13" customHeight="1" x14ac:dyDescent="0.35">
      <c r="A16" s="11">
        <v>10</v>
      </c>
      <c r="B16" s="47">
        <v>204299542</v>
      </c>
      <c r="C16" s="94" t="s">
        <v>2317</v>
      </c>
      <c r="D16" s="11" t="s">
        <v>2318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2819</v>
      </c>
      <c r="T16" s="90" t="s">
        <v>1</v>
      </c>
      <c r="U16" s="90"/>
      <c r="V16" s="51">
        <v>45586</v>
      </c>
      <c r="W16" s="11" t="s">
        <v>1601</v>
      </c>
    </row>
    <row r="17" spans="1:23" ht="13" customHeight="1" x14ac:dyDescent="0.35">
      <c r="A17" s="11">
        <v>11</v>
      </c>
      <c r="B17" s="47">
        <v>206873708</v>
      </c>
      <c r="C17" s="94" t="s">
        <v>1754</v>
      </c>
      <c r="D17" s="11" t="s">
        <v>1755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2819</v>
      </c>
      <c r="T17" s="90" t="s">
        <v>10</v>
      </c>
      <c r="U17" s="90"/>
      <c r="V17" s="51">
        <v>46020</v>
      </c>
      <c r="W17" s="11" t="s">
        <v>1601</v>
      </c>
    </row>
    <row r="18" spans="1:23" ht="13" customHeight="1" x14ac:dyDescent="0.35">
      <c r="A18" s="11">
        <v>12</v>
      </c>
      <c r="B18" s="47">
        <v>107117478</v>
      </c>
      <c r="C18" s="94" t="s">
        <v>2792</v>
      </c>
      <c r="D18" s="11" t="s">
        <v>2793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2819</v>
      </c>
      <c r="T18" s="90" t="s">
        <v>10</v>
      </c>
      <c r="U18" s="90"/>
      <c r="V18" s="51">
        <v>44797</v>
      </c>
      <c r="W18" s="11" t="s">
        <v>1601</v>
      </c>
    </row>
    <row r="19" spans="1:23" ht="13" customHeight="1" x14ac:dyDescent="0.35">
      <c r="A19" s="11">
        <v>13</v>
      </c>
      <c r="B19" s="47">
        <v>204403651</v>
      </c>
      <c r="C19" s="94" t="s">
        <v>2319</v>
      </c>
      <c r="D19" s="11" t="s">
        <v>2320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2819</v>
      </c>
      <c r="T19" s="90" t="s">
        <v>1</v>
      </c>
      <c r="U19" s="90"/>
      <c r="V19" s="51">
        <v>45596</v>
      </c>
      <c r="W19" s="11" t="s">
        <v>1601</v>
      </c>
    </row>
    <row r="20" spans="1:23" ht="13" customHeight="1" x14ac:dyDescent="0.35">
      <c r="A20" s="11">
        <v>14</v>
      </c>
      <c r="B20" s="47">
        <v>204299562</v>
      </c>
      <c r="C20" s="94" t="s">
        <v>2321</v>
      </c>
      <c r="D20" s="11" t="s">
        <v>2322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2819</v>
      </c>
      <c r="T20" s="90" t="s">
        <v>1</v>
      </c>
      <c r="U20" s="90"/>
      <c r="V20" s="51">
        <v>45586</v>
      </c>
      <c r="W20" s="11" t="s">
        <v>1601</v>
      </c>
    </row>
    <row r="21" spans="1:23" ht="13" customHeight="1" x14ac:dyDescent="0.35">
      <c r="A21" s="11">
        <v>15</v>
      </c>
      <c r="B21" s="47">
        <v>206949071</v>
      </c>
      <c r="C21" s="95" t="s">
        <v>2255</v>
      </c>
      <c r="D21" s="113" t="s">
        <v>2256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2819</v>
      </c>
      <c r="T21" s="90" t="s">
        <v>1</v>
      </c>
      <c r="U21" s="90"/>
      <c r="V21" s="51">
        <v>46048</v>
      </c>
      <c r="W21" s="11" t="s">
        <v>1601</v>
      </c>
    </row>
    <row r="22" spans="1:23" ht="13" customHeight="1" x14ac:dyDescent="0.35">
      <c r="A22" s="11">
        <v>16</v>
      </c>
      <c r="B22" s="47">
        <v>203083928</v>
      </c>
      <c r="C22" s="94" t="s">
        <v>100</v>
      </c>
      <c r="D22" s="11" t="s">
        <v>2071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2819</v>
      </c>
      <c r="T22" s="90" t="s">
        <v>7</v>
      </c>
      <c r="U22" s="90" t="s">
        <v>3004</v>
      </c>
      <c r="V22" s="51">
        <v>45488</v>
      </c>
      <c r="W22" s="11" t="s">
        <v>1601</v>
      </c>
    </row>
    <row r="23" spans="1:23" ht="13" customHeight="1" x14ac:dyDescent="0.35">
      <c r="A23" s="11">
        <v>17</v>
      </c>
      <c r="B23" s="47">
        <v>206926473</v>
      </c>
      <c r="C23" s="94" t="s">
        <v>2285</v>
      </c>
      <c r="D23" s="11" t="s">
        <v>2125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2819</v>
      </c>
      <c r="T23" s="90" t="s">
        <v>1</v>
      </c>
      <c r="U23" s="90"/>
      <c r="V23" s="51">
        <v>46048</v>
      </c>
      <c r="W23" s="11" t="s">
        <v>1601</v>
      </c>
    </row>
    <row r="24" spans="1:23" ht="13" customHeight="1" x14ac:dyDescent="0.35">
      <c r="A24" s="11">
        <v>18</v>
      </c>
      <c r="B24" s="47">
        <v>203469072</v>
      </c>
      <c r="C24" s="94" t="s">
        <v>2323</v>
      </c>
      <c r="D24" s="11" t="s">
        <v>2324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2819</v>
      </c>
      <c r="T24" s="90" t="s">
        <v>10</v>
      </c>
      <c r="U24" s="90"/>
      <c r="V24" s="51">
        <v>45456</v>
      </c>
      <c r="W24" s="11" t="s">
        <v>1601</v>
      </c>
    </row>
    <row r="25" spans="1:23" ht="13" customHeight="1" x14ac:dyDescent="0.35">
      <c r="A25" s="11">
        <v>19</v>
      </c>
      <c r="B25" s="47">
        <v>206875142</v>
      </c>
      <c r="C25" s="94" t="s">
        <v>1770</v>
      </c>
      <c r="D25" s="11" t="s">
        <v>1771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2819</v>
      </c>
      <c r="T25" s="90" t="s">
        <v>1</v>
      </c>
      <c r="U25" s="90"/>
      <c r="V25" s="51">
        <v>46020</v>
      </c>
      <c r="W25" s="11" t="s">
        <v>1601</v>
      </c>
    </row>
    <row r="26" spans="1:23" ht="13" customHeight="1" x14ac:dyDescent="0.35">
      <c r="A26" s="11">
        <v>20</v>
      </c>
      <c r="B26" s="47">
        <v>206953811</v>
      </c>
      <c r="C26" s="94" t="s">
        <v>2288</v>
      </c>
      <c r="D26" s="11" t="s">
        <v>2289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2817</v>
      </c>
      <c r="S26" s="11" t="s">
        <v>2818</v>
      </c>
      <c r="T26" s="90" t="s">
        <v>1</v>
      </c>
      <c r="U26" s="90"/>
      <c r="V26" s="51">
        <v>46048</v>
      </c>
      <c r="W26" s="11" t="s">
        <v>1601</v>
      </c>
    </row>
    <row r="27" spans="1:23" ht="13" customHeight="1" x14ac:dyDescent="0.35">
      <c r="A27" s="11">
        <v>21</v>
      </c>
      <c r="B27" s="47">
        <v>206875146</v>
      </c>
      <c r="C27" s="94" t="s">
        <v>1794</v>
      </c>
      <c r="D27" s="11" t="s">
        <v>1795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2819</v>
      </c>
      <c r="T27" s="90" t="s">
        <v>10</v>
      </c>
      <c r="U27" s="90"/>
      <c r="V27" s="51">
        <v>46020</v>
      </c>
      <c r="W27" s="11" t="s">
        <v>1601</v>
      </c>
    </row>
    <row r="28" spans="1:23" ht="13" customHeight="1" x14ac:dyDescent="0.35">
      <c r="A28" s="11">
        <v>22</v>
      </c>
      <c r="B28" s="47">
        <v>205496017</v>
      </c>
      <c r="C28" s="94" t="s">
        <v>252</v>
      </c>
      <c r="D28" s="11" t="s">
        <v>1992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2819</v>
      </c>
      <c r="T28" s="90" t="s">
        <v>7</v>
      </c>
      <c r="U28" s="90" t="s">
        <v>3004</v>
      </c>
      <c r="V28" s="51">
        <v>45831</v>
      </c>
      <c r="W28" s="11" t="s">
        <v>1601</v>
      </c>
    </row>
    <row r="29" spans="1:23" ht="13" customHeight="1" x14ac:dyDescent="0.35">
      <c r="A29" s="11">
        <v>23</v>
      </c>
      <c r="B29" s="47">
        <v>206294541</v>
      </c>
      <c r="C29" s="94" t="s">
        <v>2325</v>
      </c>
      <c r="D29" s="11" t="s">
        <v>2326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2819</v>
      </c>
      <c r="T29" s="90" t="s">
        <v>1</v>
      </c>
      <c r="U29" s="90"/>
      <c r="V29" s="51">
        <v>45950</v>
      </c>
      <c r="W29" s="11" t="s">
        <v>1601</v>
      </c>
    </row>
    <row r="30" spans="1:23" ht="13" customHeight="1" x14ac:dyDescent="0.35">
      <c r="A30" s="11">
        <v>24</v>
      </c>
      <c r="B30" s="47">
        <v>203800382</v>
      </c>
      <c r="C30" s="94" t="s">
        <v>2568</v>
      </c>
      <c r="D30" s="11" t="s">
        <v>2569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2819</v>
      </c>
      <c r="T30" s="90" t="s">
        <v>1</v>
      </c>
      <c r="U30" s="90"/>
      <c r="V30" s="51">
        <v>45516</v>
      </c>
      <c r="W30" s="11" t="s">
        <v>1601</v>
      </c>
    </row>
    <row r="31" spans="1:23" ht="13" customHeight="1" x14ac:dyDescent="0.35">
      <c r="A31" s="11">
        <v>25</v>
      </c>
      <c r="B31" s="47">
        <v>206930700</v>
      </c>
      <c r="C31" s="94" t="s">
        <v>2216</v>
      </c>
      <c r="D31" s="11" t="s">
        <v>2128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2819</v>
      </c>
      <c r="T31" s="90" t="s">
        <v>10</v>
      </c>
      <c r="U31" s="90"/>
      <c r="V31" s="51">
        <v>46048</v>
      </c>
      <c r="W31" s="11" t="s">
        <v>1601</v>
      </c>
    </row>
    <row r="32" spans="1:23" ht="13" customHeight="1" x14ac:dyDescent="0.35">
      <c r="A32" s="11">
        <v>26</v>
      </c>
      <c r="B32" s="47">
        <v>203995362</v>
      </c>
      <c r="C32" s="94" t="s">
        <v>2570</v>
      </c>
      <c r="D32" s="11" t="s">
        <v>2571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88</v>
      </c>
      <c r="M32" s="49" t="s">
        <v>95</v>
      </c>
      <c r="N32" s="49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2819</v>
      </c>
      <c r="T32" s="90" t="s">
        <v>7</v>
      </c>
      <c r="U32" s="90" t="s">
        <v>3004</v>
      </c>
      <c r="V32" s="51">
        <v>45684</v>
      </c>
      <c r="W32" s="11" t="s">
        <v>1601</v>
      </c>
    </row>
    <row r="33" spans="1:23" ht="13" customHeight="1" x14ac:dyDescent="0.35">
      <c r="A33" s="11">
        <v>27</v>
      </c>
      <c r="B33" s="47">
        <v>206953786</v>
      </c>
      <c r="C33" s="94" t="s">
        <v>2222</v>
      </c>
      <c r="D33" s="11" t="s">
        <v>2136</v>
      </c>
      <c r="E33" s="48" t="s">
        <v>31</v>
      </c>
      <c r="F33" s="48" t="s">
        <v>74</v>
      </c>
      <c r="G33" s="11" t="s">
        <v>64</v>
      </c>
      <c r="H33" s="11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8" t="s">
        <v>89</v>
      </c>
      <c r="O33" s="49" t="s">
        <v>67</v>
      </c>
      <c r="P33" s="11" t="s">
        <v>80</v>
      </c>
      <c r="Q33" s="11" t="s">
        <v>90</v>
      </c>
      <c r="R33" s="11" t="s">
        <v>82</v>
      </c>
      <c r="S33" s="11" t="s">
        <v>2819</v>
      </c>
      <c r="T33" s="90" t="s">
        <v>1</v>
      </c>
      <c r="U33" s="90"/>
      <c r="V33" s="51">
        <v>46048</v>
      </c>
      <c r="W33" s="11" t="s">
        <v>1601</v>
      </c>
    </row>
    <row r="34" spans="1:23" ht="13" customHeight="1" x14ac:dyDescent="0.35">
      <c r="A34" s="11">
        <v>28</v>
      </c>
      <c r="B34" s="47">
        <v>206875143</v>
      </c>
      <c r="C34" s="94" t="s">
        <v>1758</v>
      </c>
      <c r="D34" s="11" t="s">
        <v>1759</v>
      </c>
      <c r="E34" s="48" t="s">
        <v>31</v>
      </c>
      <c r="F34" s="48" t="s">
        <v>74</v>
      </c>
      <c r="G34" s="48" t="s">
        <v>64</v>
      </c>
      <c r="H34" s="48" t="s">
        <v>75</v>
      </c>
      <c r="I34" s="11">
        <v>1299</v>
      </c>
      <c r="J34" s="49" t="s">
        <v>32</v>
      </c>
      <c r="K34" s="49" t="s">
        <v>76</v>
      </c>
      <c r="L34" s="49" t="s">
        <v>78</v>
      </c>
      <c r="M34" s="49" t="s">
        <v>92</v>
      </c>
      <c r="N34" s="49" t="s">
        <v>89</v>
      </c>
      <c r="O34" s="48" t="s">
        <v>67</v>
      </c>
      <c r="P34" s="48" t="s">
        <v>80</v>
      </c>
      <c r="Q34" s="11" t="s">
        <v>90</v>
      </c>
      <c r="R34" s="11" t="s">
        <v>82</v>
      </c>
      <c r="S34" s="11" t="s">
        <v>2819</v>
      </c>
      <c r="T34" s="90" t="s">
        <v>1</v>
      </c>
      <c r="U34" s="90"/>
      <c r="V34" s="51">
        <v>46020</v>
      </c>
      <c r="W34" s="11" t="s">
        <v>1601</v>
      </c>
    </row>
    <row r="35" spans="1:23" ht="13" customHeight="1" x14ac:dyDescent="0.35">
      <c r="A35" s="11">
        <v>29</v>
      </c>
      <c r="B35" s="47">
        <v>205647826</v>
      </c>
      <c r="C35" s="94" t="s">
        <v>2327</v>
      </c>
      <c r="D35" s="11" t="s">
        <v>2794</v>
      </c>
      <c r="E35" s="48" t="s">
        <v>31</v>
      </c>
      <c r="F35" s="48" t="s">
        <v>74</v>
      </c>
      <c r="G35" s="11" t="s">
        <v>64</v>
      </c>
      <c r="H35" s="11" t="s">
        <v>75</v>
      </c>
      <c r="I35" s="11">
        <v>1299</v>
      </c>
      <c r="J35" s="49" t="s">
        <v>39</v>
      </c>
      <c r="K35" s="49" t="s">
        <v>76</v>
      </c>
      <c r="L35" s="49" t="s">
        <v>95</v>
      </c>
      <c r="M35" s="49" t="s">
        <v>77</v>
      </c>
      <c r="N35" s="49" t="s">
        <v>89</v>
      </c>
      <c r="O35" s="49" t="s">
        <v>67</v>
      </c>
      <c r="P35" s="11" t="s">
        <v>80</v>
      </c>
      <c r="Q35" s="11" t="s">
        <v>96</v>
      </c>
      <c r="R35" s="11" t="s">
        <v>82</v>
      </c>
      <c r="S35" s="11" t="s">
        <v>2819</v>
      </c>
      <c r="T35" s="90" t="s">
        <v>10</v>
      </c>
      <c r="U35" s="90"/>
      <c r="V35" s="51">
        <v>45852</v>
      </c>
      <c r="W35" s="11" t="s">
        <v>1601</v>
      </c>
    </row>
    <row r="36" spans="1:23" ht="13" customHeight="1" x14ac:dyDescent="0.35">
      <c r="A36" s="11">
        <v>30</v>
      </c>
      <c r="B36" s="47">
        <v>206875148</v>
      </c>
      <c r="C36" s="94" t="s">
        <v>1772</v>
      </c>
      <c r="D36" s="11" t="s">
        <v>1773</v>
      </c>
      <c r="E36" s="48" t="s">
        <v>31</v>
      </c>
      <c r="F36" s="48" t="s">
        <v>74</v>
      </c>
      <c r="G36" s="48" t="s">
        <v>64</v>
      </c>
      <c r="H36" s="48" t="s">
        <v>75</v>
      </c>
      <c r="I36" s="11">
        <v>1299</v>
      </c>
      <c r="J36" s="49" t="s">
        <v>39</v>
      </c>
      <c r="K36" s="49" t="s">
        <v>76</v>
      </c>
      <c r="L36" s="49" t="s">
        <v>88</v>
      </c>
      <c r="M36" s="49" t="s">
        <v>95</v>
      </c>
      <c r="N36" s="49" t="s">
        <v>89</v>
      </c>
      <c r="O36" s="48" t="s">
        <v>67</v>
      </c>
      <c r="P36" s="48" t="s">
        <v>80</v>
      </c>
      <c r="Q36" s="11" t="s">
        <v>90</v>
      </c>
      <c r="R36" s="11" t="s">
        <v>82</v>
      </c>
      <c r="S36" s="11" t="s">
        <v>2819</v>
      </c>
      <c r="T36" s="90" t="s">
        <v>1</v>
      </c>
      <c r="U36" s="90"/>
      <c r="V36" s="51">
        <v>46020</v>
      </c>
      <c r="W36" s="11" t="s">
        <v>1601</v>
      </c>
    </row>
    <row r="37" spans="1:23" ht="13" customHeight="1" x14ac:dyDescent="0.35">
      <c r="A37" s="11">
        <v>31</v>
      </c>
      <c r="B37" s="47">
        <v>205609430</v>
      </c>
      <c r="C37" s="94" t="s">
        <v>267</v>
      </c>
      <c r="D37" s="11" t="s">
        <v>2069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39</v>
      </c>
      <c r="K37" s="49" t="s">
        <v>76</v>
      </c>
      <c r="L37" s="49" t="s">
        <v>92</v>
      </c>
      <c r="M37" s="49" t="s">
        <v>84</v>
      </c>
      <c r="N37" s="49" t="s">
        <v>89</v>
      </c>
      <c r="O37" s="49" t="s">
        <v>67</v>
      </c>
      <c r="P37" s="11" t="s">
        <v>80</v>
      </c>
      <c r="Q37" s="11" t="s">
        <v>90</v>
      </c>
      <c r="R37" s="11" t="s">
        <v>82</v>
      </c>
      <c r="S37" s="11" t="s">
        <v>2819</v>
      </c>
      <c r="T37" s="90" t="s">
        <v>7</v>
      </c>
      <c r="U37" s="90" t="s">
        <v>3004</v>
      </c>
      <c r="V37" s="51">
        <v>45845</v>
      </c>
      <c r="W37" s="11" t="s">
        <v>1601</v>
      </c>
    </row>
    <row r="38" spans="1:23" ht="13" customHeight="1" x14ac:dyDescent="0.35">
      <c r="A38" s="11">
        <v>32</v>
      </c>
      <c r="B38" s="47">
        <v>203555399</v>
      </c>
      <c r="C38" s="94" t="s">
        <v>101</v>
      </c>
      <c r="D38" s="11" t="s">
        <v>2070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8" t="s">
        <v>79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2819</v>
      </c>
      <c r="T38" s="90" t="s">
        <v>1</v>
      </c>
      <c r="U38" s="90"/>
      <c r="V38" s="51">
        <v>45470</v>
      </c>
      <c r="W38" s="11" t="s">
        <v>1601</v>
      </c>
    </row>
    <row r="39" spans="1:23" ht="13" customHeight="1" x14ac:dyDescent="0.35">
      <c r="A39" s="11">
        <v>33</v>
      </c>
      <c r="B39" s="47">
        <v>205997628</v>
      </c>
      <c r="C39" s="94" t="s">
        <v>2328</v>
      </c>
      <c r="D39" s="11" t="s">
        <v>2329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32</v>
      </c>
      <c r="K39" s="49" t="s">
        <v>76</v>
      </c>
      <c r="L39" s="49" t="s">
        <v>88</v>
      </c>
      <c r="M39" s="49" t="s">
        <v>95</v>
      </c>
      <c r="N39" s="49" t="s">
        <v>89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2819</v>
      </c>
      <c r="T39" s="90" t="s">
        <v>1</v>
      </c>
      <c r="U39" s="90"/>
      <c r="V39" s="51">
        <v>45915</v>
      </c>
      <c r="W39" s="11" t="s">
        <v>1601</v>
      </c>
    </row>
    <row r="40" spans="1:23" ht="13" customHeight="1" x14ac:dyDescent="0.35">
      <c r="A40" s="11">
        <v>34</v>
      </c>
      <c r="B40" s="47">
        <v>203555402</v>
      </c>
      <c r="C40" s="94" t="s">
        <v>102</v>
      </c>
      <c r="D40" s="11" t="s">
        <v>2795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39</v>
      </c>
      <c r="K40" s="49" t="s">
        <v>76</v>
      </c>
      <c r="L40" s="49" t="s">
        <v>88</v>
      </c>
      <c r="M40" s="49" t="s">
        <v>95</v>
      </c>
      <c r="N40" s="48" t="s">
        <v>79</v>
      </c>
      <c r="O40" s="49" t="s">
        <v>67</v>
      </c>
      <c r="P40" s="11" t="s">
        <v>80</v>
      </c>
      <c r="Q40" s="11" t="s">
        <v>81</v>
      </c>
      <c r="R40" s="11" t="s">
        <v>82</v>
      </c>
      <c r="S40" s="11" t="s">
        <v>2819</v>
      </c>
      <c r="T40" s="90" t="s">
        <v>7</v>
      </c>
      <c r="U40" s="90" t="s">
        <v>3004</v>
      </c>
      <c r="V40" s="51">
        <v>45470</v>
      </c>
      <c r="W40" s="11" t="s">
        <v>1601</v>
      </c>
    </row>
    <row r="41" spans="1:23" ht="13" customHeight="1" x14ac:dyDescent="0.35">
      <c r="A41" s="11">
        <v>35</v>
      </c>
      <c r="B41" s="47">
        <v>206953810</v>
      </c>
      <c r="C41" s="94" t="s">
        <v>2120</v>
      </c>
      <c r="D41" s="11" t="s">
        <v>2121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32</v>
      </c>
      <c r="K41" s="49" t="s">
        <v>76</v>
      </c>
      <c r="L41" s="49" t="s">
        <v>84</v>
      </c>
      <c r="M41" s="49" t="s">
        <v>85</v>
      </c>
      <c r="N41" s="48" t="s">
        <v>86</v>
      </c>
      <c r="O41" s="49" t="s">
        <v>67</v>
      </c>
      <c r="P41" s="11" t="s">
        <v>80</v>
      </c>
      <c r="Q41" s="11" t="s">
        <v>90</v>
      </c>
      <c r="R41" s="11" t="s">
        <v>82</v>
      </c>
      <c r="S41" s="11" t="s">
        <v>2819</v>
      </c>
      <c r="T41" s="90" t="s">
        <v>1</v>
      </c>
      <c r="U41" s="90"/>
      <c r="V41" s="51">
        <v>46048</v>
      </c>
      <c r="W41" s="11" t="s">
        <v>1601</v>
      </c>
    </row>
    <row r="42" spans="1:23" ht="13" customHeight="1" x14ac:dyDescent="0.35">
      <c r="A42" s="11">
        <v>36</v>
      </c>
      <c r="B42" s="47">
        <v>204299899</v>
      </c>
      <c r="C42" s="94" t="s">
        <v>103</v>
      </c>
      <c r="D42" s="11" t="s">
        <v>1993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39</v>
      </c>
      <c r="K42" s="49" t="s">
        <v>76</v>
      </c>
      <c r="L42" s="49" t="s">
        <v>77</v>
      </c>
      <c r="M42" s="49" t="s">
        <v>78</v>
      </c>
      <c r="N42" s="48" t="s">
        <v>86</v>
      </c>
      <c r="O42" s="49" t="s">
        <v>67</v>
      </c>
      <c r="P42" s="11" t="s">
        <v>80</v>
      </c>
      <c r="Q42" s="11" t="s">
        <v>87</v>
      </c>
      <c r="R42" s="11" t="s">
        <v>82</v>
      </c>
      <c r="S42" s="11" t="s">
        <v>2819</v>
      </c>
      <c r="T42" s="90" t="s">
        <v>10</v>
      </c>
      <c r="U42" s="90"/>
      <c r="V42" s="51">
        <v>45589</v>
      </c>
      <c r="W42" s="11" t="s">
        <v>1601</v>
      </c>
    </row>
    <row r="43" spans="1:23" ht="13" customHeight="1" x14ac:dyDescent="0.35">
      <c r="A43" s="11">
        <v>37</v>
      </c>
      <c r="B43" s="47">
        <v>206953815</v>
      </c>
      <c r="C43" s="95" t="s">
        <v>2265</v>
      </c>
      <c r="D43" s="113" t="s">
        <v>2266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84</v>
      </c>
      <c r="M43" s="49" t="s">
        <v>85</v>
      </c>
      <c r="N43" s="48" t="s">
        <v>86</v>
      </c>
      <c r="O43" s="49" t="s">
        <v>67</v>
      </c>
      <c r="P43" s="49" t="s">
        <v>80</v>
      </c>
      <c r="Q43" s="49" t="s">
        <v>90</v>
      </c>
      <c r="R43" s="11" t="s">
        <v>82</v>
      </c>
      <c r="S43" s="11" t="s">
        <v>2819</v>
      </c>
      <c r="T43" s="90" t="s">
        <v>1</v>
      </c>
      <c r="U43" s="89"/>
      <c r="V43" s="51">
        <v>46048</v>
      </c>
      <c r="W43" s="11" t="s">
        <v>1601</v>
      </c>
    </row>
    <row r="44" spans="1:23" ht="13" customHeight="1" x14ac:dyDescent="0.35">
      <c r="A44" s="11">
        <v>38</v>
      </c>
      <c r="B44" s="47">
        <v>206016551</v>
      </c>
      <c r="C44" s="94" t="s">
        <v>296</v>
      </c>
      <c r="D44" s="11" t="s">
        <v>1994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77</v>
      </c>
      <c r="M44" s="49" t="s">
        <v>78</v>
      </c>
      <c r="N44" s="49" t="s">
        <v>89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2819</v>
      </c>
      <c r="T44" s="90" t="s">
        <v>10</v>
      </c>
      <c r="U44" s="91"/>
      <c r="V44" s="51">
        <v>45915</v>
      </c>
      <c r="W44" s="11" t="s">
        <v>1601</v>
      </c>
    </row>
    <row r="45" spans="1:23" ht="13" customHeight="1" x14ac:dyDescent="0.35">
      <c r="A45" s="11">
        <v>39</v>
      </c>
      <c r="B45" s="47">
        <v>203741547</v>
      </c>
      <c r="C45" s="94" t="s">
        <v>2330</v>
      </c>
      <c r="D45" s="11" t="s">
        <v>2331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95</v>
      </c>
      <c r="M45" s="49" t="s">
        <v>77</v>
      </c>
      <c r="N45" s="48" t="s">
        <v>79</v>
      </c>
      <c r="O45" s="49" t="s">
        <v>67</v>
      </c>
      <c r="P45" s="11" t="s">
        <v>80</v>
      </c>
      <c r="Q45" s="11" t="s">
        <v>81</v>
      </c>
      <c r="R45" s="11" t="s">
        <v>82</v>
      </c>
      <c r="S45" s="11" t="s">
        <v>2819</v>
      </c>
      <c r="T45" s="90" t="s">
        <v>10</v>
      </c>
      <c r="U45" s="90"/>
      <c r="V45" s="51">
        <v>45517</v>
      </c>
      <c r="W45" s="11" t="s">
        <v>1601</v>
      </c>
    </row>
    <row r="46" spans="1:23" ht="13" customHeight="1" x14ac:dyDescent="0.35">
      <c r="A46" s="11">
        <v>40</v>
      </c>
      <c r="B46" s="47">
        <v>205608617</v>
      </c>
      <c r="C46" s="94" t="s">
        <v>302</v>
      </c>
      <c r="D46" s="11" t="s">
        <v>1995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92</v>
      </c>
      <c r="M46" s="49" t="s">
        <v>84</v>
      </c>
      <c r="N46" s="49" t="s">
        <v>89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2819</v>
      </c>
      <c r="T46" s="90" t="s">
        <v>1</v>
      </c>
      <c r="U46" s="90"/>
      <c r="V46" s="51">
        <v>45845</v>
      </c>
      <c r="W46" s="11" t="s">
        <v>1601</v>
      </c>
    </row>
    <row r="47" spans="1:23" ht="13" customHeight="1" x14ac:dyDescent="0.35">
      <c r="A47" s="11">
        <v>41</v>
      </c>
      <c r="B47" s="47">
        <v>206953974</v>
      </c>
      <c r="C47" s="94" t="s">
        <v>2212</v>
      </c>
      <c r="D47" s="11" t="s">
        <v>2123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84</v>
      </c>
      <c r="M47" s="49" t="s">
        <v>85</v>
      </c>
      <c r="N47" s="48" t="s">
        <v>86</v>
      </c>
      <c r="O47" s="49" t="s">
        <v>67</v>
      </c>
      <c r="P47" s="11" t="s">
        <v>80</v>
      </c>
      <c r="Q47" s="11" t="s">
        <v>90</v>
      </c>
      <c r="R47" s="11" t="s">
        <v>82</v>
      </c>
      <c r="S47" s="11" t="s">
        <v>2819</v>
      </c>
      <c r="T47" s="90" t="s">
        <v>1</v>
      </c>
      <c r="U47" s="90"/>
      <c r="V47" s="51">
        <v>46048</v>
      </c>
      <c r="W47" s="11" t="s">
        <v>1601</v>
      </c>
    </row>
    <row r="48" spans="1:23" ht="13" customHeight="1" x14ac:dyDescent="0.35">
      <c r="A48" s="11">
        <v>42</v>
      </c>
      <c r="B48" s="47">
        <v>203555403</v>
      </c>
      <c r="C48" s="94" t="s">
        <v>2332</v>
      </c>
      <c r="D48" s="11" t="s">
        <v>2333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77</v>
      </c>
      <c r="M48" s="49" t="s">
        <v>78</v>
      </c>
      <c r="N48" s="48" t="s">
        <v>79</v>
      </c>
      <c r="O48" s="49" t="s">
        <v>67</v>
      </c>
      <c r="P48" s="11" t="s">
        <v>80</v>
      </c>
      <c r="Q48" s="11" t="s">
        <v>81</v>
      </c>
      <c r="R48" s="11" t="s">
        <v>82</v>
      </c>
      <c r="S48" s="11" t="s">
        <v>2819</v>
      </c>
      <c r="T48" s="90" t="s">
        <v>10</v>
      </c>
      <c r="U48" s="90"/>
      <c r="V48" s="51">
        <v>45470</v>
      </c>
      <c r="W48" s="11" t="s">
        <v>1601</v>
      </c>
    </row>
    <row r="49" spans="1:23" ht="13" customHeight="1" x14ac:dyDescent="0.35">
      <c r="A49" s="11">
        <v>43</v>
      </c>
      <c r="B49" s="47">
        <v>203469458</v>
      </c>
      <c r="C49" s="94" t="s">
        <v>104</v>
      </c>
      <c r="D49" s="11" t="s">
        <v>1996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92</v>
      </c>
      <c r="M49" s="49" t="s">
        <v>84</v>
      </c>
      <c r="N49" s="48" t="s">
        <v>86</v>
      </c>
      <c r="O49" s="49" t="s">
        <v>67</v>
      </c>
      <c r="P49" s="11" t="s">
        <v>80</v>
      </c>
      <c r="Q49" s="11" t="s">
        <v>99</v>
      </c>
      <c r="R49" s="11" t="s">
        <v>82</v>
      </c>
      <c r="S49" s="11" t="s">
        <v>2819</v>
      </c>
      <c r="T49" s="90" t="s">
        <v>7</v>
      </c>
      <c r="U49" s="90" t="s">
        <v>3004</v>
      </c>
      <c r="V49" s="51">
        <v>45456</v>
      </c>
      <c r="W49" s="11" t="s">
        <v>1601</v>
      </c>
    </row>
    <row r="50" spans="1:23" ht="13" customHeight="1" x14ac:dyDescent="0.35">
      <c r="A50" s="11">
        <v>44</v>
      </c>
      <c r="B50" s="47">
        <v>206072867</v>
      </c>
      <c r="C50" s="94" t="s">
        <v>2577</v>
      </c>
      <c r="D50" s="11" t="s">
        <v>2578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78</v>
      </c>
      <c r="M50" s="49" t="s">
        <v>92</v>
      </c>
      <c r="N50" s="49" t="s">
        <v>89</v>
      </c>
      <c r="O50" s="49" t="s">
        <v>67</v>
      </c>
      <c r="P50" s="11" t="s">
        <v>80</v>
      </c>
      <c r="Q50" s="11" t="s">
        <v>81</v>
      </c>
      <c r="R50" s="11" t="s">
        <v>82</v>
      </c>
      <c r="S50" s="11" t="s">
        <v>2819</v>
      </c>
      <c r="T50" s="90" t="s">
        <v>1</v>
      </c>
      <c r="U50" s="90"/>
      <c r="V50" s="51">
        <v>45922</v>
      </c>
      <c r="W50" s="11" t="s">
        <v>1601</v>
      </c>
    </row>
    <row r="51" spans="1:23" ht="13" customHeight="1" x14ac:dyDescent="0.35">
      <c r="A51" s="11">
        <v>45</v>
      </c>
      <c r="B51" s="47">
        <v>206953984</v>
      </c>
      <c r="C51" s="94" t="s">
        <v>2217</v>
      </c>
      <c r="D51" s="11" t="s">
        <v>2129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90</v>
      </c>
      <c r="R51" s="11" t="s">
        <v>82</v>
      </c>
      <c r="S51" s="11" t="s">
        <v>2819</v>
      </c>
      <c r="T51" s="90" t="s">
        <v>10</v>
      </c>
      <c r="U51" s="90"/>
      <c r="V51" s="51">
        <v>46048</v>
      </c>
      <c r="W51" s="11" t="s">
        <v>1601</v>
      </c>
    </row>
    <row r="52" spans="1:23" ht="13" customHeight="1" x14ac:dyDescent="0.35">
      <c r="A52" s="11">
        <v>46</v>
      </c>
      <c r="B52" s="47">
        <v>203469449</v>
      </c>
      <c r="C52" s="94" t="s">
        <v>105</v>
      </c>
      <c r="D52" s="11" t="s">
        <v>1997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95</v>
      </c>
      <c r="M52" s="49" t="s">
        <v>77</v>
      </c>
      <c r="N52" s="48" t="s">
        <v>86</v>
      </c>
      <c r="O52" s="49" t="s">
        <v>67</v>
      </c>
      <c r="P52" s="11" t="s">
        <v>80</v>
      </c>
      <c r="Q52" s="11" t="s">
        <v>99</v>
      </c>
      <c r="R52" s="11" t="s">
        <v>82</v>
      </c>
      <c r="S52" s="11" t="s">
        <v>2819</v>
      </c>
      <c r="T52" s="90" t="s">
        <v>10</v>
      </c>
      <c r="U52" s="90"/>
      <c r="V52" s="51">
        <v>45456</v>
      </c>
      <c r="W52" s="11" t="s">
        <v>1601</v>
      </c>
    </row>
    <row r="53" spans="1:23" ht="13" customHeight="1" x14ac:dyDescent="0.35">
      <c r="A53" s="11">
        <v>47</v>
      </c>
      <c r="B53" s="47">
        <v>204299548</v>
      </c>
      <c r="C53" s="94" t="s">
        <v>2334</v>
      </c>
      <c r="D53" s="11" t="s">
        <v>2335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77</v>
      </c>
      <c r="M53" s="49" t="s">
        <v>78</v>
      </c>
      <c r="N53" s="49" t="s">
        <v>89</v>
      </c>
      <c r="O53" s="49" t="s">
        <v>67</v>
      </c>
      <c r="P53" s="11" t="s">
        <v>80</v>
      </c>
      <c r="Q53" s="11" t="s">
        <v>87</v>
      </c>
      <c r="R53" s="11" t="s">
        <v>82</v>
      </c>
      <c r="S53" s="11" t="s">
        <v>2819</v>
      </c>
      <c r="T53" s="90" t="s">
        <v>10</v>
      </c>
      <c r="U53" s="90"/>
      <c r="V53" s="51">
        <v>45586</v>
      </c>
      <c r="W53" s="11" t="s">
        <v>1601</v>
      </c>
    </row>
    <row r="54" spans="1:23" ht="13" customHeight="1" x14ac:dyDescent="0.35">
      <c r="A54" s="11">
        <v>48</v>
      </c>
      <c r="B54" s="47">
        <v>203469051</v>
      </c>
      <c r="C54" s="94" t="s">
        <v>2336</v>
      </c>
      <c r="D54" s="11" t="s">
        <v>2337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32</v>
      </c>
      <c r="K54" s="49" t="s">
        <v>76</v>
      </c>
      <c r="L54" s="49" t="s">
        <v>84</v>
      </c>
      <c r="M54" s="49" t="s">
        <v>85</v>
      </c>
      <c r="N54" s="48" t="s">
        <v>79</v>
      </c>
      <c r="O54" s="49" t="s">
        <v>67</v>
      </c>
      <c r="P54" s="11" t="s">
        <v>80</v>
      </c>
      <c r="Q54" s="11" t="s">
        <v>81</v>
      </c>
      <c r="R54" s="11" t="s">
        <v>82</v>
      </c>
      <c r="S54" s="11" t="s">
        <v>2819</v>
      </c>
      <c r="T54" s="90" t="s">
        <v>1</v>
      </c>
      <c r="U54" s="90"/>
      <c r="V54" s="51">
        <v>45456</v>
      </c>
      <c r="W54" s="11" t="s">
        <v>1601</v>
      </c>
    </row>
    <row r="55" spans="1:23" ht="13" customHeight="1" x14ac:dyDescent="0.35">
      <c r="A55" s="11">
        <v>49</v>
      </c>
      <c r="B55" s="47">
        <v>204299544</v>
      </c>
      <c r="C55" s="94" t="s">
        <v>106</v>
      </c>
      <c r="D55" s="11" t="s">
        <v>1998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39</v>
      </c>
      <c r="K55" s="49" t="s">
        <v>76</v>
      </c>
      <c r="L55" s="49" t="s">
        <v>85</v>
      </c>
      <c r="M55" s="49" t="s">
        <v>88</v>
      </c>
      <c r="N55" s="48" t="s">
        <v>86</v>
      </c>
      <c r="O55" s="49" t="s">
        <v>67</v>
      </c>
      <c r="P55" s="11" t="s">
        <v>80</v>
      </c>
      <c r="Q55" s="11" t="s">
        <v>87</v>
      </c>
      <c r="R55" s="11" t="s">
        <v>82</v>
      </c>
      <c r="S55" s="11" t="s">
        <v>2819</v>
      </c>
      <c r="T55" s="90" t="s">
        <v>1</v>
      </c>
      <c r="U55" s="90"/>
      <c r="V55" s="51">
        <v>45586</v>
      </c>
      <c r="W55" s="11" t="s">
        <v>1601</v>
      </c>
    </row>
    <row r="56" spans="1:23" ht="13" customHeight="1" x14ac:dyDescent="0.35">
      <c r="A56" s="11">
        <v>50</v>
      </c>
      <c r="B56" s="47">
        <v>206949308</v>
      </c>
      <c r="C56" s="95" t="s">
        <v>2259</v>
      </c>
      <c r="D56" s="113" t="s">
        <v>2260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32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2819</v>
      </c>
      <c r="T56" s="90" t="s">
        <v>1</v>
      </c>
      <c r="U56" s="89"/>
      <c r="V56" s="51">
        <v>46048</v>
      </c>
      <c r="W56" s="11" t="s">
        <v>1601</v>
      </c>
    </row>
    <row r="57" spans="1:23" ht="13" customHeight="1" x14ac:dyDescent="0.35">
      <c r="A57" s="11">
        <v>51</v>
      </c>
      <c r="B57" s="47">
        <v>102981727</v>
      </c>
      <c r="C57" s="94" t="s">
        <v>107</v>
      </c>
      <c r="D57" s="11" t="s">
        <v>1999</v>
      </c>
      <c r="E57" s="48" t="s">
        <v>34</v>
      </c>
      <c r="F57" s="48" t="s">
        <v>74</v>
      </c>
      <c r="G57" s="11" t="s">
        <v>65</v>
      </c>
      <c r="H57" s="11" t="s">
        <v>1365</v>
      </c>
      <c r="I57" s="11">
        <v>1299</v>
      </c>
      <c r="J57" s="49" t="s">
        <v>39</v>
      </c>
      <c r="K57" s="49" t="s">
        <v>76</v>
      </c>
      <c r="L57" s="49" t="s">
        <v>77</v>
      </c>
      <c r="M57" s="49" t="s">
        <v>78</v>
      </c>
      <c r="N57" s="48" t="s">
        <v>108</v>
      </c>
      <c r="O57" s="49" t="s">
        <v>68</v>
      </c>
      <c r="P57" s="11" t="s">
        <v>80</v>
      </c>
      <c r="Q57" s="11" t="s">
        <v>98</v>
      </c>
      <c r="R57" s="11" t="s">
        <v>2826</v>
      </c>
      <c r="S57" s="11" t="s">
        <v>2827</v>
      </c>
      <c r="T57" s="90" t="s">
        <v>10</v>
      </c>
      <c r="U57" s="90"/>
      <c r="V57" s="51">
        <v>43040</v>
      </c>
      <c r="W57" s="49" t="s">
        <v>68</v>
      </c>
    </row>
    <row r="58" spans="1:23" ht="13" customHeight="1" x14ac:dyDescent="0.35">
      <c r="A58" s="11">
        <v>52</v>
      </c>
      <c r="B58" s="47">
        <v>206949309</v>
      </c>
      <c r="C58" s="95" t="s">
        <v>2263</v>
      </c>
      <c r="D58" s="113" t="s">
        <v>2264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84</v>
      </c>
      <c r="M58" s="49" t="s">
        <v>85</v>
      </c>
      <c r="N58" s="48" t="s">
        <v>86</v>
      </c>
      <c r="O58" s="49" t="s">
        <v>67</v>
      </c>
      <c r="P58" s="49" t="s">
        <v>80</v>
      </c>
      <c r="Q58" s="49" t="s">
        <v>90</v>
      </c>
      <c r="R58" s="11" t="s">
        <v>82</v>
      </c>
      <c r="S58" s="11" t="s">
        <v>2819</v>
      </c>
      <c r="T58" s="90" t="s">
        <v>1</v>
      </c>
      <c r="U58" s="90"/>
      <c r="V58" s="51">
        <v>46048</v>
      </c>
      <c r="W58" s="11" t="s">
        <v>1601</v>
      </c>
    </row>
    <row r="59" spans="1:23" ht="13" customHeight="1" x14ac:dyDescent="0.35">
      <c r="A59" s="11">
        <v>53</v>
      </c>
      <c r="B59" s="47">
        <v>102207650</v>
      </c>
      <c r="C59" s="94" t="s">
        <v>2796</v>
      </c>
      <c r="D59" s="11" t="s">
        <v>2797</v>
      </c>
      <c r="E59" s="48" t="s">
        <v>34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32</v>
      </c>
      <c r="K59" s="49" t="s">
        <v>76</v>
      </c>
      <c r="L59" s="49" t="s">
        <v>85</v>
      </c>
      <c r="M59" s="49" t="s">
        <v>88</v>
      </c>
      <c r="N59" s="48" t="s">
        <v>108</v>
      </c>
      <c r="O59" s="49" t="s">
        <v>67</v>
      </c>
      <c r="P59" s="11" t="s">
        <v>80</v>
      </c>
      <c r="Q59" s="11" t="s">
        <v>98</v>
      </c>
      <c r="R59" s="11" t="s">
        <v>82</v>
      </c>
      <c r="S59" s="11" t="s">
        <v>2819</v>
      </c>
      <c r="T59" s="90" t="s">
        <v>1</v>
      </c>
      <c r="U59" s="90"/>
      <c r="V59" s="51">
        <v>42868</v>
      </c>
      <c r="W59" s="11" t="s">
        <v>1601</v>
      </c>
    </row>
    <row r="60" spans="1:23" ht="13" customHeight="1" x14ac:dyDescent="0.35">
      <c r="A60" s="11">
        <v>54</v>
      </c>
      <c r="B60" s="47">
        <v>204095444</v>
      </c>
      <c r="C60" s="94" t="s">
        <v>1392</v>
      </c>
      <c r="D60" s="11" t="s">
        <v>2059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39</v>
      </c>
      <c r="K60" s="49" t="s">
        <v>76</v>
      </c>
      <c r="L60" s="49" t="s">
        <v>88</v>
      </c>
      <c r="M60" s="49" t="s">
        <v>95</v>
      </c>
      <c r="N60" s="48" t="s">
        <v>86</v>
      </c>
      <c r="O60" s="49" t="s">
        <v>67</v>
      </c>
      <c r="P60" s="11" t="s">
        <v>80</v>
      </c>
      <c r="Q60" s="11" t="s">
        <v>87</v>
      </c>
      <c r="R60" s="11" t="s">
        <v>82</v>
      </c>
      <c r="S60" s="11" t="s">
        <v>2819</v>
      </c>
      <c r="T60" s="90" t="s">
        <v>7</v>
      </c>
      <c r="U60" s="90" t="s">
        <v>3004</v>
      </c>
      <c r="V60" s="51">
        <v>45561</v>
      </c>
      <c r="W60" s="11" t="s">
        <v>1601</v>
      </c>
    </row>
    <row r="61" spans="1:23" ht="13" customHeight="1" x14ac:dyDescent="0.35">
      <c r="A61" s="11">
        <v>55</v>
      </c>
      <c r="B61" s="47">
        <v>206348021</v>
      </c>
      <c r="C61" s="94" t="s">
        <v>1751</v>
      </c>
      <c r="D61" s="11" t="s">
        <v>2060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39</v>
      </c>
      <c r="K61" s="49" t="s">
        <v>76</v>
      </c>
      <c r="L61" s="49" t="s">
        <v>78</v>
      </c>
      <c r="M61" s="49" t="s">
        <v>92</v>
      </c>
      <c r="N61" s="49" t="s">
        <v>89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2819</v>
      </c>
      <c r="T61" s="90" t="s">
        <v>1</v>
      </c>
      <c r="U61" s="90"/>
      <c r="V61" s="51">
        <v>45957</v>
      </c>
      <c r="W61" s="11" t="s">
        <v>1601</v>
      </c>
    </row>
    <row r="62" spans="1:23" ht="13" customHeight="1" x14ac:dyDescent="0.35">
      <c r="A62" s="11">
        <v>56</v>
      </c>
      <c r="B62" s="47">
        <v>206957735</v>
      </c>
      <c r="C62" s="94" t="s">
        <v>2204</v>
      </c>
      <c r="D62" s="11" t="s">
        <v>2113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92</v>
      </c>
      <c r="M62" s="49" t="s">
        <v>84</v>
      </c>
      <c r="N62" s="49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2819</v>
      </c>
      <c r="T62" s="90" t="s">
        <v>1</v>
      </c>
      <c r="U62" s="90"/>
      <c r="V62" s="51">
        <v>46048</v>
      </c>
      <c r="W62" s="11" t="s">
        <v>1601</v>
      </c>
    </row>
    <row r="63" spans="1:23" ht="13" customHeight="1" x14ac:dyDescent="0.35">
      <c r="A63" s="11">
        <v>57</v>
      </c>
      <c r="B63" s="47">
        <v>203679313</v>
      </c>
      <c r="C63" s="94" t="s">
        <v>109</v>
      </c>
      <c r="D63" s="11" t="s">
        <v>2000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32</v>
      </c>
      <c r="K63" s="49" t="s">
        <v>76</v>
      </c>
      <c r="L63" s="49" t="s">
        <v>88</v>
      </c>
      <c r="M63" s="49" t="s">
        <v>95</v>
      </c>
      <c r="N63" s="48" t="s">
        <v>79</v>
      </c>
      <c r="O63" s="49" t="s">
        <v>67</v>
      </c>
      <c r="P63" s="11" t="s">
        <v>80</v>
      </c>
      <c r="Q63" s="11" t="s">
        <v>81</v>
      </c>
      <c r="R63" s="11" t="s">
        <v>82</v>
      </c>
      <c r="S63" s="11" t="s">
        <v>2819</v>
      </c>
      <c r="T63" s="90" t="s">
        <v>7</v>
      </c>
      <c r="U63" s="90" t="s">
        <v>3004</v>
      </c>
      <c r="V63" s="51">
        <v>45488</v>
      </c>
      <c r="W63" s="11" t="s">
        <v>1601</v>
      </c>
    </row>
    <row r="64" spans="1:23" ht="13" customHeight="1" x14ac:dyDescent="0.35">
      <c r="A64" s="11">
        <v>58</v>
      </c>
      <c r="B64" s="47">
        <v>206957724</v>
      </c>
      <c r="C64" s="94" t="s">
        <v>2205</v>
      </c>
      <c r="D64" s="11" t="s">
        <v>2114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84</v>
      </c>
      <c r="M64" s="49" t="s">
        <v>85</v>
      </c>
      <c r="N64" s="49" t="s">
        <v>89</v>
      </c>
      <c r="O64" s="49" t="s">
        <v>67</v>
      </c>
      <c r="P64" s="11" t="s">
        <v>80</v>
      </c>
      <c r="Q64" s="11" t="s">
        <v>96</v>
      </c>
      <c r="R64" s="11" t="s">
        <v>82</v>
      </c>
      <c r="S64" s="11" t="s">
        <v>2819</v>
      </c>
      <c r="T64" s="90" t="s">
        <v>1</v>
      </c>
      <c r="U64" s="90"/>
      <c r="V64" s="51">
        <v>46048</v>
      </c>
      <c r="W64" s="11" t="s">
        <v>1601</v>
      </c>
    </row>
    <row r="65" spans="1:23" ht="13" customHeight="1" x14ac:dyDescent="0.35">
      <c r="A65" s="11">
        <v>59</v>
      </c>
      <c r="B65" s="47">
        <v>206954239</v>
      </c>
      <c r="C65" s="95" t="s">
        <v>2249</v>
      </c>
      <c r="D65" s="113" t="s">
        <v>2250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39</v>
      </c>
      <c r="K65" s="49" t="s">
        <v>76</v>
      </c>
      <c r="L65" s="49" t="s">
        <v>88</v>
      </c>
      <c r="M65" s="49" t="s">
        <v>95</v>
      </c>
      <c r="N65" s="48" t="s">
        <v>86</v>
      </c>
      <c r="O65" s="49" t="s">
        <v>67</v>
      </c>
      <c r="P65" s="49" t="s">
        <v>80</v>
      </c>
      <c r="Q65" s="49" t="s">
        <v>90</v>
      </c>
      <c r="R65" s="11" t="s">
        <v>82</v>
      </c>
      <c r="S65" s="11" t="s">
        <v>2819</v>
      </c>
      <c r="T65" s="90" t="s">
        <v>1</v>
      </c>
      <c r="U65" s="90"/>
      <c r="V65" s="51">
        <v>46048</v>
      </c>
      <c r="W65" s="11" t="s">
        <v>1601</v>
      </c>
    </row>
    <row r="66" spans="1:23" ht="13" customHeight="1" x14ac:dyDescent="0.35">
      <c r="A66" s="11">
        <v>60</v>
      </c>
      <c r="B66" s="47">
        <v>206875150</v>
      </c>
      <c r="C66" s="94" t="s">
        <v>1762</v>
      </c>
      <c r="D66" s="11" t="s">
        <v>1763</v>
      </c>
      <c r="E66" s="48" t="s">
        <v>31</v>
      </c>
      <c r="F66" s="48" t="s">
        <v>74</v>
      </c>
      <c r="G66" s="48" t="s">
        <v>64</v>
      </c>
      <c r="H66" s="48" t="s">
        <v>75</v>
      </c>
      <c r="I66" s="11">
        <v>1299</v>
      </c>
      <c r="J66" s="49" t="s">
        <v>32</v>
      </c>
      <c r="K66" s="49" t="s">
        <v>76</v>
      </c>
      <c r="L66" s="49" t="s">
        <v>78</v>
      </c>
      <c r="M66" s="49" t="s">
        <v>92</v>
      </c>
      <c r="N66" s="49" t="s">
        <v>89</v>
      </c>
      <c r="O66" s="48" t="s">
        <v>67</v>
      </c>
      <c r="P66" s="48" t="s">
        <v>80</v>
      </c>
      <c r="Q66" s="11" t="s">
        <v>90</v>
      </c>
      <c r="R66" s="11" t="s">
        <v>82</v>
      </c>
      <c r="S66" s="11" t="s">
        <v>2819</v>
      </c>
      <c r="T66" s="90" t="s">
        <v>1</v>
      </c>
      <c r="U66" s="90"/>
      <c r="V66" s="51">
        <v>46020</v>
      </c>
      <c r="W66" s="11" t="s">
        <v>1601</v>
      </c>
    </row>
    <row r="67" spans="1:23" ht="13" customHeight="1" x14ac:dyDescent="0.35">
      <c r="A67" s="11">
        <v>61</v>
      </c>
      <c r="B67" s="47">
        <v>203469452</v>
      </c>
      <c r="C67" s="94" t="s">
        <v>2338</v>
      </c>
      <c r="D67" s="11" t="s">
        <v>2798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39</v>
      </c>
      <c r="K67" s="49" t="s">
        <v>76</v>
      </c>
      <c r="L67" s="49" t="s">
        <v>92</v>
      </c>
      <c r="M67" s="49" t="s">
        <v>84</v>
      </c>
      <c r="N67" s="48" t="s">
        <v>86</v>
      </c>
      <c r="O67" s="49" t="s">
        <v>67</v>
      </c>
      <c r="P67" s="11" t="s">
        <v>80</v>
      </c>
      <c r="Q67" s="11" t="s">
        <v>99</v>
      </c>
      <c r="R67" s="11" t="s">
        <v>82</v>
      </c>
      <c r="S67" s="11" t="s">
        <v>2819</v>
      </c>
      <c r="T67" s="90" t="s">
        <v>1</v>
      </c>
      <c r="U67" s="90"/>
      <c r="V67" s="51">
        <v>45456</v>
      </c>
      <c r="W67" s="11" t="s">
        <v>1601</v>
      </c>
    </row>
    <row r="68" spans="1:23" ht="13" customHeight="1" x14ac:dyDescent="0.35">
      <c r="A68" s="11">
        <v>62</v>
      </c>
      <c r="B68" s="47">
        <v>203850929</v>
      </c>
      <c r="C68" s="94" t="s">
        <v>110</v>
      </c>
      <c r="D68" s="11" t="s">
        <v>2799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32</v>
      </c>
      <c r="K68" s="49" t="s">
        <v>76</v>
      </c>
      <c r="L68" s="49" t="s">
        <v>78</v>
      </c>
      <c r="M68" s="49" t="s">
        <v>92</v>
      </c>
      <c r="N68" s="48" t="s">
        <v>79</v>
      </c>
      <c r="O68" s="49" t="s">
        <v>67</v>
      </c>
      <c r="P68" s="11" t="s">
        <v>80</v>
      </c>
      <c r="Q68" s="11" t="s">
        <v>81</v>
      </c>
      <c r="R68" s="11" t="s">
        <v>82</v>
      </c>
      <c r="S68" s="11" t="s">
        <v>2819</v>
      </c>
      <c r="T68" s="90" t="s">
        <v>1</v>
      </c>
      <c r="U68" s="89"/>
      <c r="V68" s="51">
        <v>45524</v>
      </c>
      <c r="W68" s="11" t="s">
        <v>1601</v>
      </c>
    </row>
    <row r="69" spans="1:23" ht="13" customHeight="1" x14ac:dyDescent="0.35">
      <c r="A69" s="11">
        <v>63</v>
      </c>
      <c r="B69" s="47">
        <v>204299903</v>
      </c>
      <c r="C69" s="94" t="s">
        <v>2554</v>
      </c>
      <c r="D69" s="11" t="s">
        <v>2800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92</v>
      </c>
      <c r="M69" s="49" t="s">
        <v>84</v>
      </c>
      <c r="N69" s="48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2819</v>
      </c>
      <c r="T69" s="90" t="s">
        <v>1</v>
      </c>
      <c r="U69" s="90"/>
      <c r="V69" s="51">
        <v>45586</v>
      </c>
      <c r="W69" s="11" t="s">
        <v>1601</v>
      </c>
    </row>
    <row r="70" spans="1:23" ht="13" customHeight="1" x14ac:dyDescent="0.35">
      <c r="A70" s="11">
        <v>64</v>
      </c>
      <c r="B70" s="47">
        <v>204299902</v>
      </c>
      <c r="C70" s="94" t="s">
        <v>2339</v>
      </c>
      <c r="D70" s="11" t="s">
        <v>2801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85</v>
      </c>
      <c r="M70" s="49" t="s">
        <v>88</v>
      </c>
      <c r="N70" s="49" t="s">
        <v>89</v>
      </c>
      <c r="O70" s="49" t="s">
        <v>67</v>
      </c>
      <c r="P70" s="11" t="s">
        <v>80</v>
      </c>
      <c r="Q70" s="11" t="s">
        <v>87</v>
      </c>
      <c r="R70" s="11" t="s">
        <v>82</v>
      </c>
      <c r="S70" s="11" t="s">
        <v>2819</v>
      </c>
      <c r="T70" s="90" t="s">
        <v>1</v>
      </c>
      <c r="U70" s="90"/>
      <c r="V70" s="51">
        <v>45586</v>
      </c>
      <c r="W70" s="11" t="s">
        <v>1601</v>
      </c>
    </row>
    <row r="71" spans="1:23" ht="13" customHeight="1" x14ac:dyDescent="0.35">
      <c r="A71" s="11">
        <v>65</v>
      </c>
      <c r="B71" s="47">
        <v>204319462</v>
      </c>
      <c r="C71" s="94" t="s">
        <v>111</v>
      </c>
      <c r="D71" s="11" t="s">
        <v>2001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39</v>
      </c>
      <c r="K71" s="49" t="s">
        <v>76</v>
      </c>
      <c r="L71" s="49" t="s">
        <v>92</v>
      </c>
      <c r="M71" s="49" t="s">
        <v>84</v>
      </c>
      <c r="N71" s="49" t="s">
        <v>89</v>
      </c>
      <c r="O71" s="49" t="s">
        <v>67</v>
      </c>
      <c r="P71" s="11" t="s">
        <v>80</v>
      </c>
      <c r="Q71" s="11" t="s">
        <v>87</v>
      </c>
      <c r="R71" s="11" t="s">
        <v>82</v>
      </c>
      <c r="S71" s="11" t="s">
        <v>2819</v>
      </c>
      <c r="T71" s="90" t="s">
        <v>1</v>
      </c>
      <c r="U71" s="90"/>
      <c r="V71" s="51">
        <v>45589</v>
      </c>
      <c r="W71" s="11" t="s">
        <v>1601</v>
      </c>
    </row>
    <row r="72" spans="1:23" ht="13" customHeight="1" x14ac:dyDescent="0.35">
      <c r="A72" s="11">
        <v>66</v>
      </c>
      <c r="B72" s="47">
        <v>204299911</v>
      </c>
      <c r="C72" s="94" t="s">
        <v>2579</v>
      </c>
      <c r="D72" s="11" t="s">
        <v>2580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95</v>
      </c>
      <c r="M72" s="49" t="s">
        <v>77</v>
      </c>
      <c r="N72" s="48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2819</v>
      </c>
      <c r="T72" s="90" t="s">
        <v>10</v>
      </c>
      <c r="U72" s="90"/>
      <c r="V72" s="51">
        <v>45586</v>
      </c>
      <c r="W72" s="11" t="s">
        <v>1601</v>
      </c>
    </row>
    <row r="73" spans="1:23" ht="13" customHeight="1" x14ac:dyDescent="0.35">
      <c r="A73" s="11">
        <v>67</v>
      </c>
      <c r="B73" s="47">
        <v>203679308</v>
      </c>
      <c r="C73" s="94" t="s">
        <v>2340</v>
      </c>
      <c r="D73" s="11" t="s">
        <v>2341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88</v>
      </c>
      <c r="M73" s="49" t="s">
        <v>95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2819</v>
      </c>
      <c r="T73" s="90" t="s">
        <v>1</v>
      </c>
      <c r="U73" s="90"/>
      <c r="V73" s="51">
        <v>45488</v>
      </c>
      <c r="W73" s="11" t="s">
        <v>1601</v>
      </c>
    </row>
    <row r="74" spans="1:23" ht="13" customHeight="1" x14ac:dyDescent="0.35">
      <c r="A74" s="11">
        <v>68</v>
      </c>
      <c r="B74" s="47">
        <v>206072869</v>
      </c>
      <c r="C74" s="94" t="s">
        <v>2581</v>
      </c>
      <c r="D74" s="11" t="s">
        <v>2802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95</v>
      </c>
      <c r="M74" s="49" t="s">
        <v>77</v>
      </c>
      <c r="N74" s="49" t="s">
        <v>89</v>
      </c>
      <c r="O74" s="49" t="s">
        <v>67</v>
      </c>
      <c r="P74" s="11" t="s">
        <v>80</v>
      </c>
      <c r="Q74" s="11" t="s">
        <v>81</v>
      </c>
      <c r="R74" s="11" t="s">
        <v>82</v>
      </c>
      <c r="S74" s="11" t="s">
        <v>2819</v>
      </c>
      <c r="T74" s="90" t="s">
        <v>10</v>
      </c>
      <c r="U74" s="90"/>
      <c r="V74" s="51">
        <v>45922</v>
      </c>
      <c r="W74" s="11" t="s">
        <v>1601</v>
      </c>
    </row>
    <row r="75" spans="1:23" ht="13" customHeight="1" x14ac:dyDescent="0.35">
      <c r="A75" s="11">
        <v>69</v>
      </c>
      <c r="B75" s="47">
        <v>204299913</v>
      </c>
      <c r="C75" s="94" t="s">
        <v>2342</v>
      </c>
      <c r="D75" s="11" t="s">
        <v>2343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88</v>
      </c>
      <c r="M75" s="49" t="s">
        <v>95</v>
      </c>
      <c r="N75" s="48" t="s">
        <v>86</v>
      </c>
      <c r="O75" s="49" t="s">
        <v>67</v>
      </c>
      <c r="P75" s="11" t="s">
        <v>80</v>
      </c>
      <c r="Q75" s="11" t="s">
        <v>87</v>
      </c>
      <c r="R75" s="11" t="s">
        <v>82</v>
      </c>
      <c r="S75" s="11" t="s">
        <v>2819</v>
      </c>
      <c r="T75" s="90" t="s">
        <v>1</v>
      </c>
      <c r="U75" s="90"/>
      <c r="V75" s="51">
        <v>45586</v>
      </c>
      <c r="W75" s="11" t="s">
        <v>1601</v>
      </c>
    </row>
    <row r="76" spans="1:23" ht="13" customHeight="1" x14ac:dyDescent="0.35">
      <c r="A76" s="11">
        <v>70</v>
      </c>
      <c r="B76" s="47">
        <v>203635601</v>
      </c>
      <c r="C76" s="94" t="s">
        <v>1395</v>
      </c>
      <c r="D76" s="11" t="s">
        <v>2803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1181</v>
      </c>
      <c r="J76" s="49" t="s">
        <v>32</v>
      </c>
      <c r="K76" s="49" t="s">
        <v>76</v>
      </c>
      <c r="L76" s="49" t="s">
        <v>84</v>
      </c>
      <c r="M76" s="49" t="s">
        <v>85</v>
      </c>
      <c r="N76" s="48" t="s">
        <v>79</v>
      </c>
      <c r="O76" s="49" t="s">
        <v>67</v>
      </c>
      <c r="P76" s="11" t="s">
        <v>80</v>
      </c>
      <c r="Q76" s="11" t="s">
        <v>81</v>
      </c>
      <c r="R76" s="11" t="s">
        <v>82</v>
      </c>
      <c r="S76" s="11" t="s">
        <v>2819</v>
      </c>
      <c r="T76" s="90" t="s">
        <v>1</v>
      </c>
      <c r="U76" s="90"/>
      <c r="V76" s="51">
        <v>45481</v>
      </c>
      <c r="W76" s="11" t="s">
        <v>1601</v>
      </c>
    </row>
    <row r="77" spans="1:23" ht="13" customHeight="1" x14ac:dyDescent="0.35">
      <c r="A77" s="11">
        <v>71</v>
      </c>
      <c r="B77" s="47">
        <v>206953385</v>
      </c>
      <c r="C77" s="94" t="s">
        <v>2200</v>
      </c>
      <c r="D77" s="11" t="s">
        <v>2109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9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2819</v>
      </c>
      <c r="T77" s="90" t="s">
        <v>1</v>
      </c>
      <c r="U77" s="90"/>
      <c r="V77" s="51">
        <v>46048</v>
      </c>
      <c r="W77" s="11" t="s">
        <v>1601</v>
      </c>
    </row>
    <row r="78" spans="1:23" ht="13" customHeight="1" x14ac:dyDescent="0.35">
      <c r="A78" s="11">
        <v>72</v>
      </c>
      <c r="B78" s="47">
        <v>206015572</v>
      </c>
      <c r="C78" s="94" t="s">
        <v>2344</v>
      </c>
      <c r="D78" s="11" t="s">
        <v>2804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77</v>
      </c>
      <c r="M78" s="49" t="s">
        <v>78</v>
      </c>
      <c r="N78" s="49" t="s">
        <v>89</v>
      </c>
      <c r="O78" s="49" t="s">
        <v>67</v>
      </c>
      <c r="P78" s="11" t="s">
        <v>80</v>
      </c>
      <c r="Q78" s="11" t="s">
        <v>81</v>
      </c>
      <c r="R78" s="11" t="s">
        <v>82</v>
      </c>
      <c r="S78" s="11" t="s">
        <v>2819</v>
      </c>
      <c r="T78" s="90" t="s">
        <v>10</v>
      </c>
      <c r="U78" s="91"/>
      <c r="V78" s="51">
        <v>45915</v>
      </c>
      <c r="W78" s="11" t="s">
        <v>1601</v>
      </c>
    </row>
    <row r="79" spans="1:23" ht="13" customHeight="1" x14ac:dyDescent="0.35">
      <c r="A79" s="11">
        <v>73</v>
      </c>
      <c r="B79" s="47">
        <v>203469399</v>
      </c>
      <c r="C79" s="94" t="s">
        <v>112</v>
      </c>
      <c r="D79" s="11" t="s">
        <v>2805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32</v>
      </c>
      <c r="K79" s="49" t="s">
        <v>76</v>
      </c>
      <c r="L79" s="49" t="s">
        <v>85</v>
      </c>
      <c r="M79" s="49" t="s">
        <v>88</v>
      </c>
      <c r="N79" s="48" t="s">
        <v>86</v>
      </c>
      <c r="O79" s="49" t="s">
        <v>67</v>
      </c>
      <c r="P79" s="11" t="s">
        <v>80</v>
      </c>
      <c r="Q79" s="11" t="s">
        <v>99</v>
      </c>
      <c r="R79" s="11" t="s">
        <v>82</v>
      </c>
      <c r="S79" s="11" t="s">
        <v>2819</v>
      </c>
      <c r="T79" s="90" t="s">
        <v>1</v>
      </c>
      <c r="U79" s="89"/>
      <c r="V79" s="51">
        <v>45456</v>
      </c>
      <c r="W79" s="11" t="s">
        <v>1601</v>
      </c>
    </row>
    <row r="80" spans="1:23" ht="13" customHeight="1" x14ac:dyDescent="0.35">
      <c r="A80" s="11">
        <v>74</v>
      </c>
      <c r="B80" s="47">
        <v>206953383</v>
      </c>
      <c r="C80" s="94" t="s">
        <v>2201</v>
      </c>
      <c r="D80" s="11" t="s">
        <v>2110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32</v>
      </c>
      <c r="K80" s="49" t="s">
        <v>76</v>
      </c>
      <c r="L80" s="49" t="s">
        <v>88</v>
      </c>
      <c r="M80" s="49" t="s">
        <v>95</v>
      </c>
      <c r="N80" s="49" t="s">
        <v>79</v>
      </c>
      <c r="O80" s="49" t="s">
        <v>67</v>
      </c>
      <c r="P80" s="11" t="s">
        <v>80</v>
      </c>
      <c r="Q80" s="11" t="s">
        <v>96</v>
      </c>
      <c r="R80" s="11" t="s">
        <v>82</v>
      </c>
      <c r="S80" s="11" t="s">
        <v>2819</v>
      </c>
      <c r="T80" s="90" t="s">
        <v>1</v>
      </c>
      <c r="U80" s="91"/>
      <c r="V80" s="51">
        <v>46048</v>
      </c>
      <c r="W80" s="11" t="s">
        <v>1601</v>
      </c>
    </row>
    <row r="81" spans="1:23" ht="13" customHeight="1" x14ac:dyDescent="0.35">
      <c r="A81" s="11">
        <v>75</v>
      </c>
      <c r="B81" s="47">
        <v>205647827</v>
      </c>
      <c r="C81" s="94" t="s">
        <v>2345</v>
      </c>
      <c r="D81" s="11" t="s">
        <v>2806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84</v>
      </c>
      <c r="M81" s="49" t="s">
        <v>85</v>
      </c>
      <c r="N81" s="49" t="s">
        <v>89</v>
      </c>
      <c r="O81" s="49" t="s">
        <v>67</v>
      </c>
      <c r="P81" s="11" t="s">
        <v>80</v>
      </c>
      <c r="Q81" s="11" t="s">
        <v>96</v>
      </c>
      <c r="R81" s="11" t="s">
        <v>82</v>
      </c>
      <c r="S81" s="11" t="s">
        <v>2819</v>
      </c>
      <c r="T81" s="90" t="s">
        <v>1</v>
      </c>
      <c r="U81" s="89"/>
      <c r="V81" s="51">
        <v>45852</v>
      </c>
      <c r="W81" s="11" t="s">
        <v>1601</v>
      </c>
    </row>
    <row r="82" spans="1:23" ht="13" customHeight="1" x14ac:dyDescent="0.35">
      <c r="A82" s="11">
        <v>76</v>
      </c>
      <c r="B82" s="11">
        <v>206873779</v>
      </c>
      <c r="C82" s="94" t="s">
        <v>1788</v>
      </c>
      <c r="D82" s="11" t="s">
        <v>1789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39</v>
      </c>
      <c r="K82" s="49" t="s">
        <v>76</v>
      </c>
      <c r="L82" s="49" t="s">
        <v>78</v>
      </c>
      <c r="M82" s="49" t="s">
        <v>92</v>
      </c>
      <c r="N82" s="49" t="s">
        <v>89</v>
      </c>
      <c r="O82" s="11" t="s">
        <v>67</v>
      </c>
      <c r="P82" s="48" t="s">
        <v>80</v>
      </c>
      <c r="Q82" s="11" t="s">
        <v>90</v>
      </c>
      <c r="R82" s="11" t="s">
        <v>82</v>
      </c>
      <c r="S82" s="11" t="s">
        <v>2819</v>
      </c>
      <c r="T82" s="90" t="s">
        <v>1</v>
      </c>
      <c r="U82" s="91"/>
      <c r="V82" s="51">
        <v>46020</v>
      </c>
      <c r="W82" s="11" t="s">
        <v>1601</v>
      </c>
    </row>
    <row r="83" spans="1:23" ht="13" customHeight="1" x14ac:dyDescent="0.35">
      <c r="A83" s="11">
        <v>77</v>
      </c>
      <c r="B83" s="47">
        <v>203635497</v>
      </c>
      <c r="C83" s="94" t="s">
        <v>1406</v>
      </c>
      <c r="D83" s="11" t="s">
        <v>2061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85</v>
      </c>
      <c r="M83" s="49" t="s">
        <v>88</v>
      </c>
      <c r="N83" s="48" t="s">
        <v>79</v>
      </c>
      <c r="O83" s="49" t="s">
        <v>67</v>
      </c>
      <c r="P83" s="11" t="s">
        <v>80</v>
      </c>
      <c r="Q83" s="11" t="s">
        <v>81</v>
      </c>
      <c r="R83" s="11" t="s">
        <v>82</v>
      </c>
      <c r="S83" s="11" t="s">
        <v>2819</v>
      </c>
      <c r="T83" s="90" t="s">
        <v>1</v>
      </c>
      <c r="U83" s="90"/>
      <c r="V83" s="51">
        <v>45481</v>
      </c>
      <c r="W83" s="11" t="s">
        <v>1601</v>
      </c>
    </row>
    <row r="84" spans="1:23" ht="13" customHeight="1" x14ac:dyDescent="0.35">
      <c r="A84" s="11">
        <v>78</v>
      </c>
      <c r="B84" s="47">
        <v>204246172</v>
      </c>
      <c r="C84" s="94" t="s">
        <v>1785</v>
      </c>
      <c r="D84" s="11" t="s">
        <v>1786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39</v>
      </c>
      <c r="K84" s="49" t="s">
        <v>76</v>
      </c>
      <c r="L84" s="49" t="s">
        <v>88</v>
      </c>
      <c r="M84" s="49" t="s">
        <v>95</v>
      </c>
      <c r="N84" s="49" t="s">
        <v>89</v>
      </c>
      <c r="O84" s="48" t="s">
        <v>67</v>
      </c>
      <c r="P84" s="48" t="s">
        <v>80</v>
      </c>
      <c r="Q84" s="11" t="s">
        <v>1787</v>
      </c>
      <c r="R84" s="11" t="s">
        <v>82</v>
      </c>
      <c r="S84" s="11" t="s">
        <v>2819</v>
      </c>
      <c r="T84" s="90" t="s">
        <v>1</v>
      </c>
      <c r="U84" s="91"/>
      <c r="V84" s="51">
        <v>46020</v>
      </c>
      <c r="W84" s="11" t="s">
        <v>1601</v>
      </c>
    </row>
    <row r="85" spans="1:23" ht="13" customHeight="1" x14ac:dyDescent="0.35">
      <c r="A85" s="11">
        <v>79</v>
      </c>
      <c r="B85" s="47">
        <v>206296189</v>
      </c>
      <c r="C85" s="94" t="s">
        <v>2346</v>
      </c>
      <c r="D85" s="11" t="s">
        <v>2807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32</v>
      </c>
      <c r="K85" s="49" t="s">
        <v>76</v>
      </c>
      <c r="L85" s="49" t="s">
        <v>84</v>
      </c>
      <c r="M85" s="49" t="s">
        <v>85</v>
      </c>
      <c r="N85" s="49" t="s">
        <v>89</v>
      </c>
      <c r="O85" s="49" t="s">
        <v>67</v>
      </c>
      <c r="P85" s="11" t="s">
        <v>80</v>
      </c>
      <c r="Q85" s="11" t="s">
        <v>96</v>
      </c>
      <c r="R85" s="11" t="s">
        <v>82</v>
      </c>
      <c r="S85" s="11" t="s">
        <v>2819</v>
      </c>
      <c r="T85" s="90" t="s">
        <v>1</v>
      </c>
      <c r="U85" s="90"/>
      <c r="V85" s="51">
        <v>45950</v>
      </c>
      <c r="W85" s="11" t="s">
        <v>1601</v>
      </c>
    </row>
    <row r="86" spans="1:23" ht="13" customHeight="1" x14ac:dyDescent="0.35">
      <c r="A86" s="11">
        <v>80</v>
      </c>
      <c r="B86" s="47">
        <v>203682331</v>
      </c>
      <c r="C86" s="94" t="s">
        <v>2347</v>
      </c>
      <c r="D86" s="11" t="s">
        <v>2808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86</v>
      </c>
      <c r="O86" s="49" t="s">
        <v>67</v>
      </c>
      <c r="P86" s="11" t="s">
        <v>80</v>
      </c>
      <c r="Q86" s="11" t="s">
        <v>99</v>
      </c>
      <c r="R86" s="11" t="s">
        <v>82</v>
      </c>
      <c r="S86" s="11" t="s">
        <v>2819</v>
      </c>
      <c r="T86" s="90" t="s">
        <v>1</v>
      </c>
      <c r="U86" s="89"/>
      <c r="V86" s="51">
        <v>45488</v>
      </c>
      <c r="W86" s="11" t="s">
        <v>1601</v>
      </c>
    </row>
    <row r="87" spans="1:23" ht="13" customHeight="1" x14ac:dyDescent="0.35">
      <c r="A87" s="11">
        <v>81</v>
      </c>
      <c r="B87" s="47">
        <v>206846113</v>
      </c>
      <c r="C87" s="94" t="s">
        <v>1774</v>
      </c>
      <c r="D87" s="11" t="s">
        <v>1775</v>
      </c>
      <c r="E87" s="48" t="s">
        <v>31</v>
      </c>
      <c r="F87" s="48" t="s">
        <v>74</v>
      </c>
      <c r="G87" s="48" t="s">
        <v>64</v>
      </c>
      <c r="H87" s="48" t="s">
        <v>75</v>
      </c>
      <c r="I87" s="11">
        <v>1299</v>
      </c>
      <c r="J87" s="49" t="s">
        <v>32</v>
      </c>
      <c r="K87" s="49" t="s">
        <v>76</v>
      </c>
      <c r="L87" s="49" t="s">
        <v>85</v>
      </c>
      <c r="M87" s="49" t="s">
        <v>88</v>
      </c>
      <c r="N87" s="49" t="s">
        <v>89</v>
      </c>
      <c r="O87" s="48" t="s">
        <v>67</v>
      </c>
      <c r="P87" s="48" t="s">
        <v>80</v>
      </c>
      <c r="Q87" s="11" t="s">
        <v>90</v>
      </c>
      <c r="R87" s="11" t="s">
        <v>82</v>
      </c>
      <c r="S87" s="11" t="s">
        <v>2819</v>
      </c>
      <c r="T87" s="90" t="s">
        <v>1</v>
      </c>
      <c r="U87" s="89"/>
      <c r="V87" s="51">
        <v>46020</v>
      </c>
      <c r="W87" s="11" t="s">
        <v>1601</v>
      </c>
    </row>
    <row r="88" spans="1:23" ht="13" customHeight="1" x14ac:dyDescent="0.35">
      <c r="A88" s="11">
        <v>82</v>
      </c>
      <c r="B88" s="47">
        <v>206953981</v>
      </c>
      <c r="C88" s="94" t="s">
        <v>2130</v>
      </c>
      <c r="D88" s="11" t="s">
        <v>2131</v>
      </c>
      <c r="E88" s="48" t="s">
        <v>31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92</v>
      </c>
      <c r="M88" s="49" t="s">
        <v>84</v>
      </c>
      <c r="N88" s="48" t="s">
        <v>86</v>
      </c>
      <c r="O88" s="49" t="s">
        <v>67</v>
      </c>
      <c r="P88" s="11" t="s">
        <v>80</v>
      </c>
      <c r="Q88" s="11" t="s">
        <v>90</v>
      </c>
      <c r="R88" s="11" t="s">
        <v>82</v>
      </c>
      <c r="S88" s="11" t="s">
        <v>2819</v>
      </c>
      <c r="T88" s="90" t="s">
        <v>1</v>
      </c>
      <c r="U88" s="90"/>
      <c r="V88" s="51">
        <v>46048</v>
      </c>
      <c r="W88" s="11" t="s">
        <v>1601</v>
      </c>
    </row>
    <row r="89" spans="1:23" ht="13" customHeight="1" x14ac:dyDescent="0.35">
      <c r="A89" s="11">
        <v>83</v>
      </c>
      <c r="B89" s="47">
        <v>203555400</v>
      </c>
      <c r="C89" s="94" t="s">
        <v>113</v>
      </c>
      <c r="D89" s="11" t="s">
        <v>2809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39</v>
      </c>
      <c r="K89" s="49" t="s">
        <v>76</v>
      </c>
      <c r="L89" s="49" t="s">
        <v>78</v>
      </c>
      <c r="M89" s="49" t="s">
        <v>92</v>
      </c>
      <c r="N89" s="48" t="s">
        <v>79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2819</v>
      </c>
      <c r="T89" s="90" t="s">
        <v>1</v>
      </c>
      <c r="U89" s="90"/>
      <c r="V89" s="51">
        <v>45470</v>
      </c>
      <c r="W89" s="11" t="s">
        <v>1601</v>
      </c>
    </row>
    <row r="90" spans="1:23" ht="13" customHeight="1" x14ac:dyDescent="0.35">
      <c r="A90" s="11">
        <v>84</v>
      </c>
      <c r="B90" s="47">
        <v>203800483</v>
      </c>
      <c r="C90" s="94" t="s">
        <v>2348</v>
      </c>
      <c r="D90" s="11" t="s">
        <v>2810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88</v>
      </c>
      <c r="M90" s="49" t="s">
        <v>95</v>
      </c>
      <c r="N90" s="49" t="s">
        <v>89</v>
      </c>
      <c r="O90" s="49" t="s">
        <v>67</v>
      </c>
      <c r="P90" s="11" t="s">
        <v>80</v>
      </c>
      <c r="Q90" s="11" t="s">
        <v>90</v>
      </c>
      <c r="R90" s="11" t="s">
        <v>82</v>
      </c>
      <c r="S90" s="11" t="s">
        <v>2819</v>
      </c>
      <c r="T90" s="90" t="s">
        <v>1</v>
      </c>
      <c r="U90" s="90"/>
      <c r="V90" s="51">
        <v>45516</v>
      </c>
      <c r="W90" s="11" t="s">
        <v>1601</v>
      </c>
    </row>
    <row r="91" spans="1:23" ht="13" customHeight="1" x14ac:dyDescent="0.35">
      <c r="A91" s="11">
        <v>85</v>
      </c>
      <c r="B91" s="47">
        <v>103476446</v>
      </c>
      <c r="C91" s="94" t="s">
        <v>2349</v>
      </c>
      <c r="D91" s="11" t="s">
        <v>2350</v>
      </c>
      <c r="E91" s="48" t="s">
        <v>34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78</v>
      </c>
      <c r="M91" s="49" t="s">
        <v>92</v>
      </c>
      <c r="N91" s="48" t="s">
        <v>108</v>
      </c>
      <c r="O91" s="49" t="s">
        <v>67</v>
      </c>
      <c r="P91" s="11" t="s">
        <v>80</v>
      </c>
      <c r="Q91" s="11" t="s">
        <v>98</v>
      </c>
      <c r="R91" s="11" t="s">
        <v>82</v>
      </c>
      <c r="S91" s="11" t="s">
        <v>2819</v>
      </c>
      <c r="T91" s="90" t="s">
        <v>1</v>
      </c>
      <c r="U91" s="90"/>
      <c r="V91" s="51">
        <v>43306</v>
      </c>
      <c r="W91" s="11" t="s">
        <v>1601</v>
      </c>
    </row>
    <row r="92" spans="1:23" ht="13" customHeight="1" x14ac:dyDescent="0.35">
      <c r="A92" s="11">
        <v>86</v>
      </c>
      <c r="B92" s="47">
        <v>206065204</v>
      </c>
      <c r="C92" s="94" t="s">
        <v>381</v>
      </c>
      <c r="D92" s="11" t="s">
        <v>2811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78</v>
      </c>
      <c r="M92" s="49" t="s">
        <v>92</v>
      </c>
      <c r="N92" s="49" t="s">
        <v>89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2819</v>
      </c>
      <c r="T92" s="90" t="s">
        <v>1</v>
      </c>
      <c r="U92" s="90"/>
      <c r="V92" s="51">
        <v>45922</v>
      </c>
      <c r="W92" s="11" t="s">
        <v>1601</v>
      </c>
    </row>
    <row r="93" spans="1:23" ht="13" customHeight="1" x14ac:dyDescent="0.35">
      <c r="A93" s="11">
        <v>87</v>
      </c>
      <c r="B93" s="47">
        <v>203469400</v>
      </c>
      <c r="C93" s="94" t="s">
        <v>114</v>
      </c>
      <c r="D93" s="11" t="s">
        <v>2812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39</v>
      </c>
      <c r="K93" s="49" t="s">
        <v>76</v>
      </c>
      <c r="L93" s="49" t="s">
        <v>95</v>
      </c>
      <c r="M93" s="49" t="s">
        <v>77</v>
      </c>
      <c r="N93" s="48" t="s">
        <v>86</v>
      </c>
      <c r="O93" s="49" t="s">
        <v>67</v>
      </c>
      <c r="P93" s="11" t="s">
        <v>80</v>
      </c>
      <c r="Q93" s="11" t="s">
        <v>99</v>
      </c>
      <c r="R93" s="11" t="s">
        <v>82</v>
      </c>
      <c r="S93" s="11" t="s">
        <v>2819</v>
      </c>
      <c r="T93" s="90" t="s">
        <v>10</v>
      </c>
      <c r="U93" s="90"/>
      <c r="V93" s="51">
        <v>45456</v>
      </c>
      <c r="W93" s="11" t="s">
        <v>1601</v>
      </c>
    </row>
    <row r="94" spans="1:23" ht="13" customHeight="1" x14ac:dyDescent="0.35">
      <c r="A94" s="11">
        <v>88</v>
      </c>
      <c r="B94" s="47">
        <v>206926477</v>
      </c>
      <c r="C94" s="94" t="s">
        <v>2214</v>
      </c>
      <c r="D94" s="11" t="s">
        <v>2126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32</v>
      </c>
      <c r="K94" s="49" t="s">
        <v>76</v>
      </c>
      <c r="L94" s="49" t="s">
        <v>77</v>
      </c>
      <c r="M94" s="49" t="s">
        <v>78</v>
      </c>
      <c r="N94" s="48" t="s">
        <v>86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2819</v>
      </c>
      <c r="T94" s="90" t="s">
        <v>10</v>
      </c>
      <c r="U94" s="90"/>
      <c r="V94" s="51">
        <v>46048</v>
      </c>
      <c r="W94" s="11" t="s">
        <v>1601</v>
      </c>
    </row>
    <row r="95" spans="1:23" ht="13" customHeight="1" x14ac:dyDescent="0.35">
      <c r="A95" s="11">
        <v>89</v>
      </c>
      <c r="B95" s="47">
        <v>203679317</v>
      </c>
      <c r="C95" s="94" t="s">
        <v>115</v>
      </c>
      <c r="D95" s="11" t="s">
        <v>2002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95</v>
      </c>
      <c r="M95" s="49" t="s">
        <v>77</v>
      </c>
      <c r="N95" s="48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2819</v>
      </c>
      <c r="T95" s="90" t="s">
        <v>10</v>
      </c>
      <c r="U95" s="90"/>
      <c r="V95" s="51">
        <v>45488</v>
      </c>
      <c r="W95" s="11" t="s">
        <v>1601</v>
      </c>
    </row>
    <row r="96" spans="1:23" ht="13" customHeight="1" x14ac:dyDescent="0.35">
      <c r="A96" s="11">
        <v>90</v>
      </c>
      <c r="B96" s="47">
        <v>203469060</v>
      </c>
      <c r="C96" s="94" t="s">
        <v>2351</v>
      </c>
      <c r="D96" s="11" t="s">
        <v>2352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8" t="s">
        <v>79</v>
      </c>
      <c r="O96" s="49" t="s">
        <v>67</v>
      </c>
      <c r="P96" s="11" t="s">
        <v>80</v>
      </c>
      <c r="Q96" s="11" t="s">
        <v>81</v>
      </c>
      <c r="R96" s="11" t="s">
        <v>82</v>
      </c>
      <c r="S96" s="11" t="s">
        <v>2819</v>
      </c>
      <c r="T96" s="90" t="s">
        <v>7</v>
      </c>
      <c r="U96" s="90" t="s">
        <v>3004</v>
      </c>
      <c r="V96" s="51">
        <v>45456</v>
      </c>
      <c r="W96" s="11" t="s">
        <v>1601</v>
      </c>
    </row>
    <row r="97" spans="1:23" ht="13" customHeight="1" x14ac:dyDescent="0.35">
      <c r="A97" s="11">
        <v>91</v>
      </c>
      <c r="B97" s="47">
        <v>206875152</v>
      </c>
      <c r="C97" s="94" t="s">
        <v>1764</v>
      </c>
      <c r="D97" s="11" t="s">
        <v>1765</v>
      </c>
      <c r="E97" s="48" t="s">
        <v>31</v>
      </c>
      <c r="F97" s="48" t="s">
        <v>74</v>
      </c>
      <c r="G97" s="48" t="s">
        <v>64</v>
      </c>
      <c r="H97" s="48" t="s">
        <v>75</v>
      </c>
      <c r="I97" s="11">
        <v>1299</v>
      </c>
      <c r="J97" s="49" t="s">
        <v>39</v>
      </c>
      <c r="K97" s="49" t="s">
        <v>76</v>
      </c>
      <c r="L97" s="49" t="s">
        <v>78</v>
      </c>
      <c r="M97" s="49" t="s">
        <v>92</v>
      </c>
      <c r="N97" s="49" t="s">
        <v>89</v>
      </c>
      <c r="O97" s="48" t="s">
        <v>67</v>
      </c>
      <c r="P97" s="48" t="s">
        <v>80</v>
      </c>
      <c r="Q97" s="11" t="s">
        <v>90</v>
      </c>
      <c r="R97" s="11" t="s">
        <v>82</v>
      </c>
      <c r="S97" s="11" t="s">
        <v>2819</v>
      </c>
      <c r="T97" s="90" t="s">
        <v>1</v>
      </c>
      <c r="U97" s="91"/>
      <c r="V97" s="51">
        <v>46020</v>
      </c>
      <c r="W97" s="11" t="s">
        <v>1601</v>
      </c>
    </row>
    <row r="98" spans="1:23" ht="13" customHeight="1" x14ac:dyDescent="0.35">
      <c r="A98" s="11">
        <v>92</v>
      </c>
      <c r="B98" s="47">
        <v>206174727</v>
      </c>
      <c r="C98" s="94" t="s">
        <v>2353</v>
      </c>
      <c r="D98" s="11" t="s">
        <v>2354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32</v>
      </c>
      <c r="K98" s="49" t="s">
        <v>76</v>
      </c>
      <c r="L98" s="49" t="s">
        <v>84</v>
      </c>
      <c r="M98" s="49" t="s">
        <v>85</v>
      </c>
      <c r="N98" s="49" t="s">
        <v>89</v>
      </c>
      <c r="O98" s="49" t="s">
        <v>67</v>
      </c>
      <c r="P98" s="11" t="s">
        <v>80</v>
      </c>
      <c r="Q98" s="11" t="s">
        <v>81</v>
      </c>
      <c r="R98" s="11" t="s">
        <v>82</v>
      </c>
      <c r="S98" s="11" t="s">
        <v>2819</v>
      </c>
      <c r="T98" s="90" t="s">
        <v>1</v>
      </c>
      <c r="U98" s="90"/>
      <c r="V98" s="51">
        <v>45932</v>
      </c>
      <c r="W98" s="11" t="s">
        <v>1601</v>
      </c>
    </row>
    <row r="99" spans="1:23" ht="13" customHeight="1" x14ac:dyDescent="0.35">
      <c r="A99" s="11">
        <v>93</v>
      </c>
      <c r="B99" s="47">
        <v>206296194</v>
      </c>
      <c r="C99" s="94" t="s">
        <v>1699</v>
      </c>
      <c r="D99" s="11" t="s">
        <v>2297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84</v>
      </c>
      <c r="M99" s="49" t="s">
        <v>85</v>
      </c>
      <c r="N99" s="49" t="s">
        <v>89</v>
      </c>
      <c r="O99" s="49" t="s">
        <v>67</v>
      </c>
      <c r="P99" s="11" t="s">
        <v>80</v>
      </c>
      <c r="Q99" s="11" t="s">
        <v>96</v>
      </c>
      <c r="R99" s="11" t="s">
        <v>82</v>
      </c>
      <c r="S99" s="11" t="s">
        <v>2819</v>
      </c>
      <c r="T99" s="90" t="s">
        <v>1</v>
      </c>
      <c r="U99" s="90"/>
      <c r="V99" s="51">
        <v>45950</v>
      </c>
      <c r="W99" s="11" t="s">
        <v>1601</v>
      </c>
    </row>
    <row r="100" spans="1:23" ht="13" customHeight="1" x14ac:dyDescent="0.35">
      <c r="A100" s="11">
        <v>94</v>
      </c>
      <c r="B100" s="47">
        <v>206937730</v>
      </c>
      <c r="C100" s="94" t="s">
        <v>2213</v>
      </c>
      <c r="D100" s="11" t="s">
        <v>2124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86</v>
      </c>
      <c r="O100" s="49" t="s">
        <v>67</v>
      </c>
      <c r="P100" s="11" t="s">
        <v>80</v>
      </c>
      <c r="Q100" s="11" t="s">
        <v>90</v>
      </c>
      <c r="R100" s="11" t="s">
        <v>82</v>
      </c>
      <c r="S100" s="11" t="s">
        <v>2819</v>
      </c>
      <c r="T100" s="90" t="s">
        <v>1</v>
      </c>
      <c r="U100" s="90"/>
      <c r="V100" s="51">
        <v>46048</v>
      </c>
      <c r="W100" s="11" t="s">
        <v>1601</v>
      </c>
    </row>
    <row r="101" spans="1:23" ht="13" customHeight="1" x14ac:dyDescent="0.35">
      <c r="A101" s="11">
        <v>95</v>
      </c>
      <c r="B101" s="47">
        <v>206192253</v>
      </c>
      <c r="C101" s="94" t="s">
        <v>2582</v>
      </c>
      <c r="D101" s="11" t="s">
        <v>2583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39</v>
      </c>
      <c r="K101" s="49" t="s">
        <v>76</v>
      </c>
      <c r="L101" s="49" t="s">
        <v>84</v>
      </c>
      <c r="M101" s="49" t="s">
        <v>85</v>
      </c>
      <c r="N101" s="49" t="s">
        <v>79</v>
      </c>
      <c r="O101" s="49" t="s">
        <v>67</v>
      </c>
      <c r="P101" s="11" t="s">
        <v>80</v>
      </c>
      <c r="Q101" s="11" t="s">
        <v>96</v>
      </c>
      <c r="R101" s="11" t="s">
        <v>82</v>
      </c>
      <c r="S101" s="11" t="s">
        <v>2819</v>
      </c>
      <c r="T101" s="90" t="s">
        <v>1</v>
      </c>
      <c r="U101" s="90"/>
      <c r="V101" s="51">
        <v>45936</v>
      </c>
      <c r="W101" s="11" t="s">
        <v>1601</v>
      </c>
    </row>
    <row r="102" spans="1:23" ht="13" customHeight="1" x14ac:dyDescent="0.35">
      <c r="A102" s="11">
        <v>96</v>
      </c>
      <c r="B102" s="47">
        <v>204373675</v>
      </c>
      <c r="C102" s="94" t="s">
        <v>116</v>
      </c>
      <c r="D102" s="11" t="s">
        <v>2003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32</v>
      </c>
      <c r="K102" s="49" t="s">
        <v>76</v>
      </c>
      <c r="L102" s="49" t="s">
        <v>95</v>
      </c>
      <c r="M102" s="49" t="s">
        <v>77</v>
      </c>
      <c r="N102" s="48" t="s">
        <v>86</v>
      </c>
      <c r="O102" s="49" t="s">
        <v>67</v>
      </c>
      <c r="P102" s="11" t="s">
        <v>80</v>
      </c>
      <c r="Q102" s="11" t="s">
        <v>99</v>
      </c>
      <c r="R102" s="11" t="s">
        <v>82</v>
      </c>
      <c r="S102" s="11" t="s">
        <v>2819</v>
      </c>
      <c r="T102" s="90" t="s">
        <v>10</v>
      </c>
      <c r="U102" s="90"/>
      <c r="V102" s="51">
        <v>45593</v>
      </c>
      <c r="W102" s="11" t="s">
        <v>1601</v>
      </c>
    </row>
    <row r="103" spans="1:23" ht="13" customHeight="1" x14ac:dyDescent="0.35">
      <c r="A103" s="11">
        <v>97</v>
      </c>
      <c r="B103" s="47">
        <v>204319464</v>
      </c>
      <c r="C103" s="94" t="s">
        <v>117</v>
      </c>
      <c r="D103" s="11" t="s">
        <v>2004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84</v>
      </c>
      <c r="M103" s="49" t="s">
        <v>85</v>
      </c>
      <c r="N103" s="49" t="s">
        <v>89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2819</v>
      </c>
      <c r="T103" s="90" t="s">
        <v>1</v>
      </c>
      <c r="U103" s="90"/>
      <c r="V103" s="51">
        <v>45589</v>
      </c>
      <c r="W103" s="11" t="s">
        <v>1601</v>
      </c>
    </row>
    <row r="104" spans="1:23" ht="13" customHeight="1" x14ac:dyDescent="0.35">
      <c r="A104" s="11">
        <v>98</v>
      </c>
      <c r="B104" s="47">
        <v>206015673</v>
      </c>
      <c r="C104" s="94" t="s">
        <v>2355</v>
      </c>
      <c r="D104" s="11" t="s">
        <v>2356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77</v>
      </c>
      <c r="M104" s="49" t="s">
        <v>78</v>
      </c>
      <c r="N104" s="49" t="s">
        <v>89</v>
      </c>
      <c r="O104" s="49" t="s">
        <v>67</v>
      </c>
      <c r="P104" s="11" t="s">
        <v>80</v>
      </c>
      <c r="Q104" s="11" t="s">
        <v>81</v>
      </c>
      <c r="R104" s="11" t="s">
        <v>82</v>
      </c>
      <c r="S104" s="11" t="s">
        <v>2819</v>
      </c>
      <c r="T104" s="90" t="s">
        <v>10</v>
      </c>
      <c r="U104" s="90"/>
      <c r="V104" s="51">
        <v>45915</v>
      </c>
      <c r="W104" s="11" t="s">
        <v>1601</v>
      </c>
    </row>
    <row r="105" spans="1:23" ht="13" customHeight="1" x14ac:dyDescent="0.35">
      <c r="A105" s="11">
        <v>99</v>
      </c>
      <c r="B105" s="47">
        <v>206006079</v>
      </c>
      <c r="C105" s="94" t="s">
        <v>402</v>
      </c>
      <c r="D105" s="11" t="s">
        <v>2005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39</v>
      </c>
      <c r="K105" s="49" t="s">
        <v>76</v>
      </c>
      <c r="L105" s="49" t="s">
        <v>92</v>
      </c>
      <c r="M105" s="49" t="s">
        <v>84</v>
      </c>
      <c r="N105" s="49" t="s">
        <v>89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2819</v>
      </c>
      <c r="T105" s="90" t="s">
        <v>1</v>
      </c>
      <c r="U105" s="90"/>
      <c r="V105" s="51">
        <v>45915</v>
      </c>
      <c r="W105" s="11" t="s">
        <v>1601</v>
      </c>
    </row>
    <row r="106" spans="1:23" ht="13" customHeight="1" x14ac:dyDescent="0.35">
      <c r="A106" s="11">
        <v>100</v>
      </c>
      <c r="B106" s="47">
        <v>204373628</v>
      </c>
      <c r="C106" s="94" t="s">
        <v>118</v>
      </c>
      <c r="D106" s="11" t="s">
        <v>2006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78</v>
      </c>
      <c r="M106" s="49" t="s">
        <v>92</v>
      </c>
      <c r="N106" s="48" t="s">
        <v>86</v>
      </c>
      <c r="O106" s="49" t="s">
        <v>67</v>
      </c>
      <c r="P106" s="11" t="s">
        <v>80</v>
      </c>
      <c r="Q106" s="11" t="s">
        <v>87</v>
      </c>
      <c r="R106" s="11" t="s">
        <v>82</v>
      </c>
      <c r="S106" s="11" t="s">
        <v>2819</v>
      </c>
      <c r="T106" s="90" t="s">
        <v>1</v>
      </c>
      <c r="U106" s="90"/>
      <c r="V106" s="51">
        <v>45593</v>
      </c>
      <c r="W106" s="11" t="s">
        <v>1601</v>
      </c>
    </row>
    <row r="107" spans="1:23" ht="13" customHeight="1" x14ac:dyDescent="0.35">
      <c r="A107" s="11">
        <v>101</v>
      </c>
      <c r="B107" s="47">
        <v>206957730</v>
      </c>
      <c r="C107" s="94" t="s">
        <v>2206</v>
      </c>
      <c r="D107" s="11" t="s">
        <v>2115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89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2819</v>
      </c>
      <c r="T107" s="90" t="s">
        <v>10</v>
      </c>
      <c r="U107" s="90"/>
      <c r="V107" s="51">
        <v>46048</v>
      </c>
      <c r="W107" s="11" t="s">
        <v>1601</v>
      </c>
    </row>
    <row r="108" spans="1:23" ht="13" customHeight="1" x14ac:dyDescent="0.35">
      <c r="A108" s="11">
        <v>102</v>
      </c>
      <c r="B108" s="47">
        <v>201456034</v>
      </c>
      <c r="C108" s="94" t="s">
        <v>119</v>
      </c>
      <c r="D108" s="11" t="s">
        <v>2007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95</v>
      </c>
      <c r="M108" s="49" t="s">
        <v>77</v>
      </c>
      <c r="N108" s="48" t="s">
        <v>79</v>
      </c>
      <c r="O108" s="49" t="s">
        <v>67</v>
      </c>
      <c r="P108" s="11" t="s">
        <v>80</v>
      </c>
      <c r="Q108" s="11" t="s">
        <v>81</v>
      </c>
      <c r="R108" s="11" t="s">
        <v>82</v>
      </c>
      <c r="S108" s="11" t="s">
        <v>2819</v>
      </c>
      <c r="T108" s="90" t="s">
        <v>10</v>
      </c>
      <c r="U108" s="90"/>
      <c r="V108" s="51">
        <v>45603</v>
      </c>
      <c r="W108" s="11" t="s">
        <v>1601</v>
      </c>
    </row>
    <row r="109" spans="1:23" ht="13" customHeight="1" x14ac:dyDescent="0.35">
      <c r="A109" s="11">
        <v>103</v>
      </c>
      <c r="B109" s="47">
        <v>206953803</v>
      </c>
      <c r="C109" s="94" t="s">
        <v>2202</v>
      </c>
      <c r="D109" s="11" t="s">
        <v>2111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88</v>
      </c>
      <c r="M109" s="49" t="s">
        <v>95</v>
      </c>
      <c r="N109" s="49" t="s">
        <v>79</v>
      </c>
      <c r="O109" s="49" t="s">
        <v>67</v>
      </c>
      <c r="P109" s="11" t="s">
        <v>80</v>
      </c>
      <c r="Q109" s="11" t="s">
        <v>96</v>
      </c>
      <c r="R109" s="11" t="s">
        <v>82</v>
      </c>
      <c r="S109" s="11" t="s">
        <v>2819</v>
      </c>
      <c r="T109" s="90" t="s">
        <v>1</v>
      </c>
      <c r="U109" s="90"/>
      <c r="V109" s="51">
        <v>46048</v>
      </c>
      <c r="W109" s="11" t="s">
        <v>1601</v>
      </c>
    </row>
    <row r="110" spans="1:23" ht="13" customHeight="1" x14ac:dyDescent="0.35">
      <c r="A110" s="11">
        <v>104</v>
      </c>
      <c r="B110" s="47">
        <v>206192268</v>
      </c>
      <c r="C110" s="94" t="s">
        <v>1631</v>
      </c>
      <c r="D110" s="11" t="s">
        <v>2008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95</v>
      </c>
      <c r="M110" s="49" t="s">
        <v>77</v>
      </c>
      <c r="N110" s="49" t="s">
        <v>79</v>
      </c>
      <c r="O110" s="49" t="s">
        <v>67</v>
      </c>
      <c r="P110" s="11" t="s">
        <v>80</v>
      </c>
      <c r="Q110" s="11" t="s">
        <v>96</v>
      </c>
      <c r="R110" s="11" t="s">
        <v>82</v>
      </c>
      <c r="S110" s="11" t="s">
        <v>2819</v>
      </c>
      <c r="T110" s="90" t="s">
        <v>10</v>
      </c>
      <c r="U110" s="90"/>
      <c r="V110" s="51">
        <v>45936</v>
      </c>
      <c r="W110" s="11" t="s">
        <v>1601</v>
      </c>
    </row>
    <row r="111" spans="1:23" ht="13" customHeight="1" x14ac:dyDescent="0.35">
      <c r="A111" s="11">
        <v>105</v>
      </c>
      <c r="B111" s="47">
        <v>203469395</v>
      </c>
      <c r="C111" s="94" t="s">
        <v>120</v>
      </c>
      <c r="D111" s="11" t="s">
        <v>2009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78</v>
      </c>
      <c r="M111" s="49" t="s">
        <v>92</v>
      </c>
      <c r="N111" s="48" t="s">
        <v>86</v>
      </c>
      <c r="O111" s="49" t="s">
        <v>67</v>
      </c>
      <c r="P111" s="11" t="s">
        <v>80</v>
      </c>
      <c r="Q111" s="11" t="s">
        <v>99</v>
      </c>
      <c r="R111" s="11" t="s">
        <v>82</v>
      </c>
      <c r="S111" s="11" t="s">
        <v>2819</v>
      </c>
      <c r="T111" s="90" t="s">
        <v>7</v>
      </c>
      <c r="U111" s="90" t="s">
        <v>3004</v>
      </c>
      <c r="V111" s="51">
        <v>45456</v>
      </c>
      <c r="W111" s="11" t="s">
        <v>1601</v>
      </c>
    </row>
    <row r="112" spans="1:23" ht="13" customHeight="1" x14ac:dyDescent="0.35">
      <c r="A112" s="11">
        <v>106</v>
      </c>
      <c r="B112" s="47">
        <v>102582334</v>
      </c>
      <c r="C112" s="94" t="s">
        <v>2813</v>
      </c>
      <c r="D112" s="11" t="s">
        <v>2814</v>
      </c>
      <c r="E112" s="48" t="s">
        <v>34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32</v>
      </c>
      <c r="K112" s="49" t="s">
        <v>76</v>
      </c>
      <c r="L112" s="49" t="s">
        <v>95</v>
      </c>
      <c r="M112" s="49" t="s">
        <v>77</v>
      </c>
      <c r="N112" s="48" t="s">
        <v>108</v>
      </c>
      <c r="O112" s="49" t="s">
        <v>67</v>
      </c>
      <c r="P112" s="11" t="s">
        <v>80</v>
      </c>
      <c r="Q112" s="11" t="s">
        <v>98</v>
      </c>
      <c r="R112" s="11" t="s">
        <v>2817</v>
      </c>
      <c r="S112" s="11" t="s">
        <v>2818</v>
      </c>
      <c r="T112" s="90" t="s">
        <v>10</v>
      </c>
      <c r="U112" s="90"/>
      <c r="V112" s="51">
        <v>42960</v>
      </c>
      <c r="W112" s="11" t="s">
        <v>1601</v>
      </c>
    </row>
    <row r="113" spans="1:23" ht="13" customHeight="1" x14ac:dyDescent="0.35">
      <c r="A113" s="11">
        <v>107</v>
      </c>
      <c r="B113" s="47">
        <v>203687851</v>
      </c>
      <c r="C113" s="94" t="s">
        <v>2357</v>
      </c>
      <c r="D113" s="11" t="s">
        <v>2358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39</v>
      </c>
      <c r="K113" s="49" t="s">
        <v>76</v>
      </c>
      <c r="L113" s="49" t="s">
        <v>77</v>
      </c>
      <c r="M113" s="49" t="s">
        <v>78</v>
      </c>
      <c r="N113" s="48" t="s">
        <v>86</v>
      </c>
      <c r="O113" s="49" t="s">
        <v>67</v>
      </c>
      <c r="P113" s="11" t="s">
        <v>80</v>
      </c>
      <c r="Q113" s="11" t="s">
        <v>99</v>
      </c>
      <c r="R113" s="11" t="s">
        <v>82</v>
      </c>
      <c r="S113" s="11" t="s">
        <v>2819</v>
      </c>
      <c r="T113" s="90" t="s">
        <v>10</v>
      </c>
      <c r="U113" s="90"/>
      <c r="V113" s="51">
        <v>45488</v>
      </c>
      <c r="W113" s="11" t="s">
        <v>1601</v>
      </c>
    </row>
    <row r="114" spans="1:23" ht="13" customHeight="1" x14ac:dyDescent="0.35">
      <c r="A114" s="11">
        <v>108</v>
      </c>
      <c r="B114" s="47">
        <v>206953570</v>
      </c>
      <c r="C114" s="94" t="s">
        <v>2203</v>
      </c>
      <c r="D114" s="11" t="s">
        <v>2112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88</v>
      </c>
      <c r="M114" s="49" t="s">
        <v>95</v>
      </c>
      <c r="N114" s="49" t="s">
        <v>79</v>
      </c>
      <c r="O114" s="49" t="s">
        <v>67</v>
      </c>
      <c r="P114" s="11" t="s">
        <v>80</v>
      </c>
      <c r="Q114" s="11" t="s">
        <v>96</v>
      </c>
      <c r="R114" s="11" t="s">
        <v>82</v>
      </c>
      <c r="S114" s="11" t="s">
        <v>2819</v>
      </c>
      <c r="T114" s="90" t="s">
        <v>1</v>
      </c>
      <c r="U114" s="90"/>
      <c r="V114" s="51">
        <v>46048</v>
      </c>
      <c r="W114" s="11" t="s">
        <v>1601</v>
      </c>
    </row>
    <row r="115" spans="1:23" ht="13" customHeight="1" x14ac:dyDescent="0.35">
      <c r="A115" s="11">
        <v>109</v>
      </c>
      <c r="B115" s="47">
        <v>203469053</v>
      </c>
      <c r="C115" s="94" t="s">
        <v>121</v>
      </c>
      <c r="D115" s="11" t="s">
        <v>2010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79</v>
      </c>
      <c r="O115" s="49" t="s">
        <v>67</v>
      </c>
      <c r="P115" s="11" t="s">
        <v>80</v>
      </c>
      <c r="Q115" s="11" t="s">
        <v>81</v>
      </c>
      <c r="R115" s="11" t="s">
        <v>82</v>
      </c>
      <c r="S115" s="11" t="s">
        <v>2819</v>
      </c>
      <c r="T115" s="90" t="s">
        <v>1</v>
      </c>
      <c r="U115" s="89"/>
      <c r="V115" s="51">
        <v>45456</v>
      </c>
      <c r="W115" s="11" t="s">
        <v>1601</v>
      </c>
    </row>
    <row r="116" spans="1:23" ht="13" customHeight="1" x14ac:dyDescent="0.35">
      <c r="A116" s="11">
        <v>110</v>
      </c>
      <c r="B116" s="47">
        <v>206949312</v>
      </c>
      <c r="C116" s="95" t="s">
        <v>2253</v>
      </c>
      <c r="D116" s="113" t="s">
        <v>2254</v>
      </c>
      <c r="E116" s="113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86</v>
      </c>
      <c r="O116" s="49" t="s">
        <v>67</v>
      </c>
      <c r="P116" s="49" t="s">
        <v>80</v>
      </c>
      <c r="Q116" s="49" t="s">
        <v>90</v>
      </c>
      <c r="R116" s="11" t="s">
        <v>82</v>
      </c>
      <c r="S116" s="11" t="s">
        <v>2819</v>
      </c>
      <c r="T116" s="90" t="s">
        <v>1</v>
      </c>
      <c r="U116" s="89"/>
      <c r="V116" s="51">
        <v>46048</v>
      </c>
      <c r="W116" s="11" t="s">
        <v>1601</v>
      </c>
    </row>
    <row r="117" spans="1:23" ht="13" customHeight="1" x14ac:dyDescent="0.35">
      <c r="A117" s="11">
        <v>111</v>
      </c>
      <c r="B117" s="47">
        <v>203469401</v>
      </c>
      <c r="C117" s="94" t="s">
        <v>122</v>
      </c>
      <c r="D117" s="11" t="s">
        <v>2011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86</v>
      </c>
      <c r="O117" s="49" t="s">
        <v>67</v>
      </c>
      <c r="P117" s="11" t="s">
        <v>80</v>
      </c>
      <c r="Q117" s="11" t="s">
        <v>99</v>
      </c>
      <c r="R117" s="11" t="s">
        <v>82</v>
      </c>
      <c r="S117" s="11" t="s">
        <v>2819</v>
      </c>
      <c r="T117" s="90" t="s">
        <v>1</v>
      </c>
      <c r="U117" s="91"/>
      <c r="V117" s="51">
        <v>45456</v>
      </c>
      <c r="W117" s="11" t="s">
        <v>1601</v>
      </c>
    </row>
    <row r="118" spans="1:23" ht="13" customHeight="1" x14ac:dyDescent="0.35">
      <c r="A118" s="11">
        <v>112</v>
      </c>
      <c r="B118" s="47">
        <v>206192274</v>
      </c>
      <c r="C118" s="94" t="s">
        <v>2359</v>
      </c>
      <c r="D118" s="11" t="s">
        <v>2360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39</v>
      </c>
      <c r="K118" s="49" t="s">
        <v>76</v>
      </c>
      <c r="L118" s="49" t="s">
        <v>85</v>
      </c>
      <c r="M118" s="49" t="s">
        <v>88</v>
      </c>
      <c r="N118" s="49" t="s">
        <v>89</v>
      </c>
      <c r="O118" s="49" t="s">
        <v>67</v>
      </c>
      <c r="P118" s="11" t="s">
        <v>80</v>
      </c>
      <c r="Q118" s="11" t="s">
        <v>96</v>
      </c>
      <c r="R118" s="11" t="s">
        <v>82</v>
      </c>
      <c r="S118" s="11" t="s">
        <v>2819</v>
      </c>
      <c r="T118" s="90" t="s">
        <v>7</v>
      </c>
      <c r="U118" s="90" t="s">
        <v>3004</v>
      </c>
      <c r="V118" s="51">
        <v>45936</v>
      </c>
      <c r="W118" s="11" t="s">
        <v>1601</v>
      </c>
    </row>
    <row r="119" spans="1:23" ht="13" customHeight="1" x14ac:dyDescent="0.35">
      <c r="A119" s="11">
        <v>113</v>
      </c>
      <c r="B119" s="47">
        <v>203469078</v>
      </c>
      <c r="C119" s="94" t="s">
        <v>123</v>
      </c>
      <c r="D119" s="11" t="s">
        <v>2012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85</v>
      </c>
      <c r="M119" s="49" t="s">
        <v>88</v>
      </c>
      <c r="N119" s="48" t="s">
        <v>79</v>
      </c>
      <c r="O119" s="49" t="s">
        <v>67</v>
      </c>
      <c r="P119" s="11" t="s">
        <v>80</v>
      </c>
      <c r="Q119" s="11" t="s">
        <v>81</v>
      </c>
      <c r="R119" s="11" t="s">
        <v>82</v>
      </c>
      <c r="S119" s="11" t="s">
        <v>2819</v>
      </c>
      <c r="T119" s="90" t="s">
        <v>1</v>
      </c>
      <c r="U119" s="91"/>
      <c r="V119" s="51">
        <v>45456</v>
      </c>
      <c r="W119" s="11" t="s">
        <v>1601</v>
      </c>
    </row>
    <row r="120" spans="1:23" ht="13" customHeight="1" x14ac:dyDescent="0.35">
      <c r="A120" s="11">
        <v>114</v>
      </c>
      <c r="B120" s="47">
        <v>206953972</v>
      </c>
      <c r="C120" s="94" t="s">
        <v>2219</v>
      </c>
      <c r="D120" s="11" t="s">
        <v>2133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32</v>
      </c>
      <c r="K120" s="49" t="s">
        <v>76</v>
      </c>
      <c r="L120" s="49" t="s">
        <v>88</v>
      </c>
      <c r="M120" s="49" t="s">
        <v>95</v>
      </c>
      <c r="N120" s="48" t="s">
        <v>89</v>
      </c>
      <c r="O120" s="49" t="s">
        <v>67</v>
      </c>
      <c r="P120" s="11" t="s">
        <v>80</v>
      </c>
      <c r="Q120" s="11" t="s">
        <v>90</v>
      </c>
      <c r="R120" s="11" t="s">
        <v>82</v>
      </c>
      <c r="S120" s="11" t="s">
        <v>2819</v>
      </c>
      <c r="T120" s="90" t="s">
        <v>1</v>
      </c>
      <c r="U120" s="91"/>
      <c r="V120" s="51">
        <v>46048</v>
      </c>
      <c r="W120" s="11" t="s">
        <v>1601</v>
      </c>
    </row>
    <row r="121" spans="1:23" ht="13" customHeight="1" x14ac:dyDescent="0.35">
      <c r="A121" s="11">
        <v>115</v>
      </c>
      <c r="B121" s="47">
        <v>203469052</v>
      </c>
      <c r="C121" s="94" t="s">
        <v>124</v>
      </c>
      <c r="D121" s="11" t="s">
        <v>2013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85</v>
      </c>
      <c r="M121" s="49" t="s">
        <v>88</v>
      </c>
      <c r="N121" s="48" t="s">
        <v>79</v>
      </c>
      <c r="O121" s="49" t="s">
        <v>67</v>
      </c>
      <c r="P121" s="11" t="s">
        <v>80</v>
      </c>
      <c r="Q121" s="11" t="s">
        <v>81</v>
      </c>
      <c r="R121" s="11" t="s">
        <v>82</v>
      </c>
      <c r="S121" s="11" t="s">
        <v>2819</v>
      </c>
      <c r="T121" s="90" t="s">
        <v>1</v>
      </c>
      <c r="U121" s="89"/>
      <c r="V121" s="51">
        <v>45456</v>
      </c>
      <c r="W121" s="11" t="s">
        <v>1601</v>
      </c>
    </row>
    <row r="122" spans="1:23" ht="13" customHeight="1" x14ac:dyDescent="0.35">
      <c r="A122" s="11">
        <v>116</v>
      </c>
      <c r="B122" s="47">
        <v>206875598</v>
      </c>
      <c r="C122" s="94" t="s">
        <v>1783</v>
      </c>
      <c r="D122" s="11" t="s">
        <v>1784</v>
      </c>
      <c r="E122" s="48" t="s">
        <v>31</v>
      </c>
      <c r="F122" s="48" t="s">
        <v>74</v>
      </c>
      <c r="G122" s="48" t="s">
        <v>64</v>
      </c>
      <c r="H122" s="48" t="s">
        <v>75</v>
      </c>
      <c r="I122" s="11">
        <v>1299</v>
      </c>
      <c r="J122" s="49" t="s">
        <v>32</v>
      </c>
      <c r="K122" s="49" t="s">
        <v>76</v>
      </c>
      <c r="L122" s="49" t="s">
        <v>77</v>
      </c>
      <c r="M122" s="49" t="s">
        <v>78</v>
      </c>
      <c r="N122" s="49" t="s">
        <v>89</v>
      </c>
      <c r="O122" s="48" t="s">
        <v>67</v>
      </c>
      <c r="P122" s="48" t="s">
        <v>80</v>
      </c>
      <c r="Q122" s="11" t="s">
        <v>90</v>
      </c>
      <c r="R122" s="11" t="s">
        <v>82</v>
      </c>
      <c r="S122" s="11" t="s">
        <v>2819</v>
      </c>
      <c r="T122" s="90" t="s">
        <v>10</v>
      </c>
      <c r="U122" s="91"/>
      <c r="V122" s="51">
        <v>46020</v>
      </c>
      <c r="W122" s="11" t="s">
        <v>1601</v>
      </c>
    </row>
    <row r="123" spans="1:23" ht="13" customHeight="1" x14ac:dyDescent="0.35">
      <c r="A123" s="11">
        <v>117</v>
      </c>
      <c r="B123" s="47">
        <v>206957734</v>
      </c>
      <c r="C123" s="94" t="s">
        <v>2207</v>
      </c>
      <c r="D123" s="11" t="s">
        <v>2116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78</v>
      </c>
      <c r="M123" s="49" t="s">
        <v>92</v>
      </c>
      <c r="N123" s="49" t="s">
        <v>89</v>
      </c>
      <c r="O123" s="49" t="s">
        <v>67</v>
      </c>
      <c r="P123" s="11" t="s">
        <v>80</v>
      </c>
      <c r="Q123" s="11" t="s">
        <v>96</v>
      </c>
      <c r="R123" s="11" t="s">
        <v>82</v>
      </c>
      <c r="S123" s="11" t="s">
        <v>2819</v>
      </c>
      <c r="T123" s="90" t="s">
        <v>1</v>
      </c>
      <c r="U123" s="89"/>
      <c r="V123" s="51">
        <v>46048</v>
      </c>
      <c r="W123" s="11" t="s">
        <v>1601</v>
      </c>
    </row>
    <row r="124" spans="1:23" ht="13" customHeight="1" x14ac:dyDescent="0.35">
      <c r="A124" s="11">
        <v>118</v>
      </c>
      <c r="B124" s="47">
        <v>202199024</v>
      </c>
      <c r="C124" s="94" t="s">
        <v>125</v>
      </c>
      <c r="D124" s="11" t="s">
        <v>2014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39</v>
      </c>
      <c r="K124" s="49" t="s">
        <v>76</v>
      </c>
      <c r="L124" s="49" t="s">
        <v>77</v>
      </c>
      <c r="M124" s="49" t="s">
        <v>78</v>
      </c>
      <c r="N124" s="48" t="s">
        <v>86</v>
      </c>
      <c r="O124" s="49" t="s">
        <v>67</v>
      </c>
      <c r="P124" s="11" t="s">
        <v>80</v>
      </c>
      <c r="Q124" s="11" t="s">
        <v>87</v>
      </c>
      <c r="R124" s="11" t="s">
        <v>82</v>
      </c>
      <c r="S124" s="11" t="s">
        <v>2819</v>
      </c>
      <c r="T124" s="90" t="s">
        <v>10</v>
      </c>
      <c r="U124" s="89"/>
      <c r="V124" s="51">
        <v>45589</v>
      </c>
      <c r="W124" s="11" t="s">
        <v>1601</v>
      </c>
    </row>
    <row r="125" spans="1:23" ht="13" customHeight="1" x14ac:dyDescent="0.35">
      <c r="A125" s="11">
        <v>119</v>
      </c>
      <c r="B125" s="47">
        <v>203817155</v>
      </c>
      <c r="C125" s="94" t="s">
        <v>126</v>
      </c>
      <c r="D125" s="11" t="s">
        <v>2015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32</v>
      </c>
      <c r="K125" s="49" t="s">
        <v>76</v>
      </c>
      <c r="L125" s="49" t="s">
        <v>92</v>
      </c>
      <c r="M125" s="49" t="s">
        <v>84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2817</v>
      </c>
      <c r="S125" s="11" t="s">
        <v>2818</v>
      </c>
      <c r="T125" s="90" t="s">
        <v>1</v>
      </c>
      <c r="U125" s="91"/>
      <c r="V125" s="51">
        <v>45517</v>
      </c>
      <c r="W125" s="11" t="s">
        <v>1601</v>
      </c>
    </row>
    <row r="126" spans="1:23" ht="13" customHeight="1" x14ac:dyDescent="0.35">
      <c r="A126" s="11">
        <v>120</v>
      </c>
      <c r="B126" s="47">
        <v>203679319</v>
      </c>
      <c r="C126" s="94" t="s">
        <v>2555</v>
      </c>
      <c r="D126" s="11" t="s">
        <v>2556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32</v>
      </c>
      <c r="K126" s="49" t="s">
        <v>76</v>
      </c>
      <c r="L126" s="49" t="s">
        <v>95</v>
      </c>
      <c r="M126" s="49" t="s">
        <v>77</v>
      </c>
      <c r="N126" s="48" t="s">
        <v>79</v>
      </c>
      <c r="O126" s="49" t="s">
        <v>67</v>
      </c>
      <c r="P126" s="11" t="s">
        <v>80</v>
      </c>
      <c r="Q126" s="11" t="s">
        <v>81</v>
      </c>
      <c r="R126" s="11" t="s">
        <v>2817</v>
      </c>
      <c r="S126" s="11" t="s">
        <v>2818</v>
      </c>
      <c r="T126" s="90" t="s">
        <v>10</v>
      </c>
      <c r="U126" s="91"/>
      <c r="V126" s="51">
        <v>45488</v>
      </c>
      <c r="W126" s="11" t="s">
        <v>1601</v>
      </c>
    </row>
    <row r="127" spans="1:23" ht="13" customHeight="1" x14ac:dyDescent="0.35">
      <c r="A127" s="11">
        <v>121</v>
      </c>
      <c r="B127" s="47">
        <v>206953967</v>
      </c>
      <c r="C127" s="94" t="s">
        <v>2218</v>
      </c>
      <c r="D127" s="11" t="s">
        <v>2132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88</v>
      </c>
      <c r="M127" s="49" t="s">
        <v>95</v>
      </c>
      <c r="N127" s="48" t="s">
        <v>86</v>
      </c>
      <c r="O127" s="49" t="s">
        <v>67</v>
      </c>
      <c r="P127" s="11" t="s">
        <v>80</v>
      </c>
      <c r="Q127" s="11" t="s">
        <v>90</v>
      </c>
      <c r="R127" s="11" t="s">
        <v>2817</v>
      </c>
      <c r="S127" s="11" t="s">
        <v>2818</v>
      </c>
      <c r="T127" s="90" t="s">
        <v>1</v>
      </c>
      <c r="U127" s="91"/>
      <c r="V127" s="51">
        <v>46048</v>
      </c>
      <c r="W127" s="11" t="s">
        <v>1601</v>
      </c>
    </row>
    <row r="128" spans="1:23" ht="13" customHeight="1" x14ac:dyDescent="0.35">
      <c r="A128" s="11">
        <v>122</v>
      </c>
      <c r="B128" s="47">
        <v>206174652</v>
      </c>
      <c r="C128" s="94" t="s">
        <v>2361</v>
      </c>
      <c r="D128" s="11" t="s">
        <v>2362</v>
      </c>
      <c r="E128" s="48" t="s">
        <v>31</v>
      </c>
      <c r="F128" s="48" t="s">
        <v>74</v>
      </c>
      <c r="G128" s="11" t="s">
        <v>64</v>
      </c>
      <c r="H128" s="11" t="s">
        <v>75</v>
      </c>
      <c r="I128" s="11">
        <v>1299</v>
      </c>
      <c r="J128" s="49" t="s">
        <v>39</v>
      </c>
      <c r="K128" s="49" t="s">
        <v>76</v>
      </c>
      <c r="L128" s="49" t="s">
        <v>78</v>
      </c>
      <c r="M128" s="49" t="s">
        <v>92</v>
      </c>
      <c r="N128" s="49" t="s">
        <v>89</v>
      </c>
      <c r="O128" s="49" t="s">
        <v>67</v>
      </c>
      <c r="P128" s="11" t="s">
        <v>80</v>
      </c>
      <c r="Q128" s="11" t="s">
        <v>81</v>
      </c>
      <c r="R128" s="11" t="s">
        <v>2817</v>
      </c>
      <c r="S128" s="11" t="s">
        <v>2818</v>
      </c>
      <c r="T128" s="90" t="s">
        <v>1</v>
      </c>
      <c r="U128" s="91"/>
      <c r="V128" s="51">
        <v>45932</v>
      </c>
      <c r="W128" s="11" t="s">
        <v>1601</v>
      </c>
    </row>
    <row r="129" spans="1:23" ht="13" customHeight="1" x14ac:dyDescent="0.35">
      <c r="A129" s="11">
        <v>123</v>
      </c>
      <c r="B129" s="47">
        <v>203679318</v>
      </c>
      <c r="C129" s="94" t="s">
        <v>127</v>
      </c>
      <c r="D129" s="11" t="s">
        <v>2016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77</v>
      </c>
      <c r="M129" s="49" t="s">
        <v>78</v>
      </c>
      <c r="N129" s="48" t="s">
        <v>79</v>
      </c>
      <c r="O129" s="49" t="s">
        <v>67</v>
      </c>
      <c r="P129" s="11" t="s">
        <v>80</v>
      </c>
      <c r="Q129" s="11" t="s">
        <v>81</v>
      </c>
      <c r="R129" s="11" t="s">
        <v>2817</v>
      </c>
      <c r="S129" s="11" t="s">
        <v>2818</v>
      </c>
      <c r="T129" s="90" t="s">
        <v>10</v>
      </c>
      <c r="U129" s="91"/>
      <c r="V129" s="51">
        <v>45488</v>
      </c>
      <c r="W129" s="11" t="s">
        <v>1601</v>
      </c>
    </row>
    <row r="130" spans="1:23" ht="13" customHeight="1" x14ac:dyDescent="0.35">
      <c r="A130" s="11">
        <v>124</v>
      </c>
      <c r="B130" s="47">
        <v>206853664</v>
      </c>
      <c r="C130" s="94" t="s">
        <v>1777</v>
      </c>
      <c r="D130" s="11" t="s">
        <v>1778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85</v>
      </c>
      <c r="M130" s="49" t="s">
        <v>88</v>
      </c>
      <c r="N130" s="49" t="s">
        <v>89</v>
      </c>
      <c r="O130" s="48" t="s">
        <v>67</v>
      </c>
      <c r="P130" s="48" t="s">
        <v>80</v>
      </c>
      <c r="Q130" s="11" t="s">
        <v>90</v>
      </c>
      <c r="R130" s="11" t="s">
        <v>2817</v>
      </c>
      <c r="S130" s="11" t="s">
        <v>2818</v>
      </c>
      <c r="T130" s="90" t="s">
        <v>3</v>
      </c>
      <c r="U130" s="89"/>
      <c r="V130" s="51">
        <v>46020</v>
      </c>
      <c r="W130" s="11" t="s">
        <v>1601</v>
      </c>
    </row>
    <row r="131" spans="1:23" ht="13" customHeight="1" x14ac:dyDescent="0.35">
      <c r="A131" s="11">
        <v>125</v>
      </c>
      <c r="B131" s="47">
        <v>206875332</v>
      </c>
      <c r="C131" s="94" t="s">
        <v>2065</v>
      </c>
      <c r="D131" s="11" t="s">
        <v>1776</v>
      </c>
      <c r="E131" s="48" t="s">
        <v>31</v>
      </c>
      <c r="F131" s="48" t="s">
        <v>74</v>
      </c>
      <c r="G131" s="48" t="s">
        <v>64</v>
      </c>
      <c r="H131" s="48" t="s">
        <v>75</v>
      </c>
      <c r="I131" s="11">
        <v>1299</v>
      </c>
      <c r="J131" s="49" t="s">
        <v>32</v>
      </c>
      <c r="K131" s="49" t="s">
        <v>76</v>
      </c>
      <c r="L131" s="49" t="s">
        <v>85</v>
      </c>
      <c r="M131" s="49" t="s">
        <v>88</v>
      </c>
      <c r="N131" s="49" t="s">
        <v>89</v>
      </c>
      <c r="O131" s="48" t="s">
        <v>67</v>
      </c>
      <c r="P131" s="48" t="s">
        <v>80</v>
      </c>
      <c r="Q131" s="11" t="s">
        <v>90</v>
      </c>
      <c r="R131" s="11" t="s">
        <v>2817</v>
      </c>
      <c r="S131" s="11" t="s">
        <v>2818</v>
      </c>
      <c r="T131" s="90" t="s">
        <v>1</v>
      </c>
      <c r="U131" s="89"/>
      <c r="V131" s="51">
        <v>46020</v>
      </c>
      <c r="W131" s="11" t="s">
        <v>1601</v>
      </c>
    </row>
    <row r="132" spans="1:23" ht="13" customHeight="1" x14ac:dyDescent="0.35">
      <c r="A132" s="11">
        <v>126</v>
      </c>
      <c r="B132" s="11">
        <v>206873877</v>
      </c>
      <c r="C132" s="94" t="s">
        <v>1790</v>
      </c>
      <c r="D132" s="11" t="s">
        <v>1791</v>
      </c>
      <c r="E132" s="48" t="s">
        <v>31</v>
      </c>
      <c r="F132" s="48" t="s">
        <v>74</v>
      </c>
      <c r="G132" s="48" t="s">
        <v>64</v>
      </c>
      <c r="H132" s="48" t="s">
        <v>75</v>
      </c>
      <c r="I132" s="11">
        <v>1299</v>
      </c>
      <c r="J132" s="49" t="s">
        <v>39</v>
      </c>
      <c r="K132" s="49" t="s">
        <v>76</v>
      </c>
      <c r="L132" s="49" t="s">
        <v>78</v>
      </c>
      <c r="M132" s="49" t="s">
        <v>92</v>
      </c>
      <c r="N132" s="49" t="s">
        <v>89</v>
      </c>
      <c r="O132" s="11" t="s">
        <v>67</v>
      </c>
      <c r="P132" s="48" t="s">
        <v>80</v>
      </c>
      <c r="Q132" s="11" t="s">
        <v>90</v>
      </c>
      <c r="R132" s="11" t="s">
        <v>2817</v>
      </c>
      <c r="S132" s="11" t="s">
        <v>2818</v>
      </c>
      <c r="T132" s="90" t="s">
        <v>1</v>
      </c>
      <c r="U132" s="90"/>
      <c r="V132" s="51">
        <v>46020</v>
      </c>
      <c r="W132" s="11" t="s">
        <v>1601</v>
      </c>
    </row>
    <row r="133" spans="1:23" ht="13" customHeight="1" x14ac:dyDescent="0.35">
      <c r="A133" s="11">
        <v>127</v>
      </c>
      <c r="B133" s="47">
        <v>204883244</v>
      </c>
      <c r="C133" s="94" t="s">
        <v>435</v>
      </c>
      <c r="D133" s="11" t="s">
        <v>2017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32</v>
      </c>
      <c r="K133" s="49" t="s">
        <v>76</v>
      </c>
      <c r="L133" s="49" t="s">
        <v>88</v>
      </c>
      <c r="M133" s="49" t="s">
        <v>95</v>
      </c>
      <c r="N133" s="49" t="s">
        <v>89</v>
      </c>
      <c r="O133" s="49" t="s">
        <v>67</v>
      </c>
      <c r="P133" s="11" t="s">
        <v>80</v>
      </c>
      <c r="Q133" s="11" t="s">
        <v>87</v>
      </c>
      <c r="R133" s="11" t="s">
        <v>2817</v>
      </c>
      <c r="S133" s="11" t="s">
        <v>2818</v>
      </c>
      <c r="T133" s="90" t="s">
        <v>1</v>
      </c>
      <c r="U133" s="90"/>
      <c r="V133" s="51">
        <v>45691</v>
      </c>
      <c r="W133" s="11" t="s">
        <v>1601</v>
      </c>
    </row>
    <row r="134" spans="1:23" ht="13" customHeight="1" x14ac:dyDescent="0.35">
      <c r="A134" s="11">
        <v>128</v>
      </c>
      <c r="B134" s="47">
        <v>203594431</v>
      </c>
      <c r="C134" s="94" t="s">
        <v>440</v>
      </c>
      <c r="D134" s="11" t="s">
        <v>2018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32</v>
      </c>
      <c r="K134" s="49" t="s">
        <v>76</v>
      </c>
      <c r="L134" s="49" t="s">
        <v>78</v>
      </c>
      <c r="M134" s="49" t="s">
        <v>92</v>
      </c>
      <c r="N134" s="49" t="s">
        <v>89</v>
      </c>
      <c r="O134" s="49" t="s">
        <v>67</v>
      </c>
      <c r="P134" s="11" t="s">
        <v>80</v>
      </c>
      <c r="Q134" s="11" t="s">
        <v>81</v>
      </c>
      <c r="R134" s="11" t="s">
        <v>2817</v>
      </c>
      <c r="S134" s="11" t="s">
        <v>2818</v>
      </c>
      <c r="T134" s="90" t="s">
        <v>7</v>
      </c>
      <c r="U134" s="90" t="s">
        <v>3004</v>
      </c>
      <c r="V134" s="51">
        <v>45915</v>
      </c>
      <c r="W134" s="11" t="s">
        <v>1601</v>
      </c>
    </row>
    <row r="135" spans="1:23" ht="13" customHeight="1" x14ac:dyDescent="0.35">
      <c r="A135" s="11">
        <v>129</v>
      </c>
      <c r="B135" s="47">
        <v>206962042</v>
      </c>
      <c r="C135" s="95" t="s">
        <v>2267</v>
      </c>
      <c r="D135" s="113" t="s">
        <v>2268</v>
      </c>
      <c r="E135" s="113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92</v>
      </c>
      <c r="M135" s="49" t="s">
        <v>84</v>
      </c>
      <c r="N135" s="49" t="s">
        <v>79</v>
      </c>
      <c r="O135" s="49" t="s">
        <v>67</v>
      </c>
      <c r="P135" s="49" t="s">
        <v>80</v>
      </c>
      <c r="Q135" s="49" t="s">
        <v>96</v>
      </c>
      <c r="R135" s="11" t="s">
        <v>2817</v>
      </c>
      <c r="S135" s="11" t="s">
        <v>2818</v>
      </c>
      <c r="T135" s="90" t="s">
        <v>1</v>
      </c>
      <c r="U135" s="90"/>
      <c r="V135" s="51">
        <v>46048</v>
      </c>
      <c r="W135" s="11" t="s">
        <v>1601</v>
      </c>
    </row>
    <row r="136" spans="1:23" ht="13" customHeight="1" x14ac:dyDescent="0.35">
      <c r="A136" s="11">
        <v>130</v>
      </c>
      <c r="B136" s="47">
        <v>205608624</v>
      </c>
      <c r="C136" s="94" t="s">
        <v>451</v>
      </c>
      <c r="D136" s="11" t="s">
        <v>2019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39</v>
      </c>
      <c r="K136" s="49" t="s">
        <v>76</v>
      </c>
      <c r="L136" s="49" t="s">
        <v>85</v>
      </c>
      <c r="M136" s="49" t="s">
        <v>88</v>
      </c>
      <c r="N136" s="49" t="s">
        <v>89</v>
      </c>
      <c r="O136" s="49" t="s">
        <v>67</v>
      </c>
      <c r="P136" s="11" t="s">
        <v>80</v>
      </c>
      <c r="Q136" s="11" t="s">
        <v>90</v>
      </c>
      <c r="R136" s="11" t="s">
        <v>2817</v>
      </c>
      <c r="S136" s="11" t="s">
        <v>2818</v>
      </c>
      <c r="T136" s="90" t="s">
        <v>1</v>
      </c>
      <c r="U136" s="91"/>
      <c r="V136" s="51">
        <v>45845</v>
      </c>
      <c r="W136" s="11" t="s">
        <v>1601</v>
      </c>
    </row>
    <row r="137" spans="1:23" ht="13" customHeight="1" x14ac:dyDescent="0.35">
      <c r="A137" s="11">
        <v>131</v>
      </c>
      <c r="B137" s="47">
        <v>204869091</v>
      </c>
      <c r="C137" s="94" t="s">
        <v>128</v>
      </c>
      <c r="D137" s="11" t="s">
        <v>129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84</v>
      </c>
      <c r="M137" s="49" t="s">
        <v>85</v>
      </c>
      <c r="N137" s="49" t="s">
        <v>89</v>
      </c>
      <c r="O137" s="49" t="s">
        <v>67</v>
      </c>
      <c r="P137" s="11" t="s">
        <v>80</v>
      </c>
      <c r="Q137" s="11" t="s">
        <v>87</v>
      </c>
      <c r="R137" s="11" t="s">
        <v>2817</v>
      </c>
      <c r="S137" s="11" t="s">
        <v>2818</v>
      </c>
      <c r="T137" s="90" t="s">
        <v>1</v>
      </c>
      <c r="U137" s="91"/>
      <c r="V137" s="51">
        <v>45691</v>
      </c>
      <c r="W137" s="11" t="s">
        <v>1601</v>
      </c>
    </row>
    <row r="138" spans="1:23" ht="13" customHeight="1" x14ac:dyDescent="0.35">
      <c r="A138" s="11">
        <v>132</v>
      </c>
      <c r="B138" s="47">
        <v>203850779</v>
      </c>
      <c r="C138" s="94" t="s">
        <v>130</v>
      </c>
      <c r="D138" s="11" t="s">
        <v>2020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85</v>
      </c>
      <c r="M138" s="49" t="s">
        <v>88</v>
      </c>
      <c r="N138" s="48" t="s">
        <v>79</v>
      </c>
      <c r="O138" s="49" t="s">
        <v>67</v>
      </c>
      <c r="P138" s="11" t="s">
        <v>80</v>
      </c>
      <c r="Q138" s="11" t="s">
        <v>81</v>
      </c>
      <c r="R138" s="11" t="s">
        <v>2817</v>
      </c>
      <c r="S138" s="11" t="s">
        <v>2818</v>
      </c>
      <c r="T138" s="90" t="s">
        <v>1</v>
      </c>
      <c r="U138" s="89"/>
      <c r="V138" s="51">
        <v>45524</v>
      </c>
      <c r="W138" s="11" t="s">
        <v>1601</v>
      </c>
    </row>
    <row r="139" spans="1:23" ht="13" customHeight="1" x14ac:dyDescent="0.35">
      <c r="A139" s="11">
        <v>133</v>
      </c>
      <c r="B139" s="47">
        <v>206958279</v>
      </c>
      <c r="C139" s="94" t="s">
        <v>2208</v>
      </c>
      <c r="D139" s="11" t="s">
        <v>2117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92</v>
      </c>
      <c r="M139" s="49" t="s">
        <v>84</v>
      </c>
      <c r="N139" s="49" t="s">
        <v>89</v>
      </c>
      <c r="O139" s="49" t="s">
        <v>67</v>
      </c>
      <c r="P139" s="11" t="s">
        <v>80</v>
      </c>
      <c r="Q139" s="11" t="s">
        <v>96</v>
      </c>
      <c r="R139" s="11" t="s">
        <v>2817</v>
      </c>
      <c r="S139" s="11" t="s">
        <v>2818</v>
      </c>
      <c r="T139" s="90" t="s">
        <v>1</v>
      </c>
      <c r="U139" s="89"/>
      <c r="V139" s="51">
        <v>46048</v>
      </c>
      <c r="W139" s="11" t="s">
        <v>1601</v>
      </c>
    </row>
    <row r="140" spans="1:23" ht="13" customHeight="1" x14ac:dyDescent="0.35">
      <c r="A140" s="11">
        <v>134</v>
      </c>
      <c r="B140" s="47">
        <v>203555407</v>
      </c>
      <c r="C140" s="94" t="s">
        <v>2363</v>
      </c>
      <c r="D140" s="11" t="s">
        <v>2364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78</v>
      </c>
      <c r="M140" s="49" t="s">
        <v>92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2817</v>
      </c>
      <c r="S140" s="11" t="s">
        <v>2818</v>
      </c>
      <c r="T140" s="90" t="s">
        <v>1</v>
      </c>
      <c r="U140" s="90"/>
      <c r="V140" s="51">
        <v>45470</v>
      </c>
      <c r="W140" s="11" t="s">
        <v>1601</v>
      </c>
    </row>
    <row r="141" spans="1:23" ht="13" customHeight="1" x14ac:dyDescent="0.35">
      <c r="A141" s="11">
        <v>135</v>
      </c>
      <c r="B141" s="47">
        <v>206175159</v>
      </c>
      <c r="C141" s="94" t="s">
        <v>2584</v>
      </c>
      <c r="D141" s="11" t="s">
        <v>2585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39</v>
      </c>
      <c r="K141" s="49" t="s">
        <v>76</v>
      </c>
      <c r="L141" s="49" t="s">
        <v>95</v>
      </c>
      <c r="M141" s="49" t="s">
        <v>77</v>
      </c>
      <c r="N141" s="49" t="s">
        <v>89</v>
      </c>
      <c r="O141" s="49" t="s">
        <v>67</v>
      </c>
      <c r="P141" s="11" t="s">
        <v>80</v>
      </c>
      <c r="Q141" s="11" t="s">
        <v>81</v>
      </c>
      <c r="R141" s="11" t="s">
        <v>2817</v>
      </c>
      <c r="S141" s="11" t="s">
        <v>2818</v>
      </c>
      <c r="T141" s="90" t="s">
        <v>10</v>
      </c>
      <c r="U141" s="90"/>
      <c r="V141" s="51">
        <v>45932</v>
      </c>
      <c r="W141" s="11" t="s">
        <v>1601</v>
      </c>
    </row>
    <row r="142" spans="1:23" ht="13" customHeight="1" x14ac:dyDescent="0.35">
      <c r="A142" s="11">
        <v>136</v>
      </c>
      <c r="B142" s="47">
        <v>203850775</v>
      </c>
      <c r="C142" s="94" t="s">
        <v>2365</v>
      </c>
      <c r="D142" s="11" t="s">
        <v>2366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2817</v>
      </c>
      <c r="S142" s="11" t="s">
        <v>2818</v>
      </c>
      <c r="T142" s="90" t="s">
        <v>7</v>
      </c>
      <c r="U142" s="90" t="s">
        <v>3004</v>
      </c>
      <c r="V142" s="51">
        <v>45524</v>
      </c>
      <c r="W142" s="11" t="s">
        <v>1601</v>
      </c>
    </row>
    <row r="143" spans="1:23" ht="13" customHeight="1" x14ac:dyDescent="0.35">
      <c r="A143" s="11">
        <v>137</v>
      </c>
      <c r="B143" s="47">
        <v>203469169</v>
      </c>
      <c r="C143" s="94" t="s">
        <v>2367</v>
      </c>
      <c r="D143" s="11" t="s">
        <v>2368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8" t="s">
        <v>79</v>
      </c>
      <c r="O143" s="49" t="s">
        <v>67</v>
      </c>
      <c r="P143" s="11" t="s">
        <v>80</v>
      </c>
      <c r="Q143" s="11" t="s">
        <v>81</v>
      </c>
      <c r="R143" s="11" t="s">
        <v>2817</v>
      </c>
      <c r="S143" s="11" t="s">
        <v>2818</v>
      </c>
      <c r="T143" s="90" t="s">
        <v>1</v>
      </c>
      <c r="U143" s="91"/>
      <c r="V143" s="51">
        <v>45456</v>
      </c>
      <c r="W143" s="11" t="s">
        <v>1601</v>
      </c>
    </row>
    <row r="144" spans="1:23" ht="13" customHeight="1" x14ac:dyDescent="0.35">
      <c r="A144" s="11">
        <v>138</v>
      </c>
      <c r="B144" s="47">
        <v>205502952</v>
      </c>
      <c r="C144" s="94" t="s">
        <v>456</v>
      </c>
      <c r="D144" s="11" t="s">
        <v>2021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85</v>
      </c>
      <c r="M144" s="49" t="s">
        <v>88</v>
      </c>
      <c r="N144" s="49" t="s">
        <v>89</v>
      </c>
      <c r="O144" s="49" t="s">
        <v>67</v>
      </c>
      <c r="P144" s="11" t="s">
        <v>80</v>
      </c>
      <c r="Q144" s="11" t="s">
        <v>96</v>
      </c>
      <c r="R144" s="11" t="s">
        <v>2817</v>
      </c>
      <c r="S144" s="11" t="s">
        <v>2818</v>
      </c>
      <c r="T144" s="90" t="s">
        <v>1</v>
      </c>
      <c r="U144" s="89"/>
      <c r="V144" s="51">
        <v>45831</v>
      </c>
      <c r="W144" s="11" t="s">
        <v>1601</v>
      </c>
    </row>
    <row r="145" spans="1:23" ht="13" customHeight="1" x14ac:dyDescent="0.35">
      <c r="A145" s="11">
        <v>139</v>
      </c>
      <c r="B145" s="47">
        <v>205608619</v>
      </c>
      <c r="C145" s="94" t="s">
        <v>463</v>
      </c>
      <c r="D145" s="11" t="s">
        <v>2022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88</v>
      </c>
      <c r="M145" s="49" t="s">
        <v>95</v>
      </c>
      <c r="N145" s="49" t="s">
        <v>89</v>
      </c>
      <c r="O145" s="49" t="s">
        <v>67</v>
      </c>
      <c r="P145" s="11" t="s">
        <v>80</v>
      </c>
      <c r="Q145" s="11" t="s">
        <v>90</v>
      </c>
      <c r="R145" s="11" t="s">
        <v>2817</v>
      </c>
      <c r="S145" s="11" t="s">
        <v>2818</v>
      </c>
      <c r="T145" s="90" t="s">
        <v>1</v>
      </c>
      <c r="U145" s="90"/>
      <c r="V145" s="51">
        <v>45845</v>
      </c>
      <c r="W145" s="11" t="s">
        <v>1601</v>
      </c>
    </row>
    <row r="146" spans="1:23" ht="13" customHeight="1" x14ac:dyDescent="0.35">
      <c r="A146" s="11">
        <v>140</v>
      </c>
      <c r="B146" s="47">
        <v>202219229</v>
      </c>
      <c r="C146" s="94" t="s">
        <v>2586</v>
      </c>
      <c r="D146" s="11" t="s">
        <v>2587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84</v>
      </c>
      <c r="M146" s="49" t="s">
        <v>85</v>
      </c>
      <c r="N146" s="48" t="s">
        <v>79</v>
      </c>
      <c r="O146" s="49" t="s">
        <v>67</v>
      </c>
      <c r="P146" s="11" t="s">
        <v>80</v>
      </c>
      <c r="Q146" s="11" t="s">
        <v>81</v>
      </c>
      <c r="R146" s="11" t="s">
        <v>2817</v>
      </c>
      <c r="S146" s="11" t="s">
        <v>2818</v>
      </c>
      <c r="T146" s="90" t="s">
        <v>1</v>
      </c>
      <c r="U146" s="91"/>
      <c r="V146" s="51">
        <v>45596</v>
      </c>
      <c r="W146" s="11" t="s">
        <v>1601</v>
      </c>
    </row>
    <row r="147" spans="1:23" ht="13" customHeight="1" x14ac:dyDescent="0.35">
      <c r="A147" s="11">
        <v>141</v>
      </c>
      <c r="B147" s="47">
        <v>206953971</v>
      </c>
      <c r="C147" s="94" t="s">
        <v>2220</v>
      </c>
      <c r="D147" s="11" t="s">
        <v>2134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8" t="s">
        <v>89</v>
      </c>
      <c r="O147" s="49" t="s">
        <v>67</v>
      </c>
      <c r="P147" s="11" t="s">
        <v>80</v>
      </c>
      <c r="Q147" s="11" t="s">
        <v>90</v>
      </c>
      <c r="R147" s="11" t="s">
        <v>2817</v>
      </c>
      <c r="S147" s="11" t="s">
        <v>2818</v>
      </c>
      <c r="T147" s="90" t="s">
        <v>1</v>
      </c>
      <c r="U147" s="90"/>
      <c r="V147" s="51">
        <v>46048</v>
      </c>
      <c r="W147" s="11" t="s">
        <v>1601</v>
      </c>
    </row>
    <row r="148" spans="1:23" ht="13" customHeight="1" x14ac:dyDescent="0.35">
      <c r="A148" s="11">
        <v>142</v>
      </c>
      <c r="B148" s="47">
        <v>203800602</v>
      </c>
      <c r="C148" s="94" t="s">
        <v>2369</v>
      </c>
      <c r="D148" s="11" t="s">
        <v>2370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92</v>
      </c>
      <c r="M148" s="49" t="s">
        <v>84</v>
      </c>
      <c r="N148" s="49" t="s">
        <v>89</v>
      </c>
      <c r="O148" s="49" t="s">
        <v>67</v>
      </c>
      <c r="P148" s="11" t="s">
        <v>80</v>
      </c>
      <c r="Q148" s="11" t="s">
        <v>90</v>
      </c>
      <c r="R148" s="11" t="s">
        <v>2817</v>
      </c>
      <c r="S148" s="11" t="s">
        <v>2818</v>
      </c>
      <c r="T148" s="90" t="s">
        <v>1</v>
      </c>
      <c r="U148" s="89"/>
      <c r="V148" s="51">
        <v>45516</v>
      </c>
      <c r="W148" s="11" t="s">
        <v>1601</v>
      </c>
    </row>
    <row r="149" spans="1:23" ht="13" customHeight="1" x14ac:dyDescent="0.35">
      <c r="A149" s="11">
        <v>143</v>
      </c>
      <c r="B149" s="47">
        <v>203800375</v>
      </c>
      <c r="C149" s="94" t="s">
        <v>132</v>
      </c>
      <c r="D149" s="11" t="s">
        <v>2023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32</v>
      </c>
      <c r="K149" s="49" t="s">
        <v>76</v>
      </c>
      <c r="L149" s="49" t="s">
        <v>92</v>
      </c>
      <c r="M149" s="49" t="s">
        <v>84</v>
      </c>
      <c r="N149" s="49" t="s">
        <v>89</v>
      </c>
      <c r="O149" s="49" t="s">
        <v>67</v>
      </c>
      <c r="P149" s="11" t="s">
        <v>80</v>
      </c>
      <c r="Q149" s="11" t="s">
        <v>90</v>
      </c>
      <c r="R149" s="11" t="s">
        <v>2817</v>
      </c>
      <c r="S149" s="11" t="s">
        <v>2818</v>
      </c>
      <c r="T149" s="90" t="s">
        <v>1</v>
      </c>
      <c r="U149" s="90"/>
      <c r="V149" s="51">
        <v>45516</v>
      </c>
      <c r="W149" s="11" t="s">
        <v>1601</v>
      </c>
    </row>
    <row r="150" spans="1:23" ht="13" customHeight="1" x14ac:dyDescent="0.35">
      <c r="A150" s="11">
        <v>144</v>
      </c>
      <c r="B150" s="47">
        <v>203555405</v>
      </c>
      <c r="C150" s="94" t="s">
        <v>2371</v>
      </c>
      <c r="D150" s="11" t="s">
        <v>2372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88</v>
      </c>
      <c r="M150" s="49" t="s">
        <v>95</v>
      </c>
      <c r="N150" s="48" t="s">
        <v>79</v>
      </c>
      <c r="O150" s="49" t="s">
        <v>67</v>
      </c>
      <c r="P150" s="11" t="s">
        <v>80</v>
      </c>
      <c r="Q150" s="11" t="s">
        <v>81</v>
      </c>
      <c r="R150" s="11" t="s">
        <v>2817</v>
      </c>
      <c r="S150" s="11" t="s">
        <v>2818</v>
      </c>
      <c r="T150" s="90" t="s">
        <v>1</v>
      </c>
      <c r="U150" s="91"/>
      <c r="V150" s="51">
        <v>45470</v>
      </c>
      <c r="W150" s="11" t="s">
        <v>1601</v>
      </c>
    </row>
    <row r="151" spans="1:23" ht="13" customHeight="1" x14ac:dyDescent="0.35">
      <c r="A151" s="11">
        <v>145</v>
      </c>
      <c r="B151" s="47">
        <v>203469396</v>
      </c>
      <c r="C151" s="94" t="s">
        <v>133</v>
      </c>
      <c r="D151" s="11" t="s">
        <v>2024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95</v>
      </c>
      <c r="M151" s="49" t="s">
        <v>77</v>
      </c>
      <c r="N151" s="48" t="s">
        <v>86</v>
      </c>
      <c r="O151" s="49" t="s">
        <v>67</v>
      </c>
      <c r="P151" s="11" t="s">
        <v>80</v>
      </c>
      <c r="Q151" s="11" t="s">
        <v>99</v>
      </c>
      <c r="R151" s="11" t="s">
        <v>2817</v>
      </c>
      <c r="S151" s="11" t="s">
        <v>2818</v>
      </c>
      <c r="T151" s="90" t="s">
        <v>10</v>
      </c>
      <c r="U151" s="90"/>
      <c r="V151" s="51">
        <v>45456</v>
      </c>
      <c r="W151" s="11" t="s">
        <v>1601</v>
      </c>
    </row>
    <row r="152" spans="1:23" ht="13" customHeight="1" x14ac:dyDescent="0.35">
      <c r="A152" s="11">
        <v>146</v>
      </c>
      <c r="B152" s="47">
        <v>206514852</v>
      </c>
      <c r="C152" s="94" t="s">
        <v>1744</v>
      </c>
      <c r="D152" s="11" t="s">
        <v>2025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39</v>
      </c>
      <c r="K152" s="49" t="s">
        <v>76</v>
      </c>
      <c r="L152" s="49" t="s">
        <v>92</v>
      </c>
      <c r="M152" s="49" t="s">
        <v>84</v>
      </c>
      <c r="N152" s="49" t="s">
        <v>89</v>
      </c>
      <c r="O152" s="49" t="s">
        <v>67</v>
      </c>
      <c r="P152" s="11" t="s">
        <v>80</v>
      </c>
      <c r="Q152" s="11" t="s">
        <v>90</v>
      </c>
      <c r="R152" s="11" t="s">
        <v>2817</v>
      </c>
      <c r="S152" s="11" t="s">
        <v>2818</v>
      </c>
      <c r="T152" s="90" t="s">
        <v>1</v>
      </c>
      <c r="U152" s="90"/>
      <c r="V152" s="51">
        <v>45971</v>
      </c>
      <c r="W152" s="11" t="s">
        <v>1601</v>
      </c>
    </row>
    <row r="153" spans="1:23" ht="13" customHeight="1" x14ac:dyDescent="0.35">
      <c r="A153" s="11">
        <v>147</v>
      </c>
      <c r="B153" s="47">
        <v>203555401</v>
      </c>
      <c r="C153" s="94" t="s">
        <v>2373</v>
      </c>
      <c r="D153" s="11" t="s">
        <v>2374</v>
      </c>
      <c r="E153" s="48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79</v>
      </c>
      <c r="O153" s="49" t="s">
        <v>67</v>
      </c>
      <c r="P153" s="11" t="s">
        <v>80</v>
      </c>
      <c r="Q153" s="11" t="s">
        <v>81</v>
      </c>
      <c r="R153" s="11" t="s">
        <v>2817</v>
      </c>
      <c r="S153" s="11" t="s">
        <v>2818</v>
      </c>
      <c r="T153" s="90" t="s">
        <v>10</v>
      </c>
      <c r="U153" s="89"/>
      <c r="V153" s="51">
        <v>45470</v>
      </c>
      <c r="W153" s="11" t="s">
        <v>1601</v>
      </c>
    </row>
    <row r="154" spans="1:23" ht="13" customHeight="1" x14ac:dyDescent="0.35">
      <c r="A154" s="11">
        <v>148</v>
      </c>
      <c r="B154" s="47">
        <v>205647583</v>
      </c>
      <c r="C154" s="94" t="s">
        <v>2375</v>
      </c>
      <c r="D154" s="11" t="s">
        <v>2376</v>
      </c>
      <c r="E154" s="48" t="s">
        <v>31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39</v>
      </c>
      <c r="K154" s="49" t="s">
        <v>76</v>
      </c>
      <c r="L154" s="49" t="s">
        <v>77</v>
      </c>
      <c r="M154" s="49" t="s">
        <v>78</v>
      </c>
      <c r="N154" s="49" t="s">
        <v>89</v>
      </c>
      <c r="O154" s="49" t="s">
        <v>67</v>
      </c>
      <c r="P154" s="11" t="s">
        <v>80</v>
      </c>
      <c r="Q154" s="11" t="s">
        <v>96</v>
      </c>
      <c r="R154" s="11" t="s">
        <v>2817</v>
      </c>
      <c r="S154" s="11" t="s">
        <v>2818</v>
      </c>
      <c r="T154" s="90" t="s">
        <v>10</v>
      </c>
      <c r="U154" s="91"/>
      <c r="V154" s="51">
        <v>45852</v>
      </c>
      <c r="W154" s="11" t="s">
        <v>1601</v>
      </c>
    </row>
    <row r="155" spans="1:23" ht="13" customHeight="1" x14ac:dyDescent="0.35">
      <c r="A155" s="11">
        <v>149</v>
      </c>
      <c r="B155" s="47">
        <v>206949318</v>
      </c>
      <c r="C155" s="95" t="s">
        <v>2257</v>
      </c>
      <c r="D155" s="113" t="s">
        <v>2258</v>
      </c>
      <c r="E155" s="113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84</v>
      </c>
      <c r="M155" s="49" t="s">
        <v>85</v>
      </c>
      <c r="N155" s="48" t="s">
        <v>86</v>
      </c>
      <c r="O155" s="49" t="s">
        <v>67</v>
      </c>
      <c r="P155" s="49" t="s">
        <v>80</v>
      </c>
      <c r="Q155" s="49" t="s">
        <v>90</v>
      </c>
      <c r="R155" s="11" t="s">
        <v>2817</v>
      </c>
      <c r="S155" s="11" t="s">
        <v>2818</v>
      </c>
      <c r="T155" s="90" t="s">
        <v>1</v>
      </c>
      <c r="U155" s="89"/>
      <c r="V155" s="51">
        <v>46048</v>
      </c>
      <c r="W155" s="11" t="s">
        <v>1601</v>
      </c>
    </row>
    <row r="156" spans="1:23" ht="13" customHeight="1" x14ac:dyDescent="0.35">
      <c r="A156" s="11">
        <v>150</v>
      </c>
      <c r="B156" s="47">
        <v>206934491</v>
      </c>
      <c r="C156" s="94" t="s">
        <v>2215</v>
      </c>
      <c r="D156" s="11" t="s">
        <v>2127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77</v>
      </c>
      <c r="M156" s="49" t="s">
        <v>78</v>
      </c>
      <c r="N156" s="48" t="s">
        <v>86</v>
      </c>
      <c r="O156" s="49" t="s">
        <v>67</v>
      </c>
      <c r="P156" s="11" t="s">
        <v>80</v>
      </c>
      <c r="Q156" s="11" t="s">
        <v>90</v>
      </c>
      <c r="R156" s="11" t="s">
        <v>2817</v>
      </c>
      <c r="S156" s="11" t="s">
        <v>2818</v>
      </c>
      <c r="T156" s="90" t="s">
        <v>10</v>
      </c>
      <c r="U156" s="91"/>
      <c r="V156" s="51">
        <v>46048</v>
      </c>
      <c r="W156" s="11" t="s">
        <v>1601</v>
      </c>
    </row>
    <row r="157" spans="1:23" ht="13" customHeight="1" x14ac:dyDescent="0.35">
      <c r="A157" s="11">
        <v>151</v>
      </c>
      <c r="B157" s="47">
        <v>103775146</v>
      </c>
      <c r="C157" s="94" t="s">
        <v>2421</v>
      </c>
      <c r="D157" s="11" t="s">
        <v>2422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78</v>
      </c>
      <c r="M157" s="49" t="s">
        <v>92</v>
      </c>
      <c r="N157" s="48" t="s">
        <v>97</v>
      </c>
      <c r="O157" s="49" t="s">
        <v>67</v>
      </c>
      <c r="P157" s="11" t="s">
        <v>80</v>
      </c>
      <c r="Q157" s="11" t="s">
        <v>98</v>
      </c>
      <c r="R157" s="11" t="s">
        <v>2817</v>
      </c>
      <c r="S157" s="11" t="s">
        <v>2818</v>
      </c>
      <c r="T157" s="90" t="s">
        <v>1</v>
      </c>
      <c r="U157" s="89"/>
      <c r="V157" s="51">
        <v>44067</v>
      </c>
      <c r="W157" s="49" t="s">
        <v>1601</v>
      </c>
    </row>
    <row r="158" spans="1:23" ht="13" customHeight="1" x14ac:dyDescent="0.35">
      <c r="A158" s="11">
        <v>152</v>
      </c>
      <c r="B158" s="47">
        <v>102206211</v>
      </c>
      <c r="C158" s="94" t="s">
        <v>2377</v>
      </c>
      <c r="D158" s="11" t="s">
        <v>2378</v>
      </c>
      <c r="E158" s="48" t="s">
        <v>34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108</v>
      </c>
      <c r="O158" s="49" t="s">
        <v>67</v>
      </c>
      <c r="P158" s="11" t="s">
        <v>80</v>
      </c>
      <c r="Q158" s="11" t="s">
        <v>98</v>
      </c>
      <c r="R158" s="11" t="s">
        <v>82</v>
      </c>
      <c r="S158" s="11" t="s">
        <v>2819</v>
      </c>
      <c r="T158" s="90" t="s">
        <v>10</v>
      </c>
      <c r="U158" s="89"/>
      <c r="V158" s="51">
        <v>42868</v>
      </c>
      <c r="W158" s="11" t="s">
        <v>1601</v>
      </c>
    </row>
    <row r="159" spans="1:23" ht="13" customHeight="1" x14ac:dyDescent="0.35">
      <c r="A159" s="11">
        <v>153</v>
      </c>
      <c r="B159" s="47">
        <v>203816296</v>
      </c>
      <c r="C159" s="94" t="s">
        <v>1750</v>
      </c>
      <c r="D159" s="11" t="s">
        <v>2026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32</v>
      </c>
      <c r="K159" s="49" t="s">
        <v>76</v>
      </c>
      <c r="L159" s="49" t="s">
        <v>85</v>
      </c>
      <c r="M159" s="49" t="s">
        <v>88</v>
      </c>
      <c r="N159" s="49" t="s">
        <v>89</v>
      </c>
      <c r="O159" s="49" t="s">
        <v>67</v>
      </c>
      <c r="P159" s="11" t="s">
        <v>80</v>
      </c>
      <c r="Q159" s="11" t="s">
        <v>90</v>
      </c>
      <c r="R159" s="11" t="s">
        <v>2817</v>
      </c>
      <c r="S159" s="11" t="s">
        <v>2818</v>
      </c>
      <c r="T159" s="90" t="s">
        <v>1</v>
      </c>
      <c r="U159" s="91"/>
      <c r="V159" s="51">
        <v>45518</v>
      </c>
      <c r="W159" s="11" t="s">
        <v>1601</v>
      </c>
    </row>
    <row r="160" spans="1:23" ht="13" customHeight="1" x14ac:dyDescent="0.35">
      <c r="A160" s="11">
        <v>154</v>
      </c>
      <c r="B160" s="47">
        <v>102205456</v>
      </c>
      <c r="C160" s="94" t="s">
        <v>2790</v>
      </c>
      <c r="D160" s="11" t="s">
        <v>2816</v>
      </c>
      <c r="E160" s="48" t="s">
        <v>34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32</v>
      </c>
      <c r="K160" s="49" t="s">
        <v>76</v>
      </c>
      <c r="L160" s="49" t="s">
        <v>88</v>
      </c>
      <c r="M160" s="49" t="s">
        <v>95</v>
      </c>
      <c r="N160" s="48" t="s">
        <v>108</v>
      </c>
      <c r="O160" s="49" t="s">
        <v>67</v>
      </c>
      <c r="P160" s="11" t="s">
        <v>80</v>
      </c>
      <c r="Q160" s="11" t="s">
        <v>98</v>
      </c>
      <c r="R160" s="11" t="s">
        <v>82</v>
      </c>
      <c r="S160" s="11" t="s">
        <v>2819</v>
      </c>
      <c r="T160" s="90" t="s">
        <v>1</v>
      </c>
      <c r="U160" s="91"/>
      <c r="V160" s="51">
        <v>42868</v>
      </c>
      <c r="W160" s="11" t="s">
        <v>1601</v>
      </c>
    </row>
    <row r="161" spans="1:23" ht="13" customHeight="1" x14ac:dyDescent="0.35">
      <c r="A161" s="11">
        <v>155</v>
      </c>
      <c r="B161" s="47">
        <v>203469404</v>
      </c>
      <c r="C161" s="94" t="s">
        <v>134</v>
      </c>
      <c r="D161" s="11" t="s">
        <v>2027</v>
      </c>
      <c r="E161" s="48" t="s">
        <v>31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77</v>
      </c>
      <c r="M161" s="49" t="s">
        <v>78</v>
      </c>
      <c r="N161" s="48" t="s">
        <v>86</v>
      </c>
      <c r="O161" s="49" t="s">
        <v>67</v>
      </c>
      <c r="P161" s="11" t="s">
        <v>80</v>
      </c>
      <c r="Q161" s="11" t="s">
        <v>99</v>
      </c>
      <c r="R161" s="11" t="s">
        <v>2817</v>
      </c>
      <c r="S161" s="11" t="s">
        <v>2818</v>
      </c>
      <c r="T161" s="90" t="s">
        <v>10</v>
      </c>
      <c r="U161" s="90"/>
      <c r="V161" s="51">
        <v>45456</v>
      </c>
      <c r="W161" s="11" t="s">
        <v>1601</v>
      </c>
    </row>
    <row r="162" spans="1:23" ht="13" customHeight="1" x14ac:dyDescent="0.35">
      <c r="A162" s="11">
        <v>156</v>
      </c>
      <c r="B162" s="47">
        <v>206514788</v>
      </c>
      <c r="C162" s="94" t="s">
        <v>1745</v>
      </c>
      <c r="D162" s="11" t="s">
        <v>2028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39</v>
      </c>
      <c r="K162" s="49" t="s">
        <v>76</v>
      </c>
      <c r="L162" s="49" t="s">
        <v>77</v>
      </c>
      <c r="M162" s="49" t="s">
        <v>78</v>
      </c>
      <c r="N162" s="49" t="s">
        <v>89</v>
      </c>
      <c r="O162" s="49" t="s">
        <v>67</v>
      </c>
      <c r="P162" s="11" t="s">
        <v>80</v>
      </c>
      <c r="Q162" s="11" t="s">
        <v>90</v>
      </c>
      <c r="R162" s="11" t="s">
        <v>2817</v>
      </c>
      <c r="S162" s="11" t="s">
        <v>2818</v>
      </c>
      <c r="T162" s="90" t="s">
        <v>10</v>
      </c>
      <c r="U162" s="91"/>
      <c r="V162" s="51">
        <v>45971</v>
      </c>
      <c r="W162" s="11" t="s">
        <v>1601</v>
      </c>
    </row>
    <row r="163" spans="1:23" ht="13" customHeight="1" x14ac:dyDescent="0.35">
      <c r="A163" s="11">
        <v>157</v>
      </c>
      <c r="B163" s="47">
        <v>205647581</v>
      </c>
      <c r="C163" s="94" t="s">
        <v>135</v>
      </c>
      <c r="D163" s="11" t="s">
        <v>2029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39</v>
      </c>
      <c r="K163" s="49" t="s">
        <v>76</v>
      </c>
      <c r="L163" s="49" t="s">
        <v>95</v>
      </c>
      <c r="M163" s="49" t="s">
        <v>77</v>
      </c>
      <c r="N163" s="49" t="s">
        <v>89</v>
      </c>
      <c r="O163" s="49" t="s">
        <v>67</v>
      </c>
      <c r="P163" s="11" t="s">
        <v>80</v>
      </c>
      <c r="Q163" s="11" t="s">
        <v>96</v>
      </c>
      <c r="R163" s="11" t="s">
        <v>2817</v>
      </c>
      <c r="S163" s="11" t="s">
        <v>2818</v>
      </c>
      <c r="T163" s="90" t="s">
        <v>10</v>
      </c>
      <c r="U163" s="91"/>
      <c r="V163" s="51">
        <v>45852</v>
      </c>
      <c r="W163" s="11" t="s">
        <v>1601</v>
      </c>
    </row>
    <row r="164" spans="1:23" ht="13" customHeight="1" x14ac:dyDescent="0.35">
      <c r="A164" s="11">
        <v>158</v>
      </c>
      <c r="B164" s="47">
        <v>102981768</v>
      </c>
      <c r="C164" s="94" t="s">
        <v>2379</v>
      </c>
      <c r="D164" s="11" t="s">
        <v>2380</v>
      </c>
      <c r="E164" s="48" t="s">
        <v>34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39</v>
      </c>
      <c r="K164" s="49" t="s">
        <v>76</v>
      </c>
      <c r="L164" s="49" t="s">
        <v>84</v>
      </c>
      <c r="M164" s="49" t="s">
        <v>85</v>
      </c>
      <c r="N164" s="48" t="s">
        <v>97</v>
      </c>
      <c r="O164" s="49" t="s">
        <v>67</v>
      </c>
      <c r="P164" s="11" t="s">
        <v>80</v>
      </c>
      <c r="Q164" s="11" t="s">
        <v>98</v>
      </c>
      <c r="R164" s="11" t="s">
        <v>82</v>
      </c>
      <c r="S164" s="11" t="s">
        <v>2819</v>
      </c>
      <c r="T164" s="90" t="s">
        <v>1</v>
      </c>
      <c r="U164" s="91"/>
      <c r="V164" s="51">
        <v>43044</v>
      </c>
      <c r="W164" s="11" t="s">
        <v>1601</v>
      </c>
    </row>
    <row r="165" spans="1:23" ht="13" customHeight="1" x14ac:dyDescent="0.35">
      <c r="A165" s="11">
        <v>159</v>
      </c>
      <c r="B165" s="47">
        <v>203801393</v>
      </c>
      <c r="C165" s="94" t="s">
        <v>136</v>
      </c>
      <c r="D165" s="11" t="s">
        <v>2030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8" t="s">
        <v>79</v>
      </c>
      <c r="O165" s="49" t="s">
        <v>67</v>
      </c>
      <c r="P165" s="11" t="s">
        <v>80</v>
      </c>
      <c r="Q165" s="11" t="s">
        <v>81</v>
      </c>
      <c r="R165" s="11" t="s">
        <v>2817</v>
      </c>
      <c r="S165" s="11" t="s">
        <v>2818</v>
      </c>
      <c r="T165" s="90" t="s">
        <v>1</v>
      </c>
      <c r="U165" s="89"/>
      <c r="V165" s="51">
        <v>45517</v>
      </c>
      <c r="W165" s="11" t="s">
        <v>1601</v>
      </c>
    </row>
    <row r="166" spans="1:23" ht="13" customHeight="1" x14ac:dyDescent="0.35">
      <c r="A166" s="11">
        <v>160</v>
      </c>
      <c r="B166" s="47">
        <v>204864416</v>
      </c>
      <c r="C166" s="94" t="s">
        <v>137</v>
      </c>
      <c r="D166" s="11" t="s">
        <v>2031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85</v>
      </c>
      <c r="M166" s="49" t="s">
        <v>88</v>
      </c>
      <c r="N166" s="49" t="s">
        <v>89</v>
      </c>
      <c r="O166" s="49" t="s">
        <v>67</v>
      </c>
      <c r="P166" s="11" t="s">
        <v>80</v>
      </c>
      <c r="Q166" s="11" t="s">
        <v>90</v>
      </c>
      <c r="R166" s="11" t="s">
        <v>2817</v>
      </c>
      <c r="S166" s="11" t="s">
        <v>2818</v>
      </c>
      <c r="T166" s="90" t="s">
        <v>1</v>
      </c>
      <c r="U166" s="91"/>
      <c r="V166" s="51">
        <v>45684</v>
      </c>
      <c r="W166" s="11" t="s">
        <v>1601</v>
      </c>
    </row>
    <row r="167" spans="1:23" ht="13" customHeight="1" x14ac:dyDescent="0.35">
      <c r="A167" s="11">
        <v>161</v>
      </c>
      <c r="B167" s="47">
        <v>206016552</v>
      </c>
      <c r="C167" s="94" t="s">
        <v>527</v>
      </c>
      <c r="D167" s="11" t="s">
        <v>2032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77</v>
      </c>
      <c r="M167" s="49" t="s">
        <v>78</v>
      </c>
      <c r="N167" s="49" t="s">
        <v>89</v>
      </c>
      <c r="O167" s="49" t="s">
        <v>67</v>
      </c>
      <c r="P167" s="11" t="s">
        <v>80</v>
      </c>
      <c r="Q167" s="11" t="s">
        <v>81</v>
      </c>
      <c r="R167" s="11" t="s">
        <v>2817</v>
      </c>
      <c r="S167" s="11" t="s">
        <v>2818</v>
      </c>
      <c r="T167" s="90" t="s">
        <v>10</v>
      </c>
      <c r="U167" s="90"/>
      <c r="V167" s="51">
        <v>45915</v>
      </c>
      <c r="W167" s="11" t="s">
        <v>1601</v>
      </c>
    </row>
    <row r="168" spans="1:23" ht="13" customHeight="1" x14ac:dyDescent="0.35">
      <c r="A168" s="11">
        <v>162</v>
      </c>
      <c r="B168" s="47">
        <v>204403811</v>
      </c>
      <c r="C168" s="94" t="s">
        <v>138</v>
      </c>
      <c r="D168" s="11" t="s">
        <v>2033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32</v>
      </c>
      <c r="K168" s="49" t="s">
        <v>76</v>
      </c>
      <c r="L168" s="49" t="s">
        <v>92</v>
      </c>
      <c r="M168" s="49" t="s">
        <v>84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2817</v>
      </c>
      <c r="S168" s="11" t="s">
        <v>2818</v>
      </c>
      <c r="T168" s="90" t="s">
        <v>7</v>
      </c>
      <c r="U168" s="90" t="s">
        <v>3004</v>
      </c>
      <c r="V168" s="51">
        <v>45596</v>
      </c>
      <c r="W168" s="11" t="s">
        <v>1601</v>
      </c>
    </row>
    <row r="169" spans="1:23" ht="13" customHeight="1" x14ac:dyDescent="0.35">
      <c r="A169" s="11">
        <v>163</v>
      </c>
      <c r="B169" s="47">
        <v>206348053</v>
      </c>
      <c r="C169" s="94" t="s">
        <v>1739</v>
      </c>
      <c r="D169" s="11" t="s">
        <v>2062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9" t="s">
        <v>89</v>
      </c>
      <c r="O169" s="49" t="s">
        <v>67</v>
      </c>
      <c r="P169" s="11" t="s">
        <v>80</v>
      </c>
      <c r="Q169" s="11" t="s">
        <v>81</v>
      </c>
      <c r="R169" s="11" t="s">
        <v>2817</v>
      </c>
      <c r="S169" s="11" t="s">
        <v>2818</v>
      </c>
      <c r="T169" s="90" t="s">
        <v>1</v>
      </c>
      <c r="U169" s="90"/>
      <c r="V169" s="51">
        <v>45957</v>
      </c>
      <c r="W169" s="11" t="s">
        <v>1601</v>
      </c>
    </row>
    <row r="170" spans="1:23" ht="13" customHeight="1" x14ac:dyDescent="0.35">
      <c r="A170" s="11">
        <v>164</v>
      </c>
      <c r="B170" s="47">
        <v>206915011</v>
      </c>
      <c r="C170" s="94" t="s">
        <v>2211</v>
      </c>
      <c r="D170" s="11" t="s">
        <v>2122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8" t="s">
        <v>86</v>
      </c>
      <c r="O170" s="49" t="s">
        <v>67</v>
      </c>
      <c r="P170" s="11" t="s">
        <v>80</v>
      </c>
      <c r="Q170" s="11" t="s">
        <v>90</v>
      </c>
      <c r="R170" s="11" t="s">
        <v>2817</v>
      </c>
      <c r="S170" s="11" t="s">
        <v>2818</v>
      </c>
      <c r="T170" s="90" t="s">
        <v>1</v>
      </c>
      <c r="U170" s="90"/>
      <c r="V170" s="51">
        <v>46048</v>
      </c>
      <c r="W170" s="11" t="s">
        <v>1601</v>
      </c>
    </row>
    <row r="171" spans="1:23" ht="13" customHeight="1" x14ac:dyDescent="0.35">
      <c r="A171" s="11">
        <v>165</v>
      </c>
      <c r="B171" s="47">
        <v>203850788</v>
      </c>
      <c r="C171" s="94" t="s">
        <v>2381</v>
      </c>
      <c r="D171" s="11" t="s">
        <v>2382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84</v>
      </c>
      <c r="M171" s="49" t="s">
        <v>85</v>
      </c>
      <c r="N171" s="48" t="s">
        <v>79</v>
      </c>
      <c r="O171" s="49" t="s">
        <v>67</v>
      </c>
      <c r="P171" s="11" t="s">
        <v>80</v>
      </c>
      <c r="Q171" s="11" t="s">
        <v>81</v>
      </c>
      <c r="R171" s="11" t="s">
        <v>2817</v>
      </c>
      <c r="S171" s="11" t="s">
        <v>2818</v>
      </c>
      <c r="T171" s="90" t="s">
        <v>1</v>
      </c>
      <c r="U171" s="90"/>
      <c r="V171" s="51">
        <v>45524</v>
      </c>
      <c r="W171" s="11" t="s">
        <v>1601</v>
      </c>
    </row>
    <row r="172" spans="1:23" ht="13" customHeight="1" x14ac:dyDescent="0.35">
      <c r="A172" s="11">
        <v>166</v>
      </c>
      <c r="B172" s="11">
        <v>206873785</v>
      </c>
      <c r="C172" s="94" t="s">
        <v>1792</v>
      </c>
      <c r="D172" s="11" t="s">
        <v>1793</v>
      </c>
      <c r="E172" s="48" t="s">
        <v>31</v>
      </c>
      <c r="F172" s="48" t="s">
        <v>74</v>
      </c>
      <c r="G172" s="48" t="s">
        <v>64</v>
      </c>
      <c r="H172" s="48" t="s">
        <v>75</v>
      </c>
      <c r="I172" s="11">
        <v>1299</v>
      </c>
      <c r="J172" s="49" t="s">
        <v>39</v>
      </c>
      <c r="K172" s="49" t="s">
        <v>76</v>
      </c>
      <c r="L172" s="49" t="s">
        <v>84</v>
      </c>
      <c r="M172" s="49" t="s">
        <v>85</v>
      </c>
      <c r="N172" s="49" t="s">
        <v>89</v>
      </c>
      <c r="O172" s="11" t="s">
        <v>67</v>
      </c>
      <c r="P172" s="48" t="s">
        <v>80</v>
      </c>
      <c r="Q172" s="11" t="s">
        <v>90</v>
      </c>
      <c r="R172" s="11" t="s">
        <v>2817</v>
      </c>
      <c r="S172" s="11" t="s">
        <v>2818</v>
      </c>
      <c r="T172" s="90" t="s">
        <v>1</v>
      </c>
      <c r="U172" s="89"/>
      <c r="V172" s="51">
        <v>46020</v>
      </c>
      <c r="W172" s="11" t="s">
        <v>1601</v>
      </c>
    </row>
    <row r="173" spans="1:23" ht="13" customHeight="1" x14ac:dyDescent="0.35">
      <c r="A173" s="11">
        <v>167</v>
      </c>
      <c r="B173" s="47">
        <v>204319468</v>
      </c>
      <c r="C173" s="94" t="s">
        <v>139</v>
      </c>
      <c r="D173" s="11" t="s">
        <v>2034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32</v>
      </c>
      <c r="K173" s="49" t="s">
        <v>76</v>
      </c>
      <c r="L173" s="49" t="s">
        <v>92</v>
      </c>
      <c r="M173" s="49" t="s">
        <v>84</v>
      </c>
      <c r="N173" s="48" t="s">
        <v>86</v>
      </c>
      <c r="O173" s="49" t="s">
        <v>67</v>
      </c>
      <c r="P173" s="11" t="s">
        <v>80</v>
      </c>
      <c r="Q173" s="11" t="s">
        <v>87</v>
      </c>
      <c r="R173" s="11" t="s">
        <v>2817</v>
      </c>
      <c r="S173" s="11" t="s">
        <v>2818</v>
      </c>
      <c r="T173" s="90" t="s">
        <v>1</v>
      </c>
      <c r="U173" s="89"/>
      <c r="V173" s="51">
        <v>45589</v>
      </c>
      <c r="W173" s="11" t="s">
        <v>1601</v>
      </c>
    </row>
    <row r="174" spans="1:23" ht="13" customHeight="1" x14ac:dyDescent="0.35">
      <c r="A174" s="11">
        <v>168</v>
      </c>
      <c r="B174" s="47">
        <v>204868856</v>
      </c>
      <c r="C174" s="94" t="s">
        <v>140</v>
      </c>
      <c r="D174" s="11" t="s">
        <v>141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39</v>
      </c>
      <c r="K174" s="49" t="s">
        <v>76</v>
      </c>
      <c r="L174" s="49" t="s">
        <v>88</v>
      </c>
      <c r="M174" s="49" t="s">
        <v>95</v>
      </c>
      <c r="N174" s="49" t="s">
        <v>89</v>
      </c>
      <c r="O174" s="49" t="s">
        <v>67</v>
      </c>
      <c r="P174" s="11" t="s">
        <v>80</v>
      </c>
      <c r="Q174" s="11" t="s">
        <v>87</v>
      </c>
      <c r="R174" s="11" t="s">
        <v>2817</v>
      </c>
      <c r="S174" s="11" t="s">
        <v>2818</v>
      </c>
      <c r="T174" s="90" t="s">
        <v>1</v>
      </c>
      <c r="U174" s="90"/>
      <c r="V174" s="51">
        <v>45691</v>
      </c>
      <c r="W174" s="11" t="s">
        <v>1601</v>
      </c>
    </row>
    <row r="175" spans="1:23" ht="13" customHeight="1" x14ac:dyDescent="0.35">
      <c r="A175" s="11">
        <v>169</v>
      </c>
      <c r="B175" s="47">
        <v>206953812</v>
      </c>
      <c r="C175" s="94" t="s">
        <v>2221</v>
      </c>
      <c r="D175" s="11" t="s">
        <v>2135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88</v>
      </c>
      <c r="M175" s="49" t="s">
        <v>95</v>
      </c>
      <c r="N175" s="48" t="s">
        <v>89</v>
      </c>
      <c r="O175" s="49" t="s">
        <v>67</v>
      </c>
      <c r="P175" s="11" t="s">
        <v>80</v>
      </c>
      <c r="Q175" s="11" t="s">
        <v>90</v>
      </c>
      <c r="R175" s="11" t="s">
        <v>2817</v>
      </c>
      <c r="S175" s="11" t="s">
        <v>2818</v>
      </c>
      <c r="T175" s="90" t="s">
        <v>1</v>
      </c>
      <c r="U175" s="91"/>
      <c r="V175" s="51">
        <v>46048</v>
      </c>
      <c r="W175" s="11" t="s">
        <v>1601</v>
      </c>
    </row>
    <row r="176" spans="1:23" ht="13" customHeight="1" x14ac:dyDescent="0.35">
      <c r="A176" s="11">
        <v>170</v>
      </c>
      <c r="B176" s="47">
        <v>205495602</v>
      </c>
      <c r="C176" s="94" t="s">
        <v>546</v>
      </c>
      <c r="D176" s="11" t="s">
        <v>2035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39</v>
      </c>
      <c r="K176" s="49" t="s">
        <v>76</v>
      </c>
      <c r="L176" s="49" t="s">
        <v>95</v>
      </c>
      <c r="M176" s="49" t="s">
        <v>77</v>
      </c>
      <c r="N176" s="49" t="s">
        <v>89</v>
      </c>
      <c r="O176" s="49" t="s">
        <v>67</v>
      </c>
      <c r="P176" s="11" t="s">
        <v>80</v>
      </c>
      <c r="Q176" s="11" t="s">
        <v>96</v>
      </c>
      <c r="R176" s="11" t="s">
        <v>2817</v>
      </c>
      <c r="S176" s="11" t="s">
        <v>2818</v>
      </c>
      <c r="T176" s="90" t="s">
        <v>10</v>
      </c>
      <c r="U176" s="90"/>
      <c r="V176" s="51">
        <v>45831</v>
      </c>
      <c r="W176" s="11" t="s">
        <v>1601</v>
      </c>
    </row>
    <row r="177" spans="1:23" ht="13" customHeight="1" x14ac:dyDescent="0.35">
      <c r="A177" s="11">
        <v>171</v>
      </c>
      <c r="B177" s="47">
        <v>204299909</v>
      </c>
      <c r="C177" s="94" t="s">
        <v>2383</v>
      </c>
      <c r="D177" s="11" t="s">
        <v>2384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77</v>
      </c>
      <c r="M177" s="49" t="s">
        <v>78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2817</v>
      </c>
      <c r="S177" s="11" t="s">
        <v>2818</v>
      </c>
      <c r="T177" s="90" t="s">
        <v>10</v>
      </c>
      <c r="U177" s="91"/>
      <c r="V177" s="51">
        <v>45589</v>
      </c>
      <c r="W177" s="11" t="s">
        <v>1601</v>
      </c>
    </row>
    <row r="178" spans="1:23" ht="13" customHeight="1" x14ac:dyDescent="0.35">
      <c r="A178" s="11">
        <v>172</v>
      </c>
      <c r="B178" s="47">
        <v>203850935</v>
      </c>
      <c r="C178" s="94" t="s">
        <v>2385</v>
      </c>
      <c r="D178" s="11" t="s">
        <v>2386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77</v>
      </c>
      <c r="M178" s="49" t="s">
        <v>78</v>
      </c>
      <c r="N178" s="48" t="s">
        <v>79</v>
      </c>
      <c r="O178" s="49" t="s">
        <v>67</v>
      </c>
      <c r="P178" s="11" t="s">
        <v>80</v>
      </c>
      <c r="Q178" s="11" t="s">
        <v>81</v>
      </c>
      <c r="R178" s="11" t="s">
        <v>2817</v>
      </c>
      <c r="S178" s="11" t="s">
        <v>2818</v>
      </c>
      <c r="T178" s="90" t="s">
        <v>10</v>
      </c>
      <c r="U178" s="89"/>
      <c r="V178" s="51">
        <v>45524</v>
      </c>
      <c r="W178" s="11" t="s">
        <v>1601</v>
      </c>
    </row>
    <row r="179" spans="1:23" ht="13" customHeight="1" x14ac:dyDescent="0.35">
      <c r="A179" s="11">
        <v>173</v>
      </c>
      <c r="B179" s="47">
        <v>203679325</v>
      </c>
      <c r="C179" s="94" t="s">
        <v>2588</v>
      </c>
      <c r="D179" s="11" t="s">
        <v>2589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79</v>
      </c>
      <c r="O179" s="49" t="s">
        <v>67</v>
      </c>
      <c r="P179" s="11" t="s">
        <v>80</v>
      </c>
      <c r="Q179" s="11" t="s">
        <v>81</v>
      </c>
      <c r="R179" s="11" t="s">
        <v>2817</v>
      </c>
      <c r="S179" s="11" t="s">
        <v>2818</v>
      </c>
      <c r="T179" s="90" t="s">
        <v>1</v>
      </c>
      <c r="U179" s="91"/>
      <c r="V179" s="51">
        <v>45488</v>
      </c>
      <c r="W179" s="11" t="s">
        <v>1601</v>
      </c>
    </row>
    <row r="180" spans="1:23" ht="13" customHeight="1" x14ac:dyDescent="0.35">
      <c r="A180" s="11">
        <v>174</v>
      </c>
      <c r="B180" s="47">
        <v>202238249</v>
      </c>
      <c r="C180" s="94" t="s">
        <v>142</v>
      </c>
      <c r="D180" s="11" t="s">
        <v>2036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78</v>
      </c>
      <c r="M180" s="49" t="s">
        <v>92</v>
      </c>
      <c r="N180" s="48" t="s">
        <v>86</v>
      </c>
      <c r="O180" s="49" t="s">
        <v>67</v>
      </c>
      <c r="P180" s="11" t="s">
        <v>80</v>
      </c>
      <c r="Q180" s="11" t="s">
        <v>87</v>
      </c>
      <c r="R180" s="11" t="s">
        <v>2817</v>
      </c>
      <c r="S180" s="11" t="s">
        <v>2818</v>
      </c>
      <c r="T180" s="90" t="s">
        <v>1</v>
      </c>
      <c r="U180" s="89"/>
      <c r="V180" s="51">
        <v>45586</v>
      </c>
      <c r="W180" s="11" t="s">
        <v>1601</v>
      </c>
    </row>
    <row r="181" spans="1:23" ht="13" customHeight="1" x14ac:dyDescent="0.35">
      <c r="A181" s="11">
        <v>175</v>
      </c>
      <c r="B181" s="47">
        <v>102207652</v>
      </c>
      <c r="C181" s="94" t="s">
        <v>143</v>
      </c>
      <c r="D181" s="11" t="s">
        <v>2037</v>
      </c>
      <c r="E181" s="48" t="s">
        <v>34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39</v>
      </c>
      <c r="K181" s="49" t="s">
        <v>76</v>
      </c>
      <c r="L181" s="49" t="s">
        <v>88</v>
      </c>
      <c r="M181" s="49" t="s">
        <v>95</v>
      </c>
      <c r="N181" s="48" t="s">
        <v>108</v>
      </c>
      <c r="O181" s="49" t="s">
        <v>67</v>
      </c>
      <c r="P181" s="11" t="s">
        <v>80</v>
      </c>
      <c r="Q181" s="11" t="s">
        <v>98</v>
      </c>
      <c r="R181" s="11" t="s">
        <v>82</v>
      </c>
      <c r="S181" s="11" t="s">
        <v>2819</v>
      </c>
      <c r="T181" s="90" t="s">
        <v>1</v>
      </c>
      <c r="U181" s="89"/>
      <c r="V181" s="51">
        <v>42868</v>
      </c>
      <c r="W181" s="11" t="s">
        <v>1601</v>
      </c>
    </row>
    <row r="182" spans="1:23" ht="13" customHeight="1" x14ac:dyDescent="0.35">
      <c r="A182" s="11">
        <v>176</v>
      </c>
      <c r="B182" s="47">
        <v>203813085</v>
      </c>
      <c r="C182" s="94" t="s">
        <v>2387</v>
      </c>
      <c r="D182" s="11" t="s">
        <v>2388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32</v>
      </c>
      <c r="K182" s="49" t="s">
        <v>76</v>
      </c>
      <c r="L182" s="49" t="s">
        <v>92</v>
      </c>
      <c r="M182" s="49" t="s">
        <v>84</v>
      </c>
      <c r="N182" s="48" t="s">
        <v>86</v>
      </c>
      <c r="O182" s="49" t="s">
        <v>67</v>
      </c>
      <c r="P182" s="11" t="s">
        <v>80</v>
      </c>
      <c r="Q182" s="11" t="s">
        <v>99</v>
      </c>
      <c r="R182" s="11" t="s">
        <v>2817</v>
      </c>
      <c r="S182" s="11" t="s">
        <v>2818</v>
      </c>
      <c r="T182" s="90" t="s">
        <v>1</v>
      </c>
      <c r="U182" s="91"/>
      <c r="V182" s="51">
        <v>45517</v>
      </c>
      <c r="W182" s="11" t="s">
        <v>1601</v>
      </c>
    </row>
    <row r="183" spans="1:23" ht="13" customHeight="1" x14ac:dyDescent="0.35">
      <c r="A183" s="11">
        <v>177</v>
      </c>
      <c r="B183" s="47">
        <v>206875145</v>
      </c>
      <c r="C183" s="94" t="s">
        <v>1768</v>
      </c>
      <c r="D183" s="11" t="s">
        <v>1769</v>
      </c>
      <c r="E183" s="48" t="s">
        <v>31</v>
      </c>
      <c r="F183" s="48" t="s">
        <v>74</v>
      </c>
      <c r="G183" s="48" t="s">
        <v>64</v>
      </c>
      <c r="H183" s="48" t="s">
        <v>75</v>
      </c>
      <c r="I183" s="11">
        <v>1299</v>
      </c>
      <c r="J183" s="49" t="s">
        <v>32</v>
      </c>
      <c r="K183" s="49" t="s">
        <v>76</v>
      </c>
      <c r="L183" s="49" t="s">
        <v>92</v>
      </c>
      <c r="M183" s="49" t="s">
        <v>84</v>
      </c>
      <c r="N183" s="49" t="s">
        <v>89</v>
      </c>
      <c r="O183" s="48" t="s">
        <v>67</v>
      </c>
      <c r="P183" s="48" t="s">
        <v>80</v>
      </c>
      <c r="Q183" s="11" t="s">
        <v>90</v>
      </c>
      <c r="R183" s="11" t="s">
        <v>2817</v>
      </c>
      <c r="S183" s="11" t="s">
        <v>2818</v>
      </c>
      <c r="T183" s="90" t="s">
        <v>1</v>
      </c>
      <c r="U183" s="89"/>
      <c r="V183" s="51">
        <v>46020</v>
      </c>
      <c r="W183" s="11" t="s">
        <v>1601</v>
      </c>
    </row>
    <row r="184" spans="1:23" ht="13" customHeight="1" x14ac:dyDescent="0.35">
      <c r="A184" s="11">
        <v>178</v>
      </c>
      <c r="B184" s="47">
        <v>206136724</v>
      </c>
      <c r="C184" s="94" t="s">
        <v>2590</v>
      </c>
      <c r="D184" s="11" t="s">
        <v>2591</v>
      </c>
      <c r="E184" s="48" t="s">
        <v>31</v>
      </c>
      <c r="F184" s="48" t="s">
        <v>74</v>
      </c>
      <c r="G184" s="11" t="s">
        <v>64</v>
      </c>
      <c r="H184" s="11" t="s">
        <v>75</v>
      </c>
      <c r="I184" s="11">
        <v>1299</v>
      </c>
      <c r="J184" s="49" t="s">
        <v>32</v>
      </c>
      <c r="K184" s="49" t="s">
        <v>76</v>
      </c>
      <c r="L184" s="49" t="s">
        <v>92</v>
      </c>
      <c r="M184" s="49" t="s">
        <v>84</v>
      </c>
      <c r="N184" s="49" t="s">
        <v>89</v>
      </c>
      <c r="O184" s="49" t="s">
        <v>67</v>
      </c>
      <c r="P184" s="11" t="s">
        <v>80</v>
      </c>
      <c r="Q184" s="11" t="s">
        <v>81</v>
      </c>
      <c r="R184" s="11" t="s">
        <v>2817</v>
      </c>
      <c r="S184" s="11" t="s">
        <v>2818</v>
      </c>
      <c r="T184" s="90" t="s">
        <v>1</v>
      </c>
      <c r="U184" s="91"/>
      <c r="V184" s="51">
        <v>45932</v>
      </c>
      <c r="W184" s="11" t="s">
        <v>1601</v>
      </c>
    </row>
    <row r="185" spans="1:23" ht="13" customHeight="1" x14ac:dyDescent="0.35">
      <c r="A185" s="11">
        <v>179</v>
      </c>
      <c r="B185" s="47">
        <v>204329123</v>
      </c>
      <c r="C185" s="94" t="s">
        <v>2389</v>
      </c>
      <c r="D185" s="11" t="s">
        <v>2390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39</v>
      </c>
      <c r="K185" s="49" t="s">
        <v>76</v>
      </c>
      <c r="L185" s="49" t="s">
        <v>77</v>
      </c>
      <c r="M185" s="49" t="s">
        <v>78</v>
      </c>
      <c r="N185" s="48" t="s">
        <v>86</v>
      </c>
      <c r="O185" s="49" t="s">
        <v>67</v>
      </c>
      <c r="P185" s="11" t="s">
        <v>80</v>
      </c>
      <c r="Q185" s="11" t="s">
        <v>87</v>
      </c>
      <c r="R185" s="11" t="s">
        <v>2817</v>
      </c>
      <c r="S185" s="11" t="s">
        <v>2818</v>
      </c>
      <c r="T185" s="90" t="s">
        <v>10</v>
      </c>
      <c r="U185" s="89"/>
      <c r="V185" s="51">
        <v>45589</v>
      </c>
      <c r="W185" s="11" t="s">
        <v>1601</v>
      </c>
    </row>
    <row r="186" spans="1:23" ht="13" customHeight="1" x14ac:dyDescent="0.35">
      <c r="A186" s="11">
        <v>180</v>
      </c>
      <c r="B186" s="47">
        <v>206851163</v>
      </c>
      <c r="C186" s="94" t="s">
        <v>1779</v>
      </c>
      <c r="D186" s="11" t="s">
        <v>1780</v>
      </c>
      <c r="E186" s="48" t="s">
        <v>31</v>
      </c>
      <c r="F186" s="48" t="s">
        <v>74</v>
      </c>
      <c r="G186" s="48" t="s">
        <v>64</v>
      </c>
      <c r="H186" s="48" t="s">
        <v>75</v>
      </c>
      <c r="I186" s="11">
        <v>1299</v>
      </c>
      <c r="J186" s="49" t="s">
        <v>32</v>
      </c>
      <c r="K186" s="49" t="s">
        <v>76</v>
      </c>
      <c r="L186" s="49" t="s">
        <v>85</v>
      </c>
      <c r="M186" s="49" t="s">
        <v>88</v>
      </c>
      <c r="N186" s="49" t="s">
        <v>89</v>
      </c>
      <c r="O186" s="48" t="s">
        <v>67</v>
      </c>
      <c r="P186" s="48" t="s">
        <v>80</v>
      </c>
      <c r="Q186" s="11" t="s">
        <v>90</v>
      </c>
      <c r="R186" s="11" t="s">
        <v>2817</v>
      </c>
      <c r="S186" s="11" t="s">
        <v>2818</v>
      </c>
      <c r="T186" s="90" t="s">
        <v>1</v>
      </c>
      <c r="U186" s="91"/>
      <c r="V186" s="51">
        <v>46020</v>
      </c>
      <c r="W186" s="11" t="s">
        <v>1601</v>
      </c>
    </row>
    <row r="187" spans="1:23" ht="13" customHeight="1" x14ac:dyDescent="0.35">
      <c r="A187" s="11">
        <v>181</v>
      </c>
      <c r="B187" s="47">
        <v>203469083</v>
      </c>
      <c r="C187" s="94" t="s">
        <v>2391</v>
      </c>
      <c r="D187" s="11" t="s">
        <v>2392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39</v>
      </c>
      <c r="K187" s="49" t="s">
        <v>76</v>
      </c>
      <c r="L187" s="49" t="s">
        <v>92</v>
      </c>
      <c r="M187" s="49" t="s">
        <v>84</v>
      </c>
      <c r="N187" s="48" t="s">
        <v>79</v>
      </c>
      <c r="O187" s="49" t="s">
        <v>67</v>
      </c>
      <c r="P187" s="11" t="s">
        <v>80</v>
      </c>
      <c r="Q187" s="11" t="s">
        <v>81</v>
      </c>
      <c r="R187" s="11" t="s">
        <v>2817</v>
      </c>
      <c r="S187" s="11" t="s">
        <v>2818</v>
      </c>
      <c r="T187" s="90" t="s">
        <v>1</v>
      </c>
      <c r="U187" s="89"/>
      <c r="V187" s="51">
        <v>45456</v>
      </c>
      <c r="W187" s="11" t="s">
        <v>1601</v>
      </c>
    </row>
    <row r="188" spans="1:23" ht="13" customHeight="1" x14ac:dyDescent="0.35">
      <c r="A188" s="11">
        <v>182</v>
      </c>
      <c r="B188" s="47">
        <v>203679326</v>
      </c>
      <c r="C188" s="94" t="s">
        <v>2393</v>
      </c>
      <c r="D188" s="11" t="s">
        <v>2394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8" t="s">
        <v>79</v>
      </c>
      <c r="O188" s="49" t="s">
        <v>67</v>
      </c>
      <c r="P188" s="11" t="s">
        <v>80</v>
      </c>
      <c r="Q188" s="11" t="s">
        <v>81</v>
      </c>
      <c r="R188" s="11" t="s">
        <v>2817</v>
      </c>
      <c r="S188" s="11" t="s">
        <v>2818</v>
      </c>
      <c r="T188" s="90" t="s">
        <v>10</v>
      </c>
      <c r="U188" s="91"/>
      <c r="V188" s="51">
        <v>45488</v>
      </c>
      <c r="W188" s="11" t="s">
        <v>1601</v>
      </c>
    </row>
    <row r="189" spans="1:23" ht="13" customHeight="1" x14ac:dyDescent="0.35">
      <c r="A189" s="11">
        <v>183</v>
      </c>
      <c r="B189" s="47">
        <v>205301874</v>
      </c>
      <c r="C189" s="94" t="s">
        <v>1700</v>
      </c>
      <c r="D189" s="11" t="s">
        <v>2038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9" t="s">
        <v>67</v>
      </c>
      <c r="P189" s="11" t="s">
        <v>80</v>
      </c>
      <c r="Q189" s="11" t="s">
        <v>96</v>
      </c>
      <c r="R189" s="11" t="s">
        <v>2817</v>
      </c>
      <c r="S189" s="11" t="s">
        <v>2818</v>
      </c>
      <c r="T189" s="90" t="s">
        <v>10</v>
      </c>
      <c r="U189" s="89"/>
      <c r="V189" s="51">
        <v>45950</v>
      </c>
      <c r="W189" s="11" t="s">
        <v>1601</v>
      </c>
    </row>
    <row r="190" spans="1:23" ht="13" customHeight="1" x14ac:dyDescent="0.35">
      <c r="A190" s="11">
        <v>184</v>
      </c>
      <c r="B190" s="47">
        <v>206008708</v>
      </c>
      <c r="C190" s="94" t="s">
        <v>2395</v>
      </c>
      <c r="D190" s="11" t="s">
        <v>2396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32</v>
      </c>
      <c r="K190" s="49" t="s">
        <v>76</v>
      </c>
      <c r="L190" s="49" t="s">
        <v>77</v>
      </c>
      <c r="M190" s="49" t="s">
        <v>78</v>
      </c>
      <c r="N190" s="49" t="s">
        <v>89</v>
      </c>
      <c r="O190" s="49" t="s">
        <v>67</v>
      </c>
      <c r="P190" s="11" t="s">
        <v>80</v>
      </c>
      <c r="Q190" s="11" t="s">
        <v>81</v>
      </c>
      <c r="R190" s="11" t="s">
        <v>2817</v>
      </c>
      <c r="S190" s="11" t="s">
        <v>2818</v>
      </c>
      <c r="T190" s="90" t="s">
        <v>10</v>
      </c>
      <c r="U190" s="91"/>
      <c r="V190" s="51">
        <v>45915</v>
      </c>
      <c r="W190" s="11" t="s">
        <v>1601</v>
      </c>
    </row>
    <row r="191" spans="1:23" ht="13" customHeight="1" x14ac:dyDescent="0.35">
      <c r="A191" s="11">
        <v>185</v>
      </c>
      <c r="B191" s="47">
        <v>206873881</v>
      </c>
      <c r="C191" s="94" t="s">
        <v>1752</v>
      </c>
      <c r="D191" s="11" t="s">
        <v>1753</v>
      </c>
      <c r="E191" s="48" t="s">
        <v>31</v>
      </c>
      <c r="F191" s="48" t="s">
        <v>74</v>
      </c>
      <c r="G191" s="48" t="s">
        <v>64</v>
      </c>
      <c r="H191" s="48" t="s">
        <v>75</v>
      </c>
      <c r="I191" s="11">
        <v>1299</v>
      </c>
      <c r="J191" s="49" t="s">
        <v>32</v>
      </c>
      <c r="K191" s="49" t="s">
        <v>76</v>
      </c>
      <c r="L191" s="49" t="s">
        <v>77</v>
      </c>
      <c r="M191" s="49" t="s">
        <v>78</v>
      </c>
      <c r="N191" s="49" t="s">
        <v>89</v>
      </c>
      <c r="O191" s="48" t="s">
        <v>67</v>
      </c>
      <c r="P191" s="48" t="s">
        <v>80</v>
      </c>
      <c r="Q191" s="11" t="s">
        <v>90</v>
      </c>
      <c r="R191" s="11" t="s">
        <v>2817</v>
      </c>
      <c r="S191" s="11" t="s">
        <v>2818</v>
      </c>
      <c r="T191" s="90" t="s">
        <v>10</v>
      </c>
      <c r="U191" s="89"/>
      <c r="V191" s="51">
        <v>46020</v>
      </c>
      <c r="W191" s="11" t="s">
        <v>1601</v>
      </c>
    </row>
    <row r="192" spans="1:23" ht="13" customHeight="1" x14ac:dyDescent="0.35">
      <c r="A192" s="11">
        <v>186</v>
      </c>
      <c r="B192" s="47">
        <v>206175107</v>
      </c>
      <c r="C192" s="94" t="s">
        <v>2592</v>
      </c>
      <c r="D192" s="11" t="s">
        <v>2593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32</v>
      </c>
      <c r="K192" s="49" t="s">
        <v>76</v>
      </c>
      <c r="L192" s="49" t="s">
        <v>77</v>
      </c>
      <c r="M192" s="49" t="s">
        <v>78</v>
      </c>
      <c r="N192" s="49" t="s">
        <v>89</v>
      </c>
      <c r="O192" s="49" t="s">
        <v>67</v>
      </c>
      <c r="P192" s="11" t="s">
        <v>80</v>
      </c>
      <c r="Q192" s="11" t="s">
        <v>81</v>
      </c>
      <c r="R192" s="11" t="s">
        <v>2817</v>
      </c>
      <c r="S192" s="11" t="s">
        <v>2818</v>
      </c>
      <c r="T192" s="90" t="s">
        <v>10</v>
      </c>
      <c r="U192" s="91"/>
      <c r="V192" s="51">
        <v>45932</v>
      </c>
      <c r="W192" s="11" t="s">
        <v>1601</v>
      </c>
    </row>
    <row r="193" spans="1:23" ht="13" customHeight="1" x14ac:dyDescent="0.35">
      <c r="A193" s="11">
        <v>187</v>
      </c>
      <c r="B193" s="47">
        <v>203469455</v>
      </c>
      <c r="C193" s="94" t="s">
        <v>2397</v>
      </c>
      <c r="D193" s="11" t="s">
        <v>2398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85</v>
      </c>
      <c r="M193" s="49" t="s">
        <v>88</v>
      </c>
      <c r="N193" s="48" t="s">
        <v>86</v>
      </c>
      <c r="O193" s="49" t="s">
        <v>67</v>
      </c>
      <c r="P193" s="11" t="s">
        <v>80</v>
      </c>
      <c r="Q193" s="11" t="s">
        <v>99</v>
      </c>
      <c r="R193" s="11" t="s">
        <v>2817</v>
      </c>
      <c r="S193" s="11" t="s">
        <v>2818</v>
      </c>
      <c r="T193" s="90" t="s">
        <v>1</v>
      </c>
      <c r="U193" s="90"/>
      <c r="V193" s="51">
        <v>45456</v>
      </c>
      <c r="W193" s="11" t="s">
        <v>1601</v>
      </c>
    </row>
    <row r="194" spans="1:23" ht="13" customHeight="1" x14ac:dyDescent="0.35">
      <c r="A194" s="11">
        <v>188</v>
      </c>
      <c r="B194" s="47">
        <v>203813088</v>
      </c>
      <c r="C194" s="94" t="s">
        <v>144</v>
      </c>
      <c r="D194" s="11" t="s">
        <v>2041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39</v>
      </c>
      <c r="K194" s="49" t="s">
        <v>76</v>
      </c>
      <c r="L194" s="49" t="s">
        <v>92</v>
      </c>
      <c r="M194" s="49" t="s">
        <v>84</v>
      </c>
      <c r="N194" s="48" t="s">
        <v>86</v>
      </c>
      <c r="O194" s="49" t="s">
        <v>67</v>
      </c>
      <c r="P194" s="11" t="s">
        <v>80</v>
      </c>
      <c r="Q194" s="11" t="s">
        <v>99</v>
      </c>
      <c r="R194" s="11" t="s">
        <v>2817</v>
      </c>
      <c r="S194" s="11" t="s">
        <v>2818</v>
      </c>
      <c r="T194" s="90" t="s">
        <v>1</v>
      </c>
      <c r="U194" s="89"/>
      <c r="V194" s="51">
        <v>45517</v>
      </c>
      <c r="W194" s="11" t="s">
        <v>1601</v>
      </c>
    </row>
    <row r="195" spans="1:23" ht="13" customHeight="1" x14ac:dyDescent="0.35">
      <c r="A195" s="11">
        <v>189</v>
      </c>
      <c r="B195" s="47">
        <v>204072320</v>
      </c>
      <c r="C195" s="94" t="s">
        <v>145</v>
      </c>
      <c r="D195" s="11" t="s">
        <v>2042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85</v>
      </c>
      <c r="M195" s="49" t="s">
        <v>88</v>
      </c>
      <c r="N195" s="49" t="s">
        <v>89</v>
      </c>
      <c r="O195" s="49" t="s">
        <v>67</v>
      </c>
      <c r="P195" s="11" t="s">
        <v>80</v>
      </c>
      <c r="Q195" s="11" t="s">
        <v>90</v>
      </c>
      <c r="R195" s="11" t="s">
        <v>2817</v>
      </c>
      <c r="S195" s="11" t="s">
        <v>2818</v>
      </c>
      <c r="T195" s="90" t="s">
        <v>1</v>
      </c>
      <c r="U195" s="89"/>
      <c r="V195" s="51">
        <v>45684</v>
      </c>
      <c r="W195" s="11" t="s">
        <v>1601</v>
      </c>
    </row>
    <row r="196" spans="1:23" ht="13" customHeight="1" x14ac:dyDescent="0.35">
      <c r="A196" s="11">
        <v>190</v>
      </c>
      <c r="B196" s="47">
        <v>204299908</v>
      </c>
      <c r="C196" s="94" t="s">
        <v>146</v>
      </c>
      <c r="D196" s="11" t="s">
        <v>2043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8" t="s">
        <v>86</v>
      </c>
      <c r="O196" s="49" t="s">
        <v>67</v>
      </c>
      <c r="P196" s="11" t="s">
        <v>80</v>
      </c>
      <c r="Q196" s="11" t="s">
        <v>87</v>
      </c>
      <c r="R196" s="11" t="s">
        <v>2817</v>
      </c>
      <c r="S196" s="11" t="s">
        <v>2818</v>
      </c>
      <c r="T196" s="90" t="s">
        <v>10</v>
      </c>
      <c r="U196" s="89"/>
      <c r="V196" s="51">
        <v>45589</v>
      </c>
      <c r="W196" s="11" t="s">
        <v>1601</v>
      </c>
    </row>
    <row r="197" spans="1:23" ht="13" customHeight="1" x14ac:dyDescent="0.35">
      <c r="A197" s="11">
        <v>191</v>
      </c>
      <c r="B197" s="47">
        <v>205647585</v>
      </c>
      <c r="C197" s="94" t="s">
        <v>2399</v>
      </c>
      <c r="D197" s="11" t="s">
        <v>2400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95</v>
      </c>
      <c r="M197" s="49" t="s">
        <v>77</v>
      </c>
      <c r="N197" s="49" t="s">
        <v>89</v>
      </c>
      <c r="O197" s="49" t="s">
        <v>67</v>
      </c>
      <c r="P197" s="11" t="s">
        <v>80</v>
      </c>
      <c r="Q197" s="11" t="s">
        <v>96</v>
      </c>
      <c r="R197" s="11" t="s">
        <v>2817</v>
      </c>
      <c r="S197" s="11" t="s">
        <v>2818</v>
      </c>
      <c r="T197" s="90" t="s">
        <v>10</v>
      </c>
      <c r="U197" s="89"/>
      <c r="V197" s="51">
        <v>45852</v>
      </c>
      <c r="W197" s="11" t="s">
        <v>1601</v>
      </c>
    </row>
    <row r="198" spans="1:23" ht="13" customHeight="1" x14ac:dyDescent="0.35">
      <c r="A198" s="11">
        <v>192</v>
      </c>
      <c r="B198" s="47">
        <v>205647825</v>
      </c>
      <c r="C198" s="94" t="s">
        <v>147</v>
      </c>
      <c r="D198" s="11" t="s">
        <v>2044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88</v>
      </c>
      <c r="M198" s="49" t="s">
        <v>95</v>
      </c>
      <c r="N198" s="49" t="s">
        <v>89</v>
      </c>
      <c r="O198" s="49" t="s">
        <v>67</v>
      </c>
      <c r="P198" s="11" t="s">
        <v>80</v>
      </c>
      <c r="Q198" s="11" t="s">
        <v>96</v>
      </c>
      <c r="R198" s="11" t="s">
        <v>2817</v>
      </c>
      <c r="S198" s="11" t="s">
        <v>2818</v>
      </c>
      <c r="T198" s="90" t="s">
        <v>1</v>
      </c>
      <c r="U198" s="91"/>
      <c r="V198" s="51">
        <v>45852</v>
      </c>
      <c r="W198" s="11" t="s">
        <v>1601</v>
      </c>
    </row>
    <row r="199" spans="1:23" ht="13" customHeight="1" x14ac:dyDescent="0.35">
      <c r="A199" s="11">
        <v>193</v>
      </c>
      <c r="B199" s="47">
        <v>206297429</v>
      </c>
      <c r="C199" s="94" t="s">
        <v>1703</v>
      </c>
      <c r="D199" s="11" t="s">
        <v>2045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39</v>
      </c>
      <c r="K199" s="49" t="s">
        <v>76</v>
      </c>
      <c r="L199" s="49" t="s">
        <v>77</v>
      </c>
      <c r="M199" s="49" t="s">
        <v>78</v>
      </c>
      <c r="N199" s="49" t="s">
        <v>79</v>
      </c>
      <c r="O199" s="49" t="s">
        <v>67</v>
      </c>
      <c r="P199" s="11" t="s">
        <v>80</v>
      </c>
      <c r="Q199" s="11" t="s">
        <v>96</v>
      </c>
      <c r="R199" s="11" t="s">
        <v>2817</v>
      </c>
      <c r="S199" s="11" t="s">
        <v>2818</v>
      </c>
      <c r="T199" s="90" t="s">
        <v>10</v>
      </c>
      <c r="U199" s="91"/>
      <c r="V199" s="51">
        <v>45950</v>
      </c>
      <c r="W199" s="11" t="s">
        <v>1601</v>
      </c>
    </row>
    <row r="200" spans="1:23" ht="13" customHeight="1" x14ac:dyDescent="0.35">
      <c r="A200" s="11">
        <v>194</v>
      </c>
      <c r="B200" s="47">
        <v>203469406</v>
      </c>
      <c r="C200" s="94" t="s">
        <v>148</v>
      </c>
      <c r="D200" s="11" t="s">
        <v>2046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85</v>
      </c>
      <c r="M200" s="49" t="s">
        <v>88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2817</v>
      </c>
      <c r="S200" s="11" t="s">
        <v>2818</v>
      </c>
      <c r="T200" s="90" t="s">
        <v>1</v>
      </c>
      <c r="U200" s="90"/>
      <c r="V200" s="51">
        <v>45456</v>
      </c>
      <c r="W200" s="11" t="s">
        <v>1601</v>
      </c>
    </row>
    <row r="201" spans="1:23" ht="13" customHeight="1" x14ac:dyDescent="0.35">
      <c r="A201" s="11">
        <v>195</v>
      </c>
      <c r="B201" s="47">
        <v>203555408</v>
      </c>
      <c r="C201" s="94" t="s">
        <v>149</v>
      </c>
      <c r="D201" s="11" t="s">
        <v>2047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39</v>
      </c>
      <c r="K201" s="49" t="s">
        <v>76</v>
      </c>
      <c r="L201" s="49" t="s">
        <v>77</v>
      </c>
      <c r="M201" s="49" t="s">
        <v>78</v>
      </c>
      <c r="N201" s="48" t="s">
        <v>79</v>
      </c>
      <c r="O201" s="49" t="s">
        <v>67</v>
      </c>
      <c r="P201" s="11" t="s">
        <v>80</v>
      </c>
      <c r="Q201" s="11" t="s">
        <v>81</v>
      </c>
      <c r="R201" s="11" t="s">
        <v>2817</v>
      </c>
      <c r="S201" s="11" t="s">
        <v>2818</v>
      </c>
      <c r="T201" s="90" t="s">
        <v>10</v>
      </c>
      <c r="U201" s="90"/>
      <c r="V201" s="51">
        <v>45470</v>
      </c>
      <c r="W201" s="11" t="s">
        <v>1601</v>
      </c>
    </row>
    <row r="202" spans="1:23" ht="13" customHeight="1" x14ac:dyDescent="0.35">
      <c r="A202" s="11">
        <v>196</v>
      </c>
      <c r="B202" s="47">
        <v>203469114</v>
      </c>
      <c r="C202" s="94" t="s">
        <v>150</v>
      </c>
      <c r="D202" s="11" t="s">
        <v>2048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32</v>
      </c>
      <c r="K202" s="49" t="s">
        <v>76</v>
      </c>
      <c r="L202" s="49" t="s">
        <v>88</v>
      </c>
      <c r="M202" s="49" t="s">
        <v>95</v>
      </c>
      <c r="N202" s="48" t="s">
        <v>79</v>
      </c>
      <c r="O202" s="49" t="s">
        <v>67</v>
      </c>
      <c r="P202" s="11" t="s">
        <v>80</v>
      </c>
      <c r="Q202" s="11" t="s">
        <v>81</v>
      </c>
      <c r="R202" s="11" t="s">
        <v>2817</v>
      </c>
      <c r="S202" s="11" t="s">
        <v>2818</v>
      </c>
      <c r="T202" s="90" t="s">
        <v>1</v>
      </c>
      <c r="U202" s="91"/>
      <c r="V202" s="51">
        <v>45456</v>
      </c>
      <c r="W202" s="11" t="s">
        <v>1601</v>
      </c>
    </row>
    <row r="203" spans="1:23" ht="13" customHeight="1" x14ac:dyDescent="0.35">
      <c r="A203" s="11">
        <v>197</v>
      </c>
      <c r="B203" s="47">
        <v>203813078</v>
      </c>
      <c r="C203" s="94" t="s">
        <v>151</v>
      </c>
      <c r="D203" s="11" t="s">
        <v>2049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32</v>
      </c>
      <c r="K203" s="49" t="s">
        <v>76</v>
      </c>
      <c r="L203" s="49" t="s">
        <v>78</v>
      </c>
      <c r="M203" s="49" t="s">
        <v>92</v>
      </c>
      <c r="N203" s="48" t="s">
        <v>86</v>
      </c>
      <c r="O203" s="49" t="s">
        <v>67</v>
      </c>
      <c r="P203" s="11" t="s">
        <v>80</v>
      </c>
      <c r="Q203" s="11" t="s">
        <v>99</v>
      </c>
      <c r="R203" s="11" t="s">
        <v>2817</v>
      </c>
      <c r="S203" s="11" t="s">
        <v>2818</v>
      </c>
      <c r="T203" s="90" t="s">
        <v>1</v>
      </c>
      <c r="U203" s="90"/>
      <c r="V203" s="51">
        <v>45517</v>
      </c>
      <c r="W203" s="11" t="s">
        <v>1601</v>
      </c>
    </row>
    <row r="204" spans="1:23" ht="13" customHeight="1" x14ac:dyDescent="0.35">
      <c r="A204" s="11">
        <v>198</v>
      </c>
      <c r="B204" s="47">
        <v>206952968</v>
      </c>
      <c r="C204" s="94" t="s">
        <v>2210</v>
      </c>
      <c r="D204" s="11" t="s">
        <v>2119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84</v>
      </c>
      <c r="M204" s="49" t="s">
        <v>85</v>
      </c>
      <c r="N204" s="48" t="s">
        <v>86</v>
      </c>
      <c r="O204" s="49" t="s">
        <v>67</v>
      </c>
      <c r="P204" s="11" t="s">
        <v>80</v>
      </c>
      <c r="Q204" s="11" t="s">
        <v>90</v>
      </c>
      <c r="R204" s="11" t="s">
        <v>2817</v>
      </c>
      <c r="S204" s="11" t="s">
        <v>2818</v>
      </c>
      <c r="T204" s="90" t="s">
        <v>1</v>
      </c>
      <c r="U204" s="89"/>
      <c r="V204" s="51">
        <v>46048</v>
      </c>
      <c r="W204" s="11" t="s">
        <v>1601</v>
      </c>
    </row>
    <row r="205" spans="1:23" ht="13" customHeight="1" x14ac:dyDescent="0.35">
      <c r="A205" s="11">
        <v>199</v>
      </c>
      <c r="B205" s="47">
        <v>205608882</v>
      </c>
      <c r="C205" s="94" t="s">
        <v>595</v>
      </c>
      <c r="D205" s="11" t="s">
        <v>2050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39</v>
      </c>
      <c r="K205" s="49" t="s">
        <v>76</v>
      </c>
      <c r="L205" s="49" t="s">
        <v>92</v>
      </c>
      <c r="M205" s="49" t="s">
        <v>84</v>
      </c>
      <c r="N205" s="49" t="s">
        <v>89</v>
      </c>
      <c r="O205" s="49" t="s">
        <v>67</v>
      </c>
      <c r="P205" s="11" t="s">
        <v>80</v>
      </c>
      <c r="Q205" s="11" t="s">
        <v>90</v>
      </c>
      <c r="R205" s="11" t="s">
        <v>2817</v>
      </c>
      <c r="S205" s="11" t="s">
        <v>2818</v>
      </c>
      <c r="T205" s="90" t="s">
        <v>1</v>
      </c>
      <c r="U205" s="89"/>
      <c r="V205" s="51">
        <v>45845</v>
      </c>
      <c r="W205" s="11" t="s">
        <v>1601</v>
      </c>
    </row>
    <row r="206" spans="1:23" ht="13" customHeight="1" x14ac:dyDescent="0.35">
      <c r="A206" s="11">
        <v>200</v>
      </c>
      <c r="B206" s="47">
        <v>205276100</v>
      </c>
      <c r="C206" s="94" t="s">
        <v>1467</v>
      </c>
      <c r="D206" s="11" t="s">
        <v>2063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77</v>
      </c>
      <c r="M206" s="49" t="s">
        <v>78</v>
      </c>
      <c r="N206" s="48" t="s">
        <v>89</v>
      </c>
      <c r="O206" s="49" t="s">
        <v>67</v>
      </c>
      <c r="P206" s="11" t="s">
        <v>80</v>
      </c>
      <c r="Q206" s="11" t="s">
        <v>90</v>
      </c>
      <c r="R206" s="11" t="s">
        <v>2817</v>
      </c>
      <c r="S206" s="11" t="s">
        <v>2818</v>
      </c>
      <c r="T206" s="90" t="s">
        <v>10</v>
      </c>
      <c r="U206" s="89"/>
      <c r="V206" s="51">
        <v>45796</v>
      </c>
      <c r="W206" s="11" t="s">
        <v>1601</v>
      </c>
    </row>
    <row r="207" spans="1:23" ht="13" customHeight="1" x14ac:dyDescent="0.35">
      <c r="A207" s="11">
        <v>201</v>
      </c>
      <c r="B207" s="47">
        <v>203908354</v>
      </c>
      <c r="C207" s="94" t="s">
        <v>2401</v>
      </c>
      <c r="D207" s="11" t="s">
        <v>2402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95</v>
      </c>
      <c r="M207" s="49" t="s">
        <v>77</v>
      </c>
      <c r="N207" s="49" t="s">
        <v>89</v>
      </c>
      <c r="O207" s="49" t="s">
        <v>67</v>
      </c>
      <c r="P207" s="11" t="s">
        <v>80</v>
      </c>
      <c r="Q207" s="11" t="s">
        <v>90</v>
      </c>
      <c r="R207" s="11" t="s">
        <v>2817</v>
      </c>
      <c r="S207" s="11" t="s">
        <v>2818</v>
      </c>
      <c r="T207" s="90" t="s">
        <v>10</v>
      </c>
      <c r="U207" s="89"/>
      <c r="V207" s="51">
        <v>45684</v>
      </c>
      <c r="W207" s="11" t="s">
        <v>1601</v>
      </c>
    </row>
    <row r="208" spans="1:23" ht="13" customHeight="1" x14ac:dyDescent="0.35">
      <c r="A208" s="11">
        <v>202</v>
      </c>
      <c r="B208" s="47">
        <v>205647835</v>
      </c>
      <c r="C208" s="94" t="s">
        <v>2403</v>
      </c>
      <c r="D208" s="11" t="s">
        <v>2404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85</v>
      </c>
      <c r="M208" s="49" t="s">
        <v>88</v>
      </c>
      <c r="N208" s="49" t="s">
        <v>89</v>
      </c>
      <c r="O208" s="49" t="s">
        <v>67</v>
      </c>
      <c r="P208" s="11" t="s">
        <v>80</v>
      </c>
      <c r="Q208" s="11" t="s">
        <v>96</v>
      </c>
      <c r="R208" s="11" t="s">
        <v>2817</v>
      </c>
      <c r="S208" s="11" t="s">
        <v>2818</v>
      </c>
      <c r="T208" s="90" t="s">
        <v>1</v>
      </c>
      <c r="U208" s="89"/>
      <c r="V208" s="51">
        <v>45852</v>
      </c>
      <c r="W208" s="11" t="s">
        <v>1601</v>
      </c>
    </row>
    <row r="209" spans="1:23" ht="13" customHeight="1" x14ac:dyDescent="0.35">
      <c r="A209" s="11">
        <v>203</v>
      </c>
      <c r="B209" s="47">
        <v>203850776</v>
      </c>
      <c r="C209" s="94" t="s">
        <v>2594</v>
      </c>
      <c r="D209" s="11" t="s">
        <v>2595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77</v>
      </c>
      <c r="M209" s="49" t="s">
        <v>78</v>
      </c>
      <c r="N209" s="48" t="s">
        <v>79</v>
      </c>
      <c r="O209" s="49" t="s">
        <v>67</v>
      </c>
      <c r="P209" s="11" t="s">
        <v>80</v>
      </c>
      <c r="Q209" s="11" t="s">
        <v>81</v>
      </c>
      <c r="R209" s="11" t="s">
        <v>2817</v>
      </c>
      <c r="S209" s="11" t="s">
        <v>2818</v>
      </c>
      <c r="T209" s="90" t="s">
        <v>10</v>
      </c>
      <c r="U209" s="90"/>
      <c r="V209" s="51">
        <v>45524</v>
      </c>
      <c r="W209" s="11" t="s">
        <v>1601</v>
      </c>
    </row>
    <row r="210" spans="1:23" ht="13" customHeight="1" x14ac:dyDescent="0.35">
      <c r="A210" s="11">
        <v>204</v>
      </c>
      <c r="B210" s="47">
        <v>203469168</v>
      </c>
      <c r="C210" s="94" t="s">
        <v>2405</v>
      </c>
      <c r="D210" s="11" t="s">
        <v>2406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39</v>
      </c>
      <c r="K210" s="49" t="s">
        <v>76</v>
      </c>
      <c r="L210" s="49" t="s">
        <v>84</v>
      </c>
      <c r="M210" s="49" t="s">
        <v>85</v>
      </c>
      <c r="N210" s="48" t="s">
        <v>79</v>
      </c>
      <c r="O210" s="49" t="s">
        <v>67</v>
      </c>
      <c r="P210" s="11" t="s">
        <v>80</v>
      </c>
      <c r="Q210" s="11" t="s">
        <v>81</v>
      </c>
      <c r="R210" s="11" t="s">
        <v>2817</v>
      </c>
      <c r="S210" s="11" t="s">
        <v>2818</v>
      </c>
      <c r="T210" s="90" t="s">
        <v>1</v>
      </c>
      <c r="U210" s="90"/>
      <c r="V210" s="51">
        <v>45456</v>
      </c>
      <c r="W210" s="11" t="s">
        <v>1601</v>
      </c>
    </row>
    <row r="211" spans="1:23" ht="13" customHeight="1" x14ac:dyDescent="0.35">
      <c r="A211" s="11">
        <v>205</v>
      </c>
      <c r="B211" s="47">
        <v>205651024</v>
      </c>
      <c r="C211" s="94" t="s">
        <v>2407</v>
      </c>
      <c r="D211" s="11" t="s">
        <v>2408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95</v>
      </c>
      <c r="M211" s="49" t="s">
        <v>77</v>
      </c>
      <c r="N211" s="49" t="s">
        <v>89</v>
      </c>
      <c r="O211" s="49" t="s">
        <v>67</v>
      </c>
      <c r="P211" s="11" t="s">
        <v>80</v>
      </c>
      <c r="Q211" s="11" t="s">
        <v>96</v>
      </c>
      <c r="R211" s="11" t="s">
        <v>2817</v>
      </c>
      <c r="S211" s="11" t="s">
        <v>2818</v>
      </c>
      <c r="T211" s="90" t="s">
        <v>10</v>
      </c>
      <c r="U211" s="91"/>
      <c r="V211" s="51">
        <v>45852</v>
      </c>
      <c r="W211" s="11" t="s">
        <v>1601</v>
      </c>
    </row>
    <row r="212" spans="1:23" ht="13" customHeight="1" x14ac:dyDescent="0.35">
      <c r="A212" s="11">
        <v>206</v>
      </c>
      <c r="B212" s="47">
        <v>205647828</v>
      </c>
      <c r="C212" s="94" t="s">
        <v>2409</v>
      </c>
      <c r="D212" s="11" t="s">
        <v>2410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92</v>
      </c>
      <c r="M212" s="49" t="s">
        <v>84</v>
      </c>
      <c r="N212" s="49" t="s">
        <v>89</v>
      </c>
      <c r="O212" s="49" t="s">
        <v>67</v>
      </c>
      <c r="P212" s="11" t="s">
        <v>80</v>
      </c>
      <c r="Q212" s="11" t="s">
        <v>96</v>
      </c>
      <c r="R212" s="11" t="s">
        <v>2817</v>
      </c>
      <c r="S212" s="11" t="s">
        <v>2818</v>
      </c>
      <c r="T212" s="90" t="s">
        <v>1</v>
      </c>
      <c r="U212" s="91" t="s">
        <v>3003</v>
      </c>
      <c r="V212" s="51">
        <v>45852</v>
      </c>
      <c r="W212" s="11" t="s">
        <v>1601</v>
      </c>
    </row>
    <row r="213" spans="1:23" ht="13" customHeight="1" x14ac:dyDescent="0.35">
      <c r="A213" s="11">
        <v>207</v>
      </c>
      <c r="B213" s="47">
        <v>203555404</v>
      </c>
      <c r="C213" s="94" t="s">
        <v>2411</v>
      </c>
      <c r="D213" s="11" t="s">
        <v>2412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88</v>
      </c>
      <c r="M213" s="49" t="s">
        <v>95</v>
      </c>
      <c r="N213" s="48" t="s">
        <v>79</v>
      </c>
      <c r="O213" s="49" t="s">
        <v>67</v>
      </c>
      <c r="P213" s="11" t="s">
        <v>80</v>
      </c>
      <c r="Q213" s="11" t="s">
        <v>81</v>
      </c>
      <c r="R213" s="11" t="s">
        <v>2817</v>
      </c>
      <c r="S213" s="11" t="s">
        <v>2818</v>
      </c>
      <c r="T213" s="90" t="s">
        <v>1</v>
      </c>
      <c r="U213" s="89"/>
      <c r="V213" s="51">
        <v>45470</v>
      </c>
      <c r="W213" s="11" t="s">
        <v>1601</v>
      </c>
    </row>
    <row r="214" spans="1:23" ht="13" customHeight="1" x14ac:dyDescent="0.35">
      <c r="A214" s="11">
        <v>208</v>
      </c>
      <c r="B214" s="47">
        <v>102434105</v>
      </c>
      <c r="C214" s="94" t="s">
        <v>152</v>
      </c>
      <c r="D214" s="11" t="s">
        <v>153</v>
      </c>
      <c r="E214" s="48" t="s">
        <v>34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78</v>
      </c>
      <c r="M214" s="49" t="s">
        <v>92</v>
      </c>
      <c r="N214" s="48" t="s">
        <v>108</v>
      </c>
      <c r="O214" s="49" t="s">
        <v>67</v>
      </c>
      <c r="P214" s="11" t="s">
        <v>80</v>
      </c>
      <c r="Q214" s="11" t="s">
        <v>98</v>
      </c>
      <c r="R214" s="11" t="s">
        <v>2817</v>
      </c>
      <c r="S214" s="11" t="s">
        <v>2818</v>
      </c>
      <c r="T214" s="90" t="s">
        <v>1</v>
      </c>
      <c r="U214" s="91"/>
      <c r="V214" s="51">
        <v>42883</v>
      </c>
      <c r="W214" s="11" t="s">
        <v>1601</v>
      </c>
    </row>
    <row r="215" spans="1:23" ht="13" customHeight="1" x14ac:dyDescent="0.35">
      <c r="A215" s="11">
        <v>209</v>
      </c>
      <c r="B215" s="47">
        <v>204319805</v>
      </c>
      <c r="C215" s="94" t="s">
        <v>2413</v>
      </c>
      <c r="D215" s="11" t="s">
        <v>2414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39</v>
      </c>
      <c r="K215" s="49" t="s">
        <v>76</v>
      </c>
      <c r="L215" s="49" t="s">
        <v>77</v>
      </c>
      <c r="M215" s="49" t="s">
        <v>78</v>
      </c>
      <c r="N215" s="48" t="s">
        <v>86</v>
      </c>
      <c r="O215" s="49" t="s">
        <v>67</v>
      </c>
      <c r="P215" s="11" t="s">
        <v>80</v>
      </c>
      <c r="Q215" s="11" t="s">
        <v>87</v>
      </c>
      <c r="R215" s="11" t="s">
        <v>2817</v>
      </c>
      <c r="S215" s="11" t="s">
        <v>2818</v>
      </c>
      <c r="T215" s="90" t="s">
        <v>10</v>
      </c>
      <c r="U215" s="90"/>
      <c r="V215" s="51">
        <v>45589</v>
      </c>
      <c r="W215" s="11" t="s">
        <v>1601</v>
      </c>
    </row>
    <row r="216" spans="1:23" ht="13" customHeight="1" x14ac:dyDescent="0.35">
      <c r="A216" s="11">
        <v>210</v>
      </c>
      <c r="B216" s="47">
        <v>206949310</v>
      </c>
      <c r="C216" s="95" t="s">
        <v>2261</v>
      </c>
      <c r="D216" s="113" t="s">
        <v>2262</v>
      </c>
      <c r="E216" s="113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84</v>
      </c>
      <c r="M216" s="49" t="s">
        <v>85</v>
      </c>
      <c r="N216" s="48" t="s">
        <v>86</v>
      </c>
      <c r="O216" s="49" t="s">
        <v>67</v>
      </c>
      <c r="P216" s="49" t="s">
        <v>80</v>
      </c>
      <c r="Q216" s="49" t="s">
        <v>90</v>
      </c>
      <c r="R216" s="11" t="s">
        <v>2817</v>
      </c>
      <c r="S216" s="11" t="s">
        <v>2818</v>
      </c>
      <c r="T216" s="90" t="s">
        <v>1</v>
      </c>
      <c r="U216" s="89"/>
      <c r="V216" s="51">
        <v>46048</v>
      </c>
      <c r="W216" s="11" t="s">
        <v>1601</v>
      </c>
    </row>
    <row r="217" spans="1:23" ht="13" customHeight="1" x14ac:dyDescent="0.35">
      <c r="A217" s="11">
        <v>211</v>
      </c>
      <c r="B217" s="47">
        <v>206007530</v>
      </c>
      <c r="C217" s="94" t="s">
        <v>610</v>
      </c>
      <c r="D217" s="11" t="s">
        <v>2051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88</v>
      </c>
      <c r="M217" s="49" t="s">
        <v>95</v>
      </c>
      <c r="N217" s="49" t="s">
        <v>89</v>
      </c>
      <c r="O217" s="49" t="s">
        <v>67</v>
      </c>
      <c r="P217" s="11" t="s">
        <v>80</v>
      </c>
      <c r="Q217" s="11" t="s">
        <v>81</v>
      </c>
      <c r="R217" s="11" t="s">
        <v>2817</v>
      </c>
      <c r="S217" s="11" t="s">
        <v>2818</v>
      </c>
      <c r="T217" s="90" t="s">
        <v>1</v>
      </c>
      <c r="U217" s="89"/>
      <c r="V217" s="51">
        <v>45915</v>
      </c>
      <c r="W217" s="11" t="s">
        <v>1601</v>
      </c>
    </row>
    <row r="218" spans="1:23" ht="13" customHeight="1" x14ac:dyDescent="0.35">
      <c r="A218" s="11">
        <v>212</v>
      </c>
      <c r="B218" s="47">
        <v>203800377</v>
      </c>
      <c r="C218" s="94" t="s">
        <v>2415</v>
      </c>
      <c r="D218" s="11" t="s">
        <v>2416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84</v>
      </c>
      <c r="M218" s="49" t="s">
        <v>85</v>
      </c>
      <c r="N218" s="49" t="s">
        <v>89</v>
      </c>
      <c r="O218" s="49" t="s">
        <v>67</v>
      </c>
      <c r="P218" s="11" t="s">
        <v>80</v>
      </c>
      <c r="Q218" s="11" t="s">
        <v>90</v>
      </c>
      <c r="R218" s="11" t="s">
        <v>2817</v>
      </c>
      <c r="S218" s="11" t="s">
        <v>2818</v>
      </c>
      <c r="T218" s="90" t="s">
        <v>1</v>
      </c>
      <c r="U218" s="90"/>
      <c r="V218" s="51">
        <v>45516</v>
      </c>
      <c r="W218" s="11" t="s">
        <v>1601</v>
      </c>
    </row>
    <row r="219" spans="1:23" ht="13" customHeight="1" x14ac:dyDescent="0.35">
      <c r="A219" s="11">
        <v>213</v>
      </c>
      <c r="B219" s="47">
        <v>205609143</v>
      </c>
      <c r="C219" s="94" t="s">
        <v>611</v>
      </c>
      <c r="D219" s="11" t="s">
        <v>2052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88</v>
      </c>
      <c r="M219" s="49" t="s">
        <v>95</v>
      </c>
      <c r="N219" s="49" t="s">
        <v>89</v>
      </c>
      <c r="O219" s="49" t="s">
        <v>67</v>
      </c>
      <c r="P219" s="11" t="s">
        <v>80</v>
      </c>
      <c r="Q219" s="11" t="s">
        <v>90</v>
      </c>
      <c r="R219" s="11" t="s">
        <v>2817</v>
      </c>
      <c r="S219" s="11" t="s">
        <v>2818</v>
      </c>
      <c r="T219" s="90" t="s">
        <v>1</v>
      </c>
      <c r="U219" s="91"/>
      <c r="V219" s="51">
        <v>45845</v>
      </c>
      <c r="W219" s="11" t="s">
        <v>1601</v>
      </c>
    </row>
    <row r="220" spans="1:23" ht="13" customHeight="1" x14ac:dyDescent="0.35">
      <c r="A220" s="11">
        <v>214</v>
      </c>
      <c r="B220" s="47">
        <v>206296205</v>
      </c>
      <c r="C220" s="94" t="s">
        <v>1704</v>
      </c>
      <c r="D220" s="11" t="s">
        <v>2053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39</v>
      </c>
      <c r="K220" s="49" t="s">
        <v>76</v>
      </c>
      <c r="L220" s="49" t="s">
        <v>92</v>
      </c>
      <c r="M220" s="49" t="s">
        <v>84</v>
      </c>
      <c r="N220" s="49" t="s">
        <v>89</v>
      </c>
      <c r="O220" s="49" t="s">
        <v>67</v>
      </c>
      <c r="P220" s="11" t="s">
        <v>80</v>
      </c>
      <c r="Q220" s="11" t="s">
        <v>96</v>
      </c>
      <c r="R220" s="11" t="s">
        <v>2817</v>
      </c>
      <c r="S220" s="11" t="s">
        <v>2818</v>
      </c>
      <c r="T220" s="90" t="s">
        <v>1</v>
      </c>
      <c r="U220" s="89"/>
      <c r="V220" s="51">
        <v>45950</v>
      </c>
      <c r="W220" s="11" t="s">
        <v>1601</v>
      </c>
    </row>
    <row r="221" spans="1:23" ht="13" customHeight="1" x14ac:dyDescent="0.35">
      <c r="A221" s="11">
        <v>215</v>
      </c>
      <c r="B221" s="47">
        <v>203555406</v>
      </c>
      <c r="C221" s="94" t="s">
        <v>154</v>
      </c>
      <c r="D221" s="11" t="s">
        <v>2054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32</v>
      </c>
      <c r="K221" s="49" t="s">
        <v>76</v>
      </c>
      <c r="L221" s="49" t="s">
        <v>78</v>
      </c>
      <c r="M221" s="49" t="s">
        <v>92</v>
      </c>
      <c r="N221" s="48" t="s">
        <v>79</v>
      </c>
      <c r="O221" s="49" t="s">
        <v>67</v>
      </c>
      <c r="P221" s="11" t="s">
        <v>80</v>
      </c>
      <c r="Q221" s="11" t="s">
        <v>81</v>
      </c>
      <c r="R221" s="11" t="s">
        <v>2817</v>
      </c>
      <c r="S221" s="11" t="s">
        <v>2818</v>
      </c>
      <c r="T221" s="90" t="s">
        <v>1</v>
      </c>
      <c r="U221" s="90"/>
      <c r="V221" s="51">
        <v>45470</v>
      </c>
      <c r="W221" s="11" t="s">
        <v>1601</v>
      </c>
    </row>
    <row r="222" spans="1:23" ht="13" customHeight="1" x14ac:dyDescent="0.35">
      <c r="A222" s="11">
        <v>216</v>
      </c>
      <c r="B222" s="47">
        <v>203817154</v>
      </c>
      <c r="C222" s="94" t="s">
        <v>2417</v>
      </c>
      <c r="D222" s="11" t="s">
        <v>2418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92</v>
      </c>
      <c r="M222" s="49" t="s">
        <v>84</v>
      </c>
      <c r="N222" s="48" t="s">
        <v>79</v>
      </c>
      <c r="O222" s="49" t="s">
        <v>67</v>
      </c>
      <c r="P222" s="11" t="s">
        <v>80</v>
      </c>
      <c r="Q222" s="11" t="s">
        <v>81</v>
      </c>
      <c r="R222" s="11" t="s">
        <v>2817</v>
      </c>
      <c r="S222" s="11" t="s">
        <v>2818</v>
      </c>
      <c r="T222" s="90" t="s">
        <v>1</v>
      </c>
      <c r="U222" s="90"/>
      <c r="V222" s="51">
        <v>45517</v>
      </c>
      <c r="W222" s="11" t="s">
        <v>1601</v>
      </c>
    </row>
    <row r="223" spans="1:23" ht="13" customHeight="1" x14ac:dyDescent="0.35">
      <c r="A223" s="11">
        <v>217</v>
      </c>
      <c r="B223" s="47">
        <v>206192235</v>
      </c>
      <c r="C223" s="94" t="s">
        <v>1632</v>
      </c>
      <c r="D223" s="11" t="s">
        <v>2055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32</v>
      </c>
      <c r="K223" s="49" t="s">
        <v>76</v>
      </c>
      <c r="L223" s="49" t="s">
        <v>77</v>
      </c>
      <c r="M223" s="49" t="s">
        <v>78</v>
      </c>
      <c r="N223" s="49" t="s">
        <v>79</v>
      </c>
      <c r="O223" s="49" t="s">
        <v>67</v>
      </c>
      <c r="P223" s="11" t="s">
        <v>80</v>
      </c>
      <c r="Q223" s="11" t="s">
        <v>96</v>
      </c>
      <c r="R223" s="11" t="s">
        <v>2817</v>
      </c>
      <c r="S223" s="11" t="s">
        <v>2818</v>
      </c>
      <c r="T223" s="90" t="s">
        <v>10</v>
      </c>
      <c r="U223" s="89"/>
      <c r="V223" s="51">
        <v>45936</v>
      </c>
      <c r="W223" s="11" t="s">
        <v>1601</v>
      </c>
    </row>
    <row r="224" spans="1:23" ht="13" customHeight="1" x14ac:dyDescent="0.35">
      <c r="A224" s="11">
        <v>218</v>
      </c>
      <c r="B224" s="47">
        <v>203813132</v>
      </c>
      <c r="C224" s="94" t="s">
        <v>155</v>
      </c>
      <c r="D224" s="11" t="s">
        <v>2056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39</v>
      </c>
      <c r="K224" s="49" t="s">
        <v>76</v>
      </c>
      <c r="L224" s="49" t="s">
        <v>95</v>
      </c>
      <c r="M224" s="49" t="s">
        <v>77</v>
      </c>
      <c r="N224" s="48" t="s">
        <v>86</v>
      </c>
      <c r="O224" s="49" t="s">
        <v>67</v>
      </c>
      <c r="P224" s="11" t="s">
        <v>80</v>
      </c>
      <c r="Q224" s="11" t="s">
        <v>99</v>
      </c>
      <c r="R224" s="11" t="s">
        <v>2817</v>
      </c>
      <c r="S224" s="11" t="s">
        <v>2818</v>
      </c>
      <c r="T224" s="90" t="s">
        <v>10</v>
      </c>
      <c r="U224" s="90"/>
      <c r="V224" s="51">
        <v>45517</v>
      </c>
      <c r="W224" s="11" t="s">
        <v>1601</v>
      </c>
    </row>
    <row r="225" spans="1:23" ht="13" customHeight="1" x14ac:dyDescent="0.35">
      <c r="A225" s="11">
        <v>219</v>
      </c>
      <c r="B225" s="47">
        <v>203735945</v>
      </c>
      <c r="C225" s="94" t="s">
        <v>2572</v>
      </c>
      <c r="D225" s="11" t="s">
        <v>2573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39</v>
      </c>
      <c r="K225" s="49" t="s">
        <v>76</v>
      </c>
      <c r="L225" s="49" t="s">
        <v>85</v>
      </c>
      <c r="M225" s="49" t="s">
        <v>88</v>
      </c>
      <c r="N225" s="49" t="s">
        <v>89</v>
      </c>
      <c r="O225" s="49" t="s">
        <v>67</v>
      </c>
      <c r="P225" s="11" t="s">
        <v>80</v>
      </c>
      <c r="Q225" s="11" t="s">
        <v>90</v>
      </c>
      <c r="R225" s="11" t="s">
        <v>2817</v>
      </c>
      <c r="S225" s="11" t="s">
        <v>2818</v>
      </c>
      <c r="T225" s="90" t="s">
        <v>1</v>
      </c>
      <c r="U225" s="89"/>
      <c r="V225" s="51">
        <v>45502</v>
      </c>
      <c r="W225" s="11" t="s">
        <v>1601</v>
      </c>
    </row>
    <row r="226" spans="1:23" ht="13" customHeight="1" x14ac:dyDescent="0.35">
      <c r="A226" s="11">
        <v>220</v>
      </c>
      <c r="B226" s="47">
        <v>203816755</v>
      </c>
      <c r="C226" s="94" t="s">
        <v>2574</v>
      </c>
      <c r="D226" s="11" t="s">
        <v>2575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39</v>
      </c>
      <c r="K226" s="49" t="s">
        <v>76</v>
      </c>
      <c r="L226" s="49" t="s">
        <v>78</v>
      </c>
      <c r="M226" s="49" t="s">
        <v>92</v>
      </c>
      <c r="N226" s="49" t="s">
        <v>89</v>
      </c>
      <c r="O226" s="49" t="s">
        <v>67</v>
      </c>
      <c r="P226" s="11" t="s">
        <v>80</v>
      </c>
      <c r="Q226" s="11" t="s">
        <v>90</v>
      </c>
      <c r="R226" s="11" t="s">
        <v>2817</v>
      </c>
      <c r="S226" s="11" t="s">
        <v>2818</v>
      </c>
      <c r="T226" s="90" t="s">
        <v>1</v>
      </c>
      <c r="U226" s="91"/>
      <c r="V226" s="51">
        <v>45518</v>
      </c>
      <c r="W226" s="11" t="s">
        <v>1601</v>
      </c>
    </row>
    <row r="227" spans="1:23" ht="13" customHeight="1" x14ac:dyDescent="0.35">
      <c r="A227" s="11">
        <v>221</v>
      </c>
      <c r="B227" s="47">
        <v>205275635</v>
      </c>
      <c r="C227" s="94" t="s">
        <v>1705</v>
      </c>
      <c r="D227" s="11" t="s">
        <v>2057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77</v>
      </c>
      <c r="M227" s="49" t="s">
        <v>78</v>
      </c>
      <c r="N227" s="49" t="s">
        <v>89</v>
      </c>
      <c r="O227" s="49" t="s">
        <v>67</v>
      </c>
      <c r="P227" s="11" t="s">
        <v>80</v>
      </c>
      <c r="Q227" s="11" t="s">
        <v>96</v>
      </c>
      <c r="R227" s="11" t="s">
        <v>2817</v>
      </c>
      <c r="S227" s="11" t="s">
        <v>2818</v>
      </c>
      <c r="T227" s="90" t="s">
        <v>10</v>
      </c>
      <c r="U227" s="90"/>
      <c r="V227" s="51">
        <v>45950</v>
      </c>
      <c r="W227" s="11" t="s">
        <v>1601</v>
      </c>
    </row>
    <row r="228" spans="1:23" ht="13" customHeight="1" x14ac:dyDescent="0.35">
      <c r="A228" s="11">
        <v>222</v>
      </c>
      <c r="B228" s="47">
        <v>203468510</v>
      </c>
      <c r="C228" s="94" t="s">
        <v>156</v>
      </c>
      <c r="D228" s="11" t="s">
        <v>157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2576</v>
      </c>
      <c r="K228" s="49" t="s">
        <v>76</v>
      </c>
      <c r="L228" s="49" t="s">
        <v>95</v>
      </c>
      <c r="M228" s="49" t="s">
        <v>77</v>
      </c>
      <c r="N228" s="48" t="s">
        <v>79</v>
      </c>
      <c r="O228" s="49" t="s">
        <v>33</v>
      </c>
      <c r="P228" s="11" t="s">
        <v>80</v>
      </c>
      <c r="Q228" s="11" t="s">
        <v>81</v>
      </c>
      <c r="R228" s="11" t="s">
        <v>160</v>
      </c>
      <c r="S228" s="11" t="s">
        <v>2820</v>
      </c>
      <c r="T228" s="90" t="s">
        <v>10</v>
      </c>
      <c r="U228" s="90"/>
      <c r="V228" s="51">
        <v>45456</v>
      </c>
      <c r="W228" s="49" t="s">
        <v>1602</v>
      </c>
    </row>
    <row r="229" spans="1:23" ht="13" customHeight="1" x14ac:dyDescent="0.35">
      <c r="A229" s="11">
        <v>223</v>
      </c>
      <c r="B229" s="47">
        <v>202308467</v>
      </c>
      <c r="C229" s="94" t="s">
        <v>158</v>
      </c>
      <c r="D229" s="11" t="s">
        <v>159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85</v>
      </c>
      <c r="M229" s="49" t="s">
        <v>88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160</v>
      </c>
      <c r="S229" s="11" t="s">
        <v>2820</v>
      </c>
      <c r="T229" s="90" t="s">
        <v>1</v>
      </c>
      <c r="U229" s="89"/>
      <c r="V229" s="51">
        <v>45915</v>
      </c>
      <c r="W229" s="49" t="s">
        <v>1602</v>
      </c>
    </row>
    <row r="230" spans="1:23" ht="13" customHeight="1" x14ac:dyDescent="0.35">
      <c r="A230" s="11">
        <v>224</v>
      </c>
      <c r="B230" s="47">
        <v>204246160</v>
      </c>
      <c r="C230" s="94" t="s">
        <v>161</v>
      </c>
      <c r="D230" s="11" t="s">
        <v>162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84</v>
      </c>
      <c r="M230" s="49" t="s">
        <v>85</v>
      </c>
      <c r="N230" s="48" t="s">
        <v>86</v>
      </c>
      <c r="O230" s="49" t="s">
        <v>33</v>
      </c>
      <c r="P230" s="11" t="s">
        <v>80</v>
      </c>
      <c r="Q230" s="11" t="s">
        <v>87</v>
      </c>
      <c r="R230" s="11" t="s">
        <v>160</v>
      </c>
      <c r="S230" s="11" t="s">
        <v>2820</v>
      </c>
      <c r="T230" s="90" t="s">
        <v>1</v>
      </c>
      <c r="U230" s="90"/>
      <c r="V230" s="51">
        <v>45579</v>
      </c>
      <c r="W230" s="49" t="s">
        <v>1602</v>
      </c>
    </row>
    <row r="231" spans="1:23" ht="13" customHeight="1" x14ac:dyDescent="0.35">
      <c r="A231" s="11">
        <v>225</v>
      </c>
      <c r="B231" s="47">
        <v>207220266</v>
      </c>
      <c r="C231" s="94" t="s">
        <v>2460</v>
      </c>
      <c r="D231" s="11" t="s">
        <v>2461</v>
      </c>
      <c r="E231" s="48" t="s">
        <v>34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77</v>
      </c>
      <c r="M231" s="49" t="s">
        <v>78</v>
      </c>
      <c r="N231" s="48" t="s">
        <v>97</v>
      </c>
      <c r="O231" s="49" t="s">
        <v>33</v>
      </c>
      <c r="P231" s="11" t="s">
        <v>80</v>
      </c>
      <c r="Q231" s="11" t="s">
        <v>98</v>
      </c>
      <c r="R231" s="11" t="s">
        <v>160</v>
      </c>
      <c r="S231" s="11" t="s">
        <v>2820</v>
      </c>
      <c r="T231" s="90" t="s">
        <v>10</v>
      </c>
      <c r="U231" s="91"/>
      <c r="V231" s="51">
        <v>46147</v>
      </c>
      <c r="W231" s="49" t="s">
        <v>1602</v>
      </c>
    </row>
    <row r="232" spans="1:23" ht="13" customHeight="1" x14ac:dyDescent="0.35">
      <c r="A232" s="11">
        <v>226</v>
      </c>
      <c r="B232" s="47">
        <v>203850930</v>
      </c>
      <c r="C232" s="94" t="s">
        <v>163</v>
      </c>
      <c r="D232" s="11" t="s">
        <v>164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84</v>
      </c>
      <c r="M232" s="49" t="s">
        <v>85</v>
      </c>
      <c r="N232" s="48" t="s">
        <v>79</v>
      </c>
      <c r="O232" s="49" t="s">
        <v>33</v>
      </c>
      <c r="P232" s="11" t="s">
        <v>80</v>
      </c>
      <c r="Q232" s="11" t="s">
        <v>81</v>
      </c>
      <c r="R232" s="11" t="s">
        <v>160</v>
      </c>
      <c r="S232" s="11" t="s">
        <v>2820</v>
      </c>
      <c r="T232" s="90" t="s">
        <v>1</v>
      </c>
      <c r="U232" s="93"/>
      <c r="V232" s="51">
        <v>45524</v>
      </c>
      <c r="W232" s="49" t="s">
        <v>1602</v>
      </c>
    </row>
    <row r="233" spans="1:23" ht="13" customHeight="1" x14ac:dyDescent="0.35">
      <c r="A233" s="11">
        <v>227</v>
      </c>
      <c r="B233" s="47">
        <v>206953795</v>
      </c>
      <c r="C233" s="94" t="s">
        <v>2196</v>
      </c>
      <c r="D233" s="11" t="s">
        <v>2105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92</v>
      </c>
      <c r="M233" s="49" t="s">
        <v>84</v>
      </c>
      <c r="N233" s="49" t="s">
        <v>86</v>
      </c>
      <c r="O233" s="49" t="s">
        <v>33</v>
      </c>
      <c r="P233" s="11" t="s">
        <v>80</v>
      </c>
      <c r="Q233" s="11" t="s">
        <v>96</v>
      </c>
      <c r="R233" s="11" t="s">
        <v>160</v>
      </c>
      <c r="S233" s="11" t="s">
        <v>2820</v>
      </c>
      <c r="T233" s="90" t="s">
        <v>1</v>
      </c>
      <c r="U233" s="91"/>
      <c r="V233" s="51">
        <v>46048</v>
      </c>
      <c r="W233" s="49" t="s">
        <v>1602</v>
      </c>
    </row>
    <row r="234" spans="1:23" ht="13" customHeight="1" x14ac:dyDescent="0.35">
      <c r="A234" s="11">
        <v>228</v>
      </c>
      <c r="B234" s="47">
        <v>206348033</v>
      </c>
      <c r="C234" s="94" t="s">
        <v>1706</v>
      </c>
      <c r="D234" s="11" t="s">
        <v>1707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77</v>
      </c>
      <c r="M234" s="49" t="s">
        <v>78</v>
      </c>
      <c r="N234" s="48" t="s">
        <v>79</v>
      </c>
      <c r="O234" s="49" t="s">
        <v>33</v>
      </c>
      <c r="P234" s="11" t="s">
        <v>80</v>
      </c>
      <c r="Q234" s="11" t="s">
        <v>81</v>
      </c>
      <c r="R234" s="11" t="s">
        <v>160</v>
      </c>
      <c r="S234" s="11" t="s">
        <v>2820</v>
      </c>
      <c r="T234" s="90" t="s">
        <v>10</v>
      </c>
      <c r="U234" s="89"/>
      <c r="V234" s="51">
        <v>45957</v>
      </c>
      <c r="W234" s="49" t="s">
        <v>1602</v>
      </c>
    </row>
    <row r="235" spans="1:23" ht="13" customHeight="1" x14ac:dyDescent="0.35">
      <c r="A235" s="11">
        <v>229</v>
      </c>
      <c r="B235" s="47">
        <v>205977130</v>
      </c>
      <c r="C235" s="94" t="s">
        <v>165</v>
      </c>
      <c r="D235" s="11" t="s">
        <v>166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92</v>
      </c>
      <c r="M235" s="49" t="s">
        <v>84</v>
      </c>
      <c r="N235" s="48" t="s">
        <v>86</v>
      </c>
      <c r="O235" s="49" t="s">
        <v>33</v>
      </c>
      <c r="P235" s="11" t="s">
        <v>80</v>
      </c>
      <c r="Q235" s="11" t="s">
        <v>90</v>
      </c>
      <c r="R235" s="11" t="s">
        <v>160</v>
      </c>
      <c r="S235" s="11" t="s">
        <v>2820</v>
      </c>
      <c r="T235" s="90" t="s">
        <v>1</v>
      </c>
      <c r="U235" s="91"/>
      <c r="V235" s="51">
        <v>45915</v>
      </c>
      <c r="W235" s="49" t="s">
        <v>1602</v>
      </c>
    </row>
    <row r="236" spans="1:23" ht="13" customHeight="1" x14ac:dyDescent="0.35">
      <c r="A236" s="11">
        <v>230</v>
      </c>
      <c r="B236" s="47">
        <v>203555224</v>
      </c>
      <c r="C236" s="94" t="s">
        <v>1381</v>
      </c>
      <c r="D236" s="11" t="s">
        <v>1382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77</v>
      </c>
      <c r="M236" s="49" t="s">
        <v>78</v>
      </c>
      <c r="N236" s="48" t="s">
        <v>79</v>
      </c>
      <c r="O236" s="49" t="s">
        <v>33</v>
      </c>
      <c r="P236" s="11" t="s">
        <v>80</v>
      </c>
      <c r="Q236" s="11" t="s">
        <v>81</v>
      </c>
      <c r="R236" s="11" t="s">
        <v>160</v>
      </c>
      <c r="S236" s="11" t="s">
        <v>2820</v>
      </c>
      <c r="T236" s="90" t="s">
        <v>10</v>
      </c>
      <c r="U236" s="90"/>
      <c r="V236" s="51">
        <v>45470</v>
      </c>
      <c r="W236" s="49" t="s">
        <v>68</v>
      </c>
    </row>
    <row r="237" spans="1:23" ht="13" customHeight="1" x14ac:dyDescent="0.35">
      <c r="A237" s="11">
        <v>231</v>
      </c>
      <c r="B237" s="47">
        <v>206953381</v>
      </c>
      <c r="C237" s="94" t="s">
        <v>2197</v>
      </c>
      <c r="D237" s="11" t="s">
        <v>2106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9" t="s">
        <v>86</v>
      </c>
      <c r="O237" s="49" t="s">
        <v>33</v>
      </c>
      <c r="P237" s="11" t="s">
        <v>80</v>
      </c>
      <c r="Q237" s="11" t="s">
        <v>96</v>
      </c>
      <c r="R237" s="11" t="s">
        <v>160</v>
      </c>
      <c r="S237" s="11" t="s">
        <v>2820</v>
      </c>
      <c r="T237" s="90" t="s">
        <v>1</v>
      </c>
      <c r="U237" s="91"/>
      <c r="V237" s="51">
        <v>46048</v>
      </c>
      <c r="W237" s="49" t="s">
        <v>1602</v>
      </c>
    </row>
    <row r="238" spans="1:23" ht="13" customHeight="1" x14ac:dyDescent="0.35">
      <c r="A238" s="11">
        <v>232</v>
      </c>
      <c r="B238" s="47">
        <v>205996683</v>
      </c>
      <c r="C238" s="94" t="s">
        <v>167</v>
      </c>
      <c r="D238" s="11" t="s">
        <v>168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8" t="s">
        <v>79</v>
      </c>
      <c r="O238" s="49" t="s">
        <v>33</v>
      </c>
      <c r="P238" s="11" t="s">
        <v>80</v>
      </c>
      <c r="Q238" s="11" t="s">
        <v>81</v>
      </c>
      <c r="R238" s="11" t="s">
        <v>160</v>
      </c>
      <c r="S238" s="11" t="s">
        <v>2820</v>
      </c>
      <c r="T238" s="90" t="s">
        <v>1</v>
      </c>
      <c r="U238" s="89"/>
      <c r="V238" s="51">
        <v>45915</v>
      </c>
      <c r="W238" s="49" t="s">
        <v>1602</v>
      </c>
    </row>
    <row r="239" spans="1:23" ht="13" customHeight="1" x14ac:dyDescent="0.35">
      <c r="A239" s="11">
        <v>233</v>
      </c>
      <c r="B239" s="47">
        <v>206192647</v>
      </c>
      <c r="C239" s="94" t="s">
        <v>1684</v>
      </c>
      <c r="D239" s="11" t="s">
        <v>1670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78</v>
      </c>
      <c r="M239" s="49" t="s">
        <v>92</v>
      </c>
      <c r="N239" s="48" t="s">
        <v>79</v>
      </c>
      <c r="O239" s="49" t="s">
        <v>33</v>
      </c>
      <c r="P239" s="11" t="s">
        <v>80</v>
      </c>
      <c r="Q239" s="11" t="s">
        <v>96</v>
      </c>
      <c r="R239" s="11" t="s">
        <v>160</v>
      </c>
      <c r="S239" s="11" t="s">
        <v>2820</v>
      </c>
      <c r="T239" s="90" t="s">
        <v>1</v>
      </c>
      <c r="U239" s="89"/>
      <c r="V239" s="51">
        <v>45943</v>
      </c>
      <c r="W239" s="49" t="s">
        <v>1602</v>
      </c>
    </row>
    <row r="240" spans="1:23" ht="13" customHeight="1" x14ac:dyDescent="0.35">
      <c r="A240" s="11">
        <v>234</v>
      </c>
      <c r="B240" s="47">
        <v>206953797</v>
      </c>
      <c r="C240" s="94" t="s">
        <v>2198</v>
      </c>
      <c r="D240" s="11" t="s">
        <v>2107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9" t="s">
        <v>86</v>
      </c>
      <c r="O240" s="49" t="s">
        <v>33</v>
      </c>
      <c r="P240" s="11" t="s">
        <v>80</v>
      </c>
      <c r="Q240" s="11" t="s">
        <v>96</v>
      </c>
      <c r="R240" s="11" t="s">
        <v>160</v>
      </c>
      <c r="S240" s="11" t="s">
        <v>2820</v>
      </c>
      <c r="T240" s="90" t="s">
        <v>1</v>
      </c>
      <c r="U240" s="89"/>
      <c r="V240" s="51">
        <v>46048</v>
      </c>
      <c r="W240" s="49" t="s">
        <v>1602</v>
      </c>
    </row>
    <row r="241" spans="1:23" ht="13" customHeight="1" x14ac:dyDescent="0.35">
      <c r="A241" s="11">
        <v>235</v>
      </c>
      <c r="B241" s="47">
        <v>203850932</v>
      </c>
      <c r="C241" s="94" t="s">
        <v>169</v>
      </c>
      <c r="D241" s="11" t="s">
        <v>170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84</v>
      </c>
      <c r="M241" s="49" t="s">
        <v>85</v>
      </c>
      <c r="N241" s="48" t="s">
        <v>79</v>
      </c>
      <c r="O241" s="49" t="s">
        <v>33</v>
      </c>
      <c r="P241" s="11" t="s">
        <v>80</v>
      </c>
      <c r="Q241" s="11" t="s">
        <v>81</v>
      </c>
      <c r="R241" s="11" t="s">
        <v>160</v>
      </c>
      <c r="S241" s="11" t="s">
        <v>2820</v>
      </c>
      <c r="T241" s="90" t="s">
        <v>1</v>
      </c>
      <c r="U241" s="91"/>
      <c r="V241" s="51">
        <v>45524</v>
      </c>
      <c r="W241" s="49" t="s">
        <v>1602</v>
      </c>
    </row>
    <row r="242" spans="1:23" ht="13" customHeight="1" x14ac:dyDescent="0.35">
      <c r="A242" s="11">
        <v>236</v>
      </c>
      <c r="B242" s="47">
        <v>203709877</v>
      </c>
      <c r="C242" s="94" t="s">
        <v>171</v>
      </c>
      <c r="D242" s="11" t="s">
        <v>172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77</v>
      </c>
      <c r="M242" s="49" t="s">
        <v>78</v>
      </c>
      <c r="N242" s="48" t="s">
        <v>86</v>
      </c>
      <c r="O242" s="49" t="s">
        <v>33</v>
      </c>
      <c r="P242" s="11" t="s">
        <v>80</v>
      </c>
      <c r="Q242" s="11" t="s">
        <v>99</v>
      </c>
      <c r="R242" s="11" t="s">
        <v>160</v>
      </c>
      <c r="S242" s="11" t="s">
        <v>2820</v>
      </c>
      <c r="T242" s="90" t="s">
        <v>10</v>
      </c>
      <c r="U242" s="89"/>
      <c r="V242" s="51">
        <v>45495</v>
      </c>
      <c r="W242" s="49" t="s">
        <v>1602</v>
      </c>
    </row>
    <row r="243" spans="1:23" ht="13" customHeight="1" x14ac:dyDescent="0.35">
      <c r="A243" s="11">
        <v>237</v>
      </c>
      <c r="B243" s="47">
        <v>206953796</v>
      </c>
      <c r="C243" s="94" t="s">
        <v>2199</v>
      </c>
      <c r="D243" s="11" t="s">
        <v>2108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9" t="s">
        <v>86</v>
      </c>
      <c r="O243" s="49" t="s">
        <v>33</v>
      </c>
      <c r="P243" s="11" t="s">
        <v>80</v>
      </c>
      <c r="Q243" s="11" t="s">
        <v>96</v>
      </c>
      <c r="R243" s="11" t="s">
        <v>160</v>
      </c>
      <c r="S243" s="11" t="s">
        <v>2820</v>
      </c>
      <c r="T243" s="90" t="s">
        <v>1</v>
      </c>
      <c r="U243" s="91"/>
      <c r="V243" s="51">
        <v>46048</v>
      </c>
      <c r="W243" s="49" t="s">
        <v>1602</v>
      </c>
    </row>
    <row r="244" spans="1:23" ht="13" customHeight="1" x14ac:dyDescent="0.35">
      <c r="A244" s="11">
        <v>238</v>
      </c>
      <c r="B244" s="47">
        <v>203850933</v>
      </c>
      <c r="C244" s="94" t="s">
        <v>173</v>
      </c>
      <c r="D244" s="11" t="s">
        <v>174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95</v>
      </c>
      <c r="M244" s="49" t="s">
        <v>77</v>
      </c>
      <c r="N244" s="48" t="s">
        <v>79</v>
      </c>
      <c r="O244" s="49" t="s">
        <v>33</v>
      </c>
      <c r="P244" s="11" t="s">
        <v>80</v>
      </c>
      <c r="Q244" s="11" t="s">
        <v>81</v>
      </c>
      <c r="R244" s="11" t="s">
        <v>160</v>
      </c>
      <c r="S244" s="11" t="s">
        <v>2820</v>
      </c>
      <c r="T244" s="90" t="s">
        <v>10</v>
      </c>
      <c r="U244" s="89"/>
      <c r="V244" s="51">
        <v>45524</v>
      </c>
      <c r="W244" s="49" t="s">
        <v>1602</v>
      </c>
    </row>
    <row r="245" spans="1:23" ht="13" customHeight="1" x14ac:dyDescent="0.35">
      <c r="A245" s="11">
        <v>239</v>
      </c>
      <c r="B245" s="47">
        <v>203468509</v>
      </c>
      <c r="C245" s="94" t="s">
        <v>175</v>
      </c>
      <c r="D245" s="11" t="s">
        <v>176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95</v>
      </c>
      <c r="M245" s="49" t="s">
        <v>77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160</v>
      </c>
      <c r="S245" s="11" t="s">
        <v>2820</v>
      </c>
      <c r="T245" s="90" t="s">
        <v>10</v>
      </c>
      <c r="U245" s="91"/>
      <c r="V245" s="51">
        <v>45456</v>
      </c>
      <c r="W245" s="49" t="s">
        <v>1602</v>
      </c>
    </row>
    <row r="246" spans="1:23" ht="13" customHeight="1" x14ac:dyDescent="0.35">
      <c r="A246" s="11">
        <v>240</v>
      </c>
      <c r="B246" s="47">
        <v>206361763</v>
      </c>
      <c r="C246" s="94" t="s">
        <v>1708</v>
      </c>
      <c r="D246" s="11" t="s">
        <v>1709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92</v>
      </c>
      <c r="M246" s="49" t="s">
        <v>84</v>
      </c>
      <c r="N246" s="49" t="s">
        <v>89</v>
      </c>
      <c r="O246" s="49" t="s">
        <v>33</v>
      </c>
      <c r="P246" s="11" t="s">
        <v>80</v>
      </c>
      <c r="Q246" s="11" t="s">
        <v>81</v>
      </c>
      <c r="R246" s="11" t="s">
        <v>160</v>
      </c>
      <c r="S246" s="11" t="s">
        <v>2820</v>
      </c>
      <c r="T246" s="90" t="s">
        <v>7</v>
      </c>
      <c r="U246" s="90" t="s">
        <v>3004</v>
      </c>
      <c r="V246" s="51">
        <v>45957</v>
      </c>
      <c r="W246" s="49" t="s">
        <v>1602</v>
      </c>
    </row>
    <row r="247" spans="1:23" ht="13" customHeight="1" x14ac:dyDescent="0.35">
      <c r="A247" s="11">
        <v>241</v>
      </c>
      <c r="B247" s="47">
        <v>203850934</v>
      </c>
      <c r="C247" s="94" t="s">
        <v>177</v>
      </c>
      <c r="D247" s="11" t="s">
        <v>178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85</v>
      </c>
      <c r="M247" s="49" t="s">
        <v>88</v>
      </c>
      <c r="N247" s="48" t="s">
        <v>79</v>
      </c>
      <c r="O247" s="49" t="s">
        <v>33</v>
      </c>
      <c r="P247" s="11" t="s">
        <v>80</v>
      </c>
      <c r="Q247" s="11" t="s">
        <v>81</v>
      </c>
      <c r="R247" s="11" t="s">
        <v>160</v>
      </c>
      <c r="S247" s="11" t="s">
        <v>2820</v>
      </c>
      <c r="T247" s="90" t="s">
        <v>1</v>
      </c>
      <c r="U247" s="90"/>
      <c r="V247" s="51">
        <v>45524</v>
      </c>
      <c r="W247" s="49" t="s">
        <v>1602</v>
      </c>
    </row>
    <row r="248" spans="1:23" ht="13" customHeight="1" x14ac:dyDescent="0.35">
      <c r="A248" s="11">
        <v>242</v>
      </c>
      <c r="B248" s="47">
        <v>205996686</v>
      </c>
      <c r="C248" s="94" t="s">
        <v>179</v>
      </c>
      <c r="D248" s="11" t="s">
        <v>180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88</v>
      </c>
      <c r="M248" s="49" t="s">
        <v>95</v>
      </c>
      <c r="N248" s="49" t="s">
        <v>89</v>
      </c>
      <c r="O248" s="49" t="s">
        <v>33</v>
      </c>
      <c r="P248" s="11" t="s">
        <v>80</v>
      </c>
      <c r="Q248" s="11" t="s">
        <v>81</v>
      </c>
      <c r="R248" s="11" t="s">
        <v>160</v>
      </c>
      <c r="S248" s="11" t="s">
        <v>2820</v>
      </c>
      <c r="T248" s="90" t="s">
        <v>1</v>
      </c>
      <c r="U248" s="90"/>
      <c r="V248" s="51">
        <v>45915</v>
      </c>
      <c r="W248" s="49" t="s">
        <v>1602</v>
      </c>
    </row>
    <row r="249" spans="1:23" ht="13" customHeight="1" x14ac:dyDescent="0.35">
      <c r="A249" s="11">
        <v>243</v>
      </c>
      <c r="B249" s="47">
        <v>203468508</v>
      </c>
      <c r="C249" s="94" t="s">
        <v>181</v>
      </c>
      <c r="D249" s="11" t="s">
        <v>182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84</v>
      </c>
      <c r="M249" s="49" t="s">
        <v>85</v>
      </c>
      <c r="N249" s="48" t="s">
        <v>79</v>
      </c>
      <c r="O249" s="49" t="s">
        <v>33</v>
      </c>
      <c r="P249" s="11" t="s">
        <v>80</v>
      </c>
      <c r="Q249" s="11" t="s">
        <v>81</v>
      </c>
      <c r="R249" s="11" t="s">
        <v>160</v>
      </c>
      <c r="S249" s="11" t="s">
        <v>2820</v>
      </c>
      <c r="T249" s="90" t="s">
        <v>1</v>
      </c>
      <c r="U249" s="91"/>
      <c r="V249" s="51">
        <v>45456</v>
      </c>
      <c r="W249" s="49" t="s">
        <v>1602</v>
      </c>
    </row>
    <row r="250" spans="1:23" ht="13" customHeight="1" x14ac:dyDescent="0.35">
      <c r="A250" s="11">
        <v>244</v>
      </c>
      <c r="B250" s="47">
        <v>204941770</v>
      </c>
      <c r="C250" s="94" t="s">
        <v>183</v>
      </c>
      <c r="D250" s="11" t="s">
        <v>184</v>
      </c>
      <c r="E250" s="48" t="s">
        <v>34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78</v>
      </c>
      <c r="M250" s="49" t="s">
        <v>92</v>
      </c>
      <c r="N250" s="48" t="s">
        <v>97</v>
      </c>
      <c r="O250" s="49" t="s">
        <v>33</v>
      </c>
      <c r="P250" s="11" t="s">
        <v>80</v>
      </c>
      <c r="Q250" s="11" t="s">
        <v>98</v>
      </c>
      <c r="R250" s="11" t="s">
        <v>160</v>
      </c>
      <c r="S250" s="11" t="s">
        <v>2820</v>
      </c>
      <c r="T250" s="90" t="s">
        <v>1</v>
      </c>
      <c r="U250" s="91"/>
      <c r="V250" s="51">
        <v>45733</v>
      </c>
      <c r="W250" s="49" t="s">
        <v>1602</v>
      </c>
    </row>
    <row r="251" spans="1:23" ht="13" customHeight="1" x14ac:dyDescent="0.35">
      <c r="A251" s="11">
        <v>245</v>
      </c>
      <c r="B251" s="47">
        <v>203468507</v>
      </c>
      <c r="C251" s="94" t="s">
        <v>185</v>
      </c>
      <c r="D251" s="11" t="s">
        <v>186</v>
      </c>
      <c r="E251" s="48" t="s">
        <v>31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39</v>
      </c>
      <c r="K251" s="49" t="s">
        <v>76</v>
      </c>
      <c r="L251" s="49" t="s">
        <v>85</v>
      </c>
      <c r="M251" s="49" t="s">
        <v>88</v>
      </c>
      <c r="N251" s="48" t="s">
        <v>79</v>
      </c>
      <c r="O251" s="49" t="s">
        <v>33</v>
      </c>
      <c r="P251" s="11" t="s">
        <v>80</v>
      </c>
      <c r="Q251" s="11" t="s">
        <v>81</v>
      </c>
      <c r="R251" s="11" t="s">
        <v>160</v>
      </c>
      <c r="S251" s="11" t="s">
        <v>2820</v>
      </c>
      <c r="T251" s="90" t="s">
        <v>1</v>
      </c>
      <c r="U251" s="90"/>
      <c r="V251" s="51">
        <v>45456</v>
      </c>
      <c r="W251" s="49" t="s">
        <v>1602</v>
      </c>
    </row>
    <row r="252" spans="1:23" ht="13" customHeight="1" x14ac:dyDescent="0.35">
      <c r="A252" s="11">
        <v>246</v>
      </c>
      <c r="B252" s="47">
        <v>106268319</v>
      </c>
      <c r="C252" s="94" t="s">
        <v>187</v>
      </c>
      <c r="D252" s="11" t="s">
        <v>188</v>
      </c>
      <c r="E252" s="48" t="s">
        <v>34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32</v>
      </c>
      <c r="K252" s="49" t="s">
        <v>76</v>
      </c>
      <c r="L252" s="49" t="s">
        <v>95</v>
      </c>
      <c r="M252" s="49" t="s">
        <v>77</v>
      </c>
      <c r="N252" s="48" t="s">
        <v>108</v>
      </c>
      <c r="O252" s="49" t="s">
        <v>33</v>
      </c>
      <c r="P252" s="11" t="s">
        <v>80</v>
      </c>
      <c r="Q252" s="11" t="s">
        <v>98</v>
      </c>
      <c r="R252" s="11" t="s">
        <v>160</v>
      </c>
      <c r="S252" s="11" t="s">
        <v>2820</v>
      </c>
      <c r="T252" s="90" t="s">
        <v>10</v>
      </c>
      <c r="U252" s="89"/>
      <c r="V252" s="51">
        <v>44757</v>
      </c>
      <c r="W252" s="49" t="s">
        <v>1602</v>
      </c>
    </row>
    <row r="253" spans="1:23" ht="13" customHeight="1" x14ac:dyDescent="0.35">
      <c r="A253" s="11">
        <v>247</v>
      </c>
      <c r="B253" s="47">
        <v>206149617</v>
      </c>
      <c r="C253" s="94" t="s">
        <v>189</v>
      </c>
      <c r="D253" s="11" t="s">
        <v>190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78</v>
      </c>
      <c r="M253" s="49" t="s">
        <v>92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160</v>
      </c>
      <c r="S253" s="11" t="s">
        <v>2820</v>
      </c>
      <c r="T253" s="90" t="s">
        <v>1</v>
      </c>
      <c r="U253" s="91"/>
      <c r="V253" s="51">
        <v>45929</v>
      </c>
      <c r="W253" s="49" t="s">
        <v>1602</v>
      </c>
    </row>
    <row r="254" spans="1:23" ht="13" customHeight="1" x14ac:dyDescent="0.35">
      <c r="A254" s="11">
        <v>248</v>
      </c>
      <c r="B254" s="47">
        <v>102577243</v>
      </c>
      <c r="C254" s="94" t="s">
        <v>191</v>
      </c>
      <c r="D254" s="11" t="s">
        <v>192</v>
      </c>
      <c r="E254" s="48" t="s">
        <v>34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97</v>
      </c>
      <c r="O254" s="49" t="s">
        <v>33</v>
      </c>
      <c r="P254" s="11" t="s">
        <v>80</v>
      </c>
      <c r="Q254" s="11" t="s">
        <v>98</v>
      </c>
      <c r="R254" s="11" t="s">
        <v>160</v>
      </c>
      <c r="S254" s="11" t="s">
        <v>2820</v>
      </c>
      <c r="T254" s="90" t="s">
        <v>10</v>
      </c>
      <c r="U254" s="90"/>
      <c r="V254" s="51">
        <v>42913</v>
      </c>
      <c r="W254" s="49" t="s">
        <v>1602</v>
      </c>
    </row>
    <row r="255" spans="1:23" ht="13" customHeight="1" x14ac:dyDescent="0.35">
      <c r="A255" s="11">
        <v>249</v>
      </c>
      <c r="B255" s="47">
        <v>204095446</v>
      </c>
      <c r="C255" s="94" t="s">
        <v>1419</v>
      </c>
      <c r="D255" s="11" t="s">
        <v>1420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1181</v>
      </c>
      <c r="J255" s="49" t="s">
        <v>32</v>
      </c>
      <c r="K255" s="49" t="s">
        <v>76</v>
      </c>
      <c r="L255" s="49" t="s">
        <v>85</v>
      </c>
      <c r="M255" s="49" t="s">
        <v>88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160</v>
      </c>
      <c r="S255" s="11" t="s">
        <v>2820</v>
      </c>
      <c r="T255" s="90" t="s">
        <v>3</v>
      </c>
      <c r="U255" s="91"/>
      <c r="V255" s="51">
        <v>45561</v>
      </c>
      <c r="W255" s="49" t="s">
        <v>1602</v>
      </c>
    </row>
    <row r="256" spans="1:23" ht="13" customHeight="1" x14ac:dyDescent="0.35">
      <c r="A256" s="11">
        <v>250</v>
      </c>
      <c r="B256" s="47">
        <v>206239528</v>
      </c>
      <c r="C256" s="94" t="s">
        <v>1685</v>
      </c>
      <c r="D256" s="11" t="s">
        <v>1669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95</v>
      </c>
      <c r="M256" s="49" t="s">
        <v>77</v>
      </c>
      <c r="N256" s="48" t="s">
        <v>79</v>
      </c>
      <c r="O256" s="49" t="s">
        <v>33</v>
      </c>
      <c r="P256" s="11" t="s">
        <v>80</v>
      </c>
      <c r="Q256" s="11" t="s">
        <v>81</v>
      </c>
      <c r="R256" s="11" t="s">
        <v>160</v>
      </c>
      <c r="S256" s="11" t="s">
        <v>2820</v>
      </c>
      <c r="T256" s="90" t="s">
        <v>10</v>
      </c>
      <c r="U256" s="91"/>
      <c r="V256" s="51">
        <v>45943</v>
      </c>
      <c r="W256" s="49" t="s">
        <v>1602</v>
      </c>
    </row>
    <row r="257" spans="1:23" ht="13" customHeight="1" x14ac:dyDescent="0.35">
      <c r="A257" s="11">
        <v>251</v>
      </c>
      <c r="B257" s="47">
        <v>203709876</v>
      </c>
      <c r="C257" s="94" t="s">
        <v>193</v>
      </c>
      <c r="D257" s="11" t="s">
        <v>194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95</v>
      </c>
      <c r="M257" s="49" t="s">
        <v>77</v>
      </c>
      <c r="N257" s="48" t="s">
        <v>86</v>
      </c>
      <c r="O257" s="49" t="s">
        <v>33</v>
      </c>
      <c r="P257" s="11" t="s">
        <v>80</v>
      </c>
      <c r="Q257" s="11" t="s">
        <v>99</v>
      </c>
      <c r="R257" s="11" t="s">
        <v>160</v>
      </c>
      <c r="S257" s="11" t="s">
        <v>2820</v>
      </c>
      <c r="T257" s="90" t="s">
        <v>10</v>
      </c>
      <c r="U257" s="90"/>
      <c r="V257" s="51">
        <v>45495</v>
      </c>
      <c r="W257" s="49" t="s">
        <v>1602</v>
      </c>
    </row>
    <row r="258" spans="1:23" ht="13" customHeight="1" x14ac:dyDescent="0.35">
      <c r="A258" s="11">
        <v>252</v>
      </c>
      <c r="B258" s="47">
        <v>201228114</v>
      </c>
      <c r="C258" s="94" t="s">
        <v>195</v>
      </c>
      <c r="D258" s="11" t="s">
        <v>196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2576</v>
      </c>
      <c r="K258" s="49" t="s">
        <v>76</v>
      </c>
      <c r="L258" s="49" t="s">
        <v>78</v>
      </c>
      <c r="M258" s="49" t="s">
        <v>92</v>
      </c>
      <c r="N258" s="48" t="s">
        <v>86</v>
      </c>
      <c r="O258" s="49" t="s">
        <v>33</v>
      </c>
      <c r="P258" s="11" t="s">
        <v>80</v>
      </c>
      <c r="Q258" s="11" t="s">
        <v>87</v>
      </c>
      <c r="R258" s="11" t="s">
        <v>160</v>
      </c>
      <c r="S258" s="11" t="s">
        <v>2820</v>
      </c>
      <c r="T258" s="90" t="s">
        <v>1</v>
      </c>
      <c r="U258" s="90"/>
      <c r="V258" s="51">
        <v>45596</v>
      </c>
      <c r="W258" s="49" t="s">
        <v>1602</v>
      </c>
    </row>
    <row r="259" spans="1:23" ht="13" customHeight="1" x14ac:dyDescent="0.35">
      <c r="A259" s="11">
        <v>253</v>
      </c>
      <c r="B259" s="47">
        <v>206348034</v>
      </c>
      <c r="C259" s="94" t="s">
        <v>1734</v>
      </c>
      <c r="D259" s="11" t="s">
        <v>1747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1181</v>
      </c>
      <c r="J259" s="49" t="s">
        <v>32</v>
      </c>
      <c r="K259" s="49" t="s">
        <v>76</v>
      </c>
      <c r="L259" s="49" t="s">
        <v>84</v>
      </c>
      <c r="M259" s="49" t="s">
        <v>85</v>
      </c>
      <c r="N259" s="49" t="s">
        <v>89</v>
      </c>
      <c r="O259" s="49" t="s">
        <v>33</v>
      </c>
      <c r="P259" s="11" t="s">
        <v>80</v>
      </c>
      <c r="Q259" s="11" t="s">
        <v>81</v>
      </c>
      <c r="R259" s="11" t="s">
        <v>160</v>
      </c>
      <c r="S259" s="11" t="s">
        <v>2820</v>
      </c>
      <c r="T259" s="90" t="s">
        <v>1</v>
      </c>
      <c r="U259" s="89" t="s">
        <v>3003</v>
      </c>
      <c r="V259" s="51">
        <v>45957</v>
      </c>
      <c r="W259" s="49" t="s">
        <v>1602</v>
      </c>
    </row>
    <row r="260" spans="1:23" ht="13" customHeight="1" x14ac:dyDescent="0.35">
      <c r="A260" s="11">
        <v>254</v>
      </c>
      <c r="B260" s="47">
        <v>203850938</v>
      </c>
      <c r="C260" s="94" t="s">
        <v>197</v>
      </c>
      <c r="D260" s="11" t="s">
        <v>198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84</v>
      </c>
      <c r="M260" s="49" t="s">
        <v>85</v>
      </c>
      <c r="N260" s="48" t="s">
        <v>79</v>
      </c>
      <c r="O260" s="49" t="s">
        <v>33</v>
      </c>
      <c r="P260" s="11" t="s">
        <v>80</v>
      </c>
      <c r="Q260" s="11" t="s">
        <v>81</v>
      </c>
      <c r="R260" s="11" t="s">
        <v>160</v>
      </c>
      <c r="S260" s="11" t="s">
        <v>2820</v>
      </c>
      <c r="T260" s="90" t="s">
        <v>1</v>
      </c>
      <c r="U260" s="89"/>
      <c r="V260" s="51">
        <v>45524</v>
      </c>
      <c r="W260" s="49" t="s">
        <v>1602</v>
      </c>
    </row>
    <row r="261" spans="1:23" ht="13" customHeight="1" x14ac:dyDescent="0.35">
      <c r="A261" s="11">
        <v>255</v>
      </c>
      <c r="B261" s="47">
        <v>203709886</v>
      </c>
      <c r="C261" s="94" t="s">
        <v>199</v>
      </c>
      <c r="D261" s="11" t="s">
        <v>200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2576</v>
      </c>
      <c r="K261" s="49" t="s">
        <v>76</v>
      </c>
      <c r="L261" s="49" t="s">
        <v>95</v>
      </c>
      <c r="M261" s="49" t="s">
        <v>77</v>
      </c>
      <c r="N261" s="48" t="s">
        <v>86</v>
      </c>
      <c r="O261" s="49" t="s">
        <v>33</v>
      </c>
      <c r="P261" s="11" t="s">
        <v>80</v>
      </c>
      <c r="Q261" s="11" t="s">
        <v>99</v>
      </c>
      <c r="R261" s="11" t="s">
        <v>160</v>
      </c>
      <c r="S261" s="11" t="s">
        <v>2820</v>
      </c>
      <c r="T261" s="90" t="s">
        <v>10</v>
      </c>
      <c r="U261" s="89"/>
      <c r="V261" s="51">
        <v>45495</v>
      </c>
      <c r="W261" s="49" t="s">
        <v>1602</v>
      </c>
    </row>
    <row r="262" spans="1:23" ht="13" customHeight="1" x14ac:dyDescent="0.35">
      <c r="A262" s="11">
        <v>256</v>
      </c>
      <c r="B262" s="47">
        <v>103875256</v>
      </c>
      <c r="C262" s="94" t="s">
        <v>201</v>
      </c>
      <c r="D262" s="11" t="s">
        <v>202</v>
      </c>
      <c r="E262" s="48" t="s">
        <v>34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88</v>
      </c>
      <c r="M262" s="49" t="s">
        <v>95</v>
      </c>
      <c r="N262" s="48" t="s">
        <v>108</v>
      </c>
      <c r="O262" s="49" t="s">
        <v>33</v>
      </c>
      <c r="P262" s="11" t="s">
        <v>80</v>
      </c>
      <c r="Q262" s="11" t="s">
        <v>98</v>
      </c>
      <c r="R262" s="11" t="s">
        <v>160</v>
      </c>
      <c r="S262" s="11" t="s">
        <v>2820</v>
      </c>
      <c r="T262" s="90" t="s">
        <v>1</v>
      </c>
      <c r="U262" s="89"/>
      <c r="V262" s="51">
        <v>44782</v>
      </c>
      <c r="W262" s="49" t="s">
        <v>1602</v>
      </c>
    </row>
    <row r="263" spans="1:23" ht="13" customHeight="1" x14ac:dyDescent="0.35">
      <c r="A263" s="11">
        <v>257</v>
      </c>
      <c r="B263" s="47">
        <v>204883087</v>
      </c>
      <c r="C263" s="94" t="s">
        <v>203</v>
      </c>
      <c r="D263" s="11" t="s">
        <v>204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95</v>
      </c>
      <c r="M263" s="49" t="s">
        <v>77</v>
      </c>
      <c r="N263" s="48" t="s">
        <v>86</v>
      </c>
      <c r="O263" s="49" t="s">
        <v>33</v>
      </c>
      <c r="P263" s="11" t="s">
        <v>80</v>
      </c>
      <c r="Q263" s="11" t="s">
        <v>87</v>
      </c>
      <c r="R263" s="11" t="s">
        <v>160</v>
      </c>
      <c r="S263" s="11" t="s">
        <v>2820</v>
      </c>
      <c r="T263" s="90" t="s">
        <v>10</v>
      </c>
      <c r="U263" s="90"/>
      <c r="V263" s="51">
        <v>45691</v>
      </c>
      <c r="W263" s="49" t="s">
        <v>1602</v>
      </c>
    </row>
    <row r="264" spans="1:23" ht="13" customHeight="1" x14ac:dyDescent="0.35">
      <c r="A264" s="11">
        <v>258</v>
      </c>
      <c r="B264" s="47">
        <v>204967040</v>
      </c>
      <c r="C264" s="94" t="s">
        <v>205</v>
      </c>
      <c r="D264" s="11" t="s">
        <v>206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2576</v>
      </c>
      <c r="K264" s="49" t="s">
        <v>76</v>
      </c>
      <c r="L264" s="49" t="s">
        <v>78</v>
      </c>
      <c r="M264" s="49" t="s">
        <v>92</v>
      </c>
      <c r="N264" s="48" t="s">
        <v>86</v>
      </c>
      <c r="O264" s="49" t="s">
        <v>33</v>
      </c>
      <c r="P264" s="11" t="s">
        <v>80</v>
      </c>
      <c r="Q264" s="11" t="s">
        <v>90</v>
      </c>
      <c r="R264" s="11" t="s">
        <v>160</v>
      </c>
      <c r="S264" s="11" t="s">
        <v>2820</v>
      </c>
      <c r="T264" s="90" t="s">
        <v>1</v>
      </c>
      <c r="U264" s="90"/>
      <c r="V264" s="51">
        <v>45719</v>
      </c>
      <c r="W264" s="49" t="s">
        <v>1602</v>
      </c>
    </row>
    <row r="265" spans="1:23" ht="13" customHeight="1" x14ac:dyDescent="0.35">
      <c r="A265" s="11">
        <v>259</v>
      </c>
      <c r="B265" s="47">
        <v>203470082</v>
      </c>
      <c r="C265" s="94" t="s">
        <v>207</v>
      </c>
      <c r="D265" s="11" t="s">
        <v>208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2576</v>
      </c>
      <c r="K265" s="49" t="s">
        <v>76</v>
      </c>
      <c r="L265" s="49" t="s">
        <v>84</v>
      </c>
      <c r="M265" s="49" t="s">
        <v>85</v>
      </c>
      <c r="N265" s="48" t="s">
        <v>86</v>
      </c>
      <c r="O265" s="49" t="s">
        <v>33</v>
      </c>
      <c r="P265" s="11" t="s">
        <v>80</v>
      </c>
      <c r="Q265" s="11" t="s">
        <v>99</v>
      </c>
      <c r="R265" s="11" t="s">
        <v>160</v>
      </c>
      <c r="S265" s="11" t="s">
        <v>2820</v>
      </c>
      <c r="T265" s="90" t="s">
        <v>1</v>
      </c>
      <c r="U265" s="89"/>
      <c r="V265" s="51">
        <v>45456</v>
      </c>
      <c r="W265" s="49" t="s">
        <v>1602</v>
      </c>
    </row>
    <row r="266" spans="1:23" ht="13" customHeight="1" x14ac:dyDescent="0.35">
      <c r="A266" s="11">
        <v>260</v>
      </c>
      <c r="B266" s="47">
        <v>206015654</v>
      </c>
      <c r="C266" s="94" t="s">
        <v>209</v>
      </c>
      <c r="D266" s="11" t="s">
        <v>210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92</v>
      </c>
      <c r="M266" s="49" t="s">
        <v>84</v>
      </c>
      <c r="N266" s="48" t="s">
        <v>79</v>
      </c>
      <c r="O266" s="49" t="s">
        <v>33</v>
      </c>
      <c r="P266" s="11" t="s">
        <v>80</v>
      </c>
      <c r="Q266" s="11" t="s">
        <v>81</v>
      </c>
      <c r="R266" s="11" t="s">
        <v>160</v>
      </c>
      <c r="S266" s="11" t="s">
        <v>2820</v>
      </c>
      <c r="T266" s="90" t="s">
        <v>7</v>
      </c>
      <c r="U266" s="90" t="s">
        <v>3004</v>
      </c>
      <c r="V266" s="51">
        <v>45915</v>
      </c>
      <c r="W266" s="49" t="s">
        <v>1602</v>
      </c>
    </row>
    <row r="267" spans="1:23" ht="13" customHeight="1" x14ac:dyDescent="0.35">
      <c r="A267" s="11">
        <v>261</v>
      </c>
      <c r="B267" s="47">
        <v>203635600</v>
      </c>
      <c r="C267" s="94" t="s">
        <v>211</v>
      </c>
      <c r="D267" s="11" t="s">
        <v>212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88</v>
      </c>
      <c r="M267" s="49" t="s">
        <v>95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160</v>
      </c>
      <c r="S267" s="11" t="s">
        <v>2820</v>
      </c>
      <c r="T267" s="90" t="s">
        <v>1</v>
      </c>
      <c r="U267" s="90"/>
      <c r="V267" s="51">
        <v>45481</v>
      </c>
      <c r="W267" s="49" t="s">
        <v>1602</v>
      </c>
    </row>
    <row r="268" spans="1:23" ht="13" customHeight="1" x14ac:dyDescent="0.35">
      <c r="A268" s="11">
        <v>262</v>
      </c>
      <c r="B268" s="47">
        <v>204013736</v>
      </c>
      <c r="C268" s="94" t="s">
        <v>213</v>
      </c>
      <c r="D268" s="11" t="s">
        <v>214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2576</v>
      </c>
      <c r="K268" s="49" t="s">
        <v>76</v>
      </c>
      <c r="L268" s="49" t="s">
        <v>95</v>
      </c>
      <c r="M268" s="49" t="s">
        <v>78</v>
      </c>
      <c r="N268" s="48" t="s">
        <v>79</v>
      </c>
      <c r="O268" s="49" t="s">
        <v>33</v>
      </c>
      <c r="P268" s="11" t="s">
        <v>80</v>
      </c>
      <c r="Q268" s="11" t="s">
        <v>81</v>
      </c>
      <c r="R268" s="11" t="s">
        <v>160</v>
      </c>
      <c r="S268" s="11" t="s">
        <v>2820</v>
      </c>
      <c r="T268" s="90" t="s">
        <v>10</v>
      </c>
      <c r="U268" s="90"/>
      <c r="V268" s="51">
        <v>45551</v>
      </c>
      <c r="W268" s="49" t="s">
        <v>1602</v>
      </c>
    </row>
    <row r="269" spans="1:23" ht="13" customHeight="1" x14ac:dyDescent="0.35">
      <c r="A269" s="11">
        <v>263</v>
      </c>
      <c r="B269" s="47">
        <v>206953819</v>
      </c>
      <c r="C269" s="94" t="s">
        <v>2193</v>
      </c>
      <c r="D269" s="11" t="s">
        <v>2102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88</v>
      </c>
      <c r="M269" s="49" t="s">
        <v>95</v>
      </c>
      <c r="N269" s="49" t="s">
        <v>89</v>
      </c>
      <c r="O269" s="49" t="s">
        <v>33</v>
      </c>
      <c r="P269" s="11" t="s">
        <v>80</v>
      </c>
      <c r="Q269" s="11" t="s">
        <v>96</v>
      </c>
      <c r="R269" s="11" t="s">
        <v>160</v>
      </c>
      <c r="S269" s="11" t="s">
        <v>2820</v>
      </c>
      <c r="T269" s="90" t="s">
        <v>1</v>
      </c>
      <c r="U269" s="90"/>
      <c r="V269" s="51">
        <v>46048</v>
      </c>
      <c r="W269" s="49" t="s">
        <v>1602</v>
      </c>
    </row>
    <row r="270" spans="1:23" ht="13" customHeight="1" x14ac:dyDescent="0.35">
      <c r="A270" s="11">
        <v>264</v>
      </c>
      <c r="B270" s="47">
        <v>206348214</v>
      </c>
      <c r="C270" s="94" t="s">
        <v>1710</v>
      </c>
      <c r="D270" s="11" t="s">
        <v>1711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77</v>
      </c>
      <c r="M270" s="49" t="s">
        <v>78</v>
      </c>
      <c r="N270" s="49" t="s">
        <v>89</v>
      </c>
      <c r="O270" s="49" t="s">
        <v>33</v>
      </c>
      <c r="P270" s="11" t="s">
        <v>80</v>
      </c>
      <c r="Q270" s="11" t="s">
        <v>81</v>
      </c>
      <c r="R270" s="11" t="s">
        <v>160</v>
      </c>
      <c r="S270" s="11" t="s">
        <v>2820</v>
      </c>
      <c r="T270" s="90" t="s">
        <v>10</v>
      </c>
      <c r="U270" s="90"/>
      <c r="V270" s="51">
        <v>45957</v>
      </c>
      <c r="W270" s="49" t="s">
        <v>1602</v>
      </c>
    </row>
    <row r="271" spans="1:23" ht="13" customHeight="1" x14ac:dyDescent="0.35">
      <c r="A271" s="11">
        <v>265</v>
      </c>
      <c r="B271" s="47">
        <v>206148779</v>
      </c>
      <c r="C271" s="94" t="s">
        <v>215</v>
      </c>
      <c r="D271" s="11" t="s">
        <v>216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95</v>
      </c>
      <c r="M271" s="49" t="s">
        <v>77</v>
      </c>
      <c r="N271" s="48" t="s">
        <v>79</v>
      </c>
      <c r="O271" s="49" t="s">
        <v>33</v>
      </c>
      <c r="P271" s="11" t="s">
        <v>80</v>
      </c>
      <c r="Q271" s="11" t="s">
        <v>81</v>
      </c>
      <c r="R271" s="11" t="s">
        <v>160</v>
      </c>
      <c r="S271" s="11" t="s">
        <v>2820</v>
      </c>
      <c r="T271" s="90" t="s">
        <v>10</v>
      </c>
      <c r="U271" s="90"/>
      <c r="V271" s="51">
        <v>45929</v>
      </c>
      <c r="W271" s="49" t="s">
        <v>1602</v>
      </c>
    </row>
    <row r="272" spans="1:23" ht="13" customHeight="1" x14ac:dyDescent="0.35">
      <c r="A272" s="11">
        <v>266</v>
      </c>
      <c r="B272" s="47">
        <v>206192491</v>
      </c>
      <c r="C272" s="94" t="s">
        <v>1686</v>
      </c>
      <c r="D272" s="11" t="s">
        <v>1671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85</v>
      </c>
      <c r="M272" s="49" t="s">
        <v>88</v>
      </c>
      <c r="N272" s="48" t="s">
        <v>79</v>
      </c>
      <c r="O272" s="49" t="s">
        <v>33</v>
      </c>
      <c r="P272" s="11" t="s">
        <v>80</v>
      </c>
      <c r="Q272" s="11" t="s">
        <v>96</v>
      </c>
      <c r="R272" s="11" t="s">
        <v>160</v>
      </c>
      <c r="S272" s="11" t="s">
        <v>2820</v>
      </c>
      <c r="T272" s="90" t="s">
        <v>1</v>
      </c>
      <c r="U272" s="91"/>
      <c r="V272" s="51">
        <v>45943</v>
      </c>
      <c r="W272" s="49" t="s">
        <v>1602</v>
      </c>
    </row>
    <row r="273" spans="1:23" ht="13" customHeight="1" x14ac:dyDescent="0.35">
      <c r="A273" s="11">
        <v>267</v>
      </c>
      <c r="B273" s="47">
        <v>206953568</v>
      </c>
      <c r="C273" s="94" t="s">
        <v>2194</v>
      </c>
      <c r="D273" s="11" t="s">
        <v>2103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88</v>
      </c>
      <c r="M273" s="49" t="s">
        <v>95</v>
      </c>
      <c r="N273" s="49" t="s">
        <v>89</v>
      </c>
      <c r="O273" s="49" t="s">
        <v>33</v>
      </c>
      <c r="P273" s="11" t="s">
        <v>80</v>
      </c>
      <c r="Q273" s="11" t="s">
        <v>96</v>
      </c>
      <c r="R273" s="11" t="s">
        <v>160</v>
      </c>
      <c r="S273" s="11" t="s">
        <v>2820</v>
      </c>
      <c r="T273" s="90" t="s">
        <v>1</v>
      </c>
      <c r="U273" s="89"/>
      <c r="V273" s="51">
        <v>46048</v>
      </c>
      <c r="W273" s="49" t="s">
        <v>1602</v>
      </c>
    </row>
    <row r="274" spans="1:23" ht="13" customHeight="1" x14ac:dyDescent="0.35">
      <c r="A274" s="11">
        <v>268</v>
      </c>
      <c r="B274" s="47">
        <v>206953818</v>
      </c>
      <c r="C274" s="94" t="s">
        <v>2195</v>
      </c>
      <c r="D274" s="11" t="s">
        <v>2104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92</v>
      </c>
      <c r="M274" s="49" t="s">
        <v>84</v>
      </c>
      <c r="N274" s="49" t="s">
        <v>89</v>
      </c>
      <c r="O274" s="49" t="s">
        <v>33</v>
      </c>
      <c r="P274" s="11" t="s">
        <v>80</v>
      </c>
      <c r="Q274" s="11" t="s">
        <v>96</v>
      </c>
      <c r="R274" s="11" t="s">
        <v>160</v>
      </c>
      <c r="S274" s="11" t="s">
        <v>2820</v>
      </c>
      <c r="T274" s="90" t="s">
        <v>1</v>
      </c>
      <c r="U274" s="90"/>
      <c r="V274" s="51">
        <v>46048</v>
      </c>
      <c r="W274" s="49" t="s">
        <v>1602</v>
      </c>
    </row>
    <row r="275" spans="1:23" ht="13" customHeight="1" x14ac:dyDescent="0.35">
      <c r="A275" s="11">
        <v>269</v>
      </c>
      <c r="B275" s="47">
        <v>203709884</v>
      </c>
      <c r="C275" s="94" t="s">
        <v>217</v>
      </c>
      <c r="D275" s="11" t="s">
        <v>218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77</v>
      </c>
      <c r="M275" s="49" t="s">
        <v>78</v>
      </c>
      <c r="N275" s="48" t="s">
        <v>86</v>
      </c>
      <c r="O275" s="49" t="s">
        <v>33</v>
      </c>
      <c r="P275" s="11" t="s">
        <v>80</v>
      </c>
      <c r="Q275" s="11" t="s">
        <v>99</v>
      </c>
      <c r="R275" s="11" t="s">
        <v>160</v>
      </c>
      <c r="S275" s="11" t="s">
        <v>2820</v>
      </c>
      <c r="T275" s="90" t="s">
        <v>10</v>
      </c>
      <c r="U275" s="89"/>
      <c r="V275" s="51">
        <v>45495</v>
      </c>
      <c r="W275" s="49" t="s">
        <v>1602</v>
      </c>
    </row>
    <row r="276" spans="1:23" ht="13" customHeight="1" x14ac:dyDescent="0.35">
      <c r="A276" s="11">
        <v>270</v>
      </c>
      <c r="B276" s="47">
        <v>203709883</v>
      </c>
      <c r="C276" s="94" t="s">
        <v>219</v>
      </c>
      <c r="D276" s="11" t="s">
        <v>220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85</v>
      </c>
      <c r="M276" s="49" t="s">
        <v>88</v>
      </c>
      <c r="N276" s="48" t="s">
        <v>86</v>
      </c>
      <c r="O276" s="49" t="s">
        <v>33</v>
      </c>
      <c r="P276" s="11" t="s">
        <v>80</v>
      </c>
      <c r="Q276" s="11" t="s">
        <v>99</v>
      </c>
      <c r="R276" s="11" t="s">
        <v>160</v>
      </c>
      <c r="S276" s="11" t="s">
        <v>2820</v>
      </c>
      <c r="T276" s="90" t="s">
        <v>1</v>
      </c>
      <c r="U276" s="89"/>
      <c r="V276" s="51">
        <v>45495</v>
      </c>
      <c r="W276" s="49" t="s">
        <v>1602</v>
      </c>
    </row>
    <row r="277" spans="1:23" ht="13" customHeight="1" x14ac:dyDescent="0.35">
      <c r="A277" s="11">
        <v>271</v>
      </c>
      <c r="B277" s="47">
        <v>203470579</v>
      </c>
      <c r="C277" s="94" t="s">
        <v>221</v>
      </c>
      <c r="D277" s="11" t="s">
        <v>222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77</v>
      </c>
      <c r="M277" s="49" t="s">
        <v>78</v>
      </c>
      <c r="N277" s="48" t="s">
        <v>86</v>
      </c>
      <c r="O277" s="49" t="s">
        <v>33</v>
      </c>
      <c r="P277" s="11" t="s">
        <v>80</v>
      </c>
      <c r="Q277" s="11" t="s">
        <v>99</v>
      </c>
      <c r="R277" s="11" t="s">
        <v>160</v>
      </c>
      <c r="S277" s="11" t="s">
        <v>2820</v>
      </c>
      <c r="T277" s="90" t="s">
        <v>10</v>
      </c>
      <c r="U277" s="90"/>
      <c r="V277" s="51">
        <v>45456</v>
      </c>
      <c r="W277" s="49" t="s">
        <v>1602</v>
      </c>
    </row>
    <row r="278" spans="1:23" ht="13" customHeight="1" x14ac:dyDescent="0.35">
      <c r="A278" s="11">
        <v>272</v>
      </c>
      <c r="B278" s="47">
        <v>206791751</v>
      </c>
      <c r="C278" s="94" t="s">
        <v>2596</v>
      </c>
      <c r="D278" s="11" t="s">
        <v>2597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89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2821</v>
      </c>
      <c r="T278" s="90" t="s">
        <v>1</v>
      </c>
      <c r="U278" s="90"/>
      <c r="V278" s="51">
        <v>45999</v>
      </c>
      <c r="W278" s="49" t="s">
        <v>1606</v>
      </c>
    </row>
    <row r="279" spans="1:23" ht="13" customHeight="1" x14ac:dyDescent="0.35">
      <c r="A279" s="11">
        <v>273</v>
      </c>
      <c r="B279" s="47">
        <v>111231851</v>
      </c>
      <c r="C279" s="94" t="s">
        <v>223</v>
      </c>
      <c r="D279" s="11" t="s">
        <v>224</v>
      </c>
      <c r="E279" s="48" t="s">
        <v>34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88</v>
      </c>
      <c r="M279" s="49" t="s">
        <v>95</v>
      </c>
      <c r="N279" s="48" t="s">
        <v>108</v>
      </c>
      <c r="O279" s="49" t="s">
        <v>35</v>
      </c>
      <c r="P279" s="11" t="s">
        <v>80</v>
      </c>
      <c r="Q279" s="11" t="s">
        <v>98</v>
      </c>
      <c r="R279" s="11" t="s">
        <v>225</v>
      </c>
      <c r="S279" s="11" t="s">
        <v>2821</v>
      </c>
      <c r="T279" s="90" t="s">
        <v>1</v>
      </c>
      <c r="U279" s="91"/>
      <c r="V279" s="51">
        <v>44782</v>
      </c>
      <c r="W279" s="49" t="s">
        <v>1603</v>
      </c>
    </row>
    <row r="280" spans="1:23" ht="13" customHeight="1" x14ac:dyDescent="0.35">
      <c r="A280" s="11">
        <v>274</v>
      </c>
      <c r="B280" s="47">
        <v>206791753</v>
      </c>
      <c r="C280" s="94" t="s">
        <v>2598</v>
      </c>
      <c r="D280" s="11" t="s">
        <v>2599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39</v>
      </c>
      <c r="K280" s="49" t="s">
        <v>76</v>
      </c>
      <c r="L280" s="49" t="s">
        <v>88</v>
      </c>
      <c r="M280" s="49" t="s">
        <v>95</v>
      </c>
      <c r="N280" s="49" t="s">
        <v>89</v>
      </c>
      <c r="O280" s="49" t="s">
        <v>35</v>
      </c>
      <c r="P280" s="11" t="s">
        <v>80</v>
      </c>
      <c r="Q280" s="11" t="s">
        <v>90</v>
      </c>
      <c r="R280" s="11" t="s">
        <v>226</v>
      </c>
      <c r="S280" s="11" t="s">
        <v>227</v>
      </c>
      <c r="T280" s="90" t="s">
        <v>1</v>
      </c>
      <c r="U280" s="91"/>
      <c r="V280" s="51">
        <v>45999</v>
      </c>
      <c r="W280" s="49" t="s">
        <v>1607</v>
      </c>
    </row>
    <row r="281" spans="1:23" ht="13" customHeight="1" x14ac:dyDescent="0.35">
      <c r="A281" s="11">
        <v>275</v>
      </c>
      <c r="B281" s="47">
        <v>203850647</v>
      </c>
      <c r="C281" s="94" t="s">
        <v>2600</v>
      </c>
      <c r="D281" s="11" t="s">
        <v>2601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78</v>
      </c>
      <c r="M281" s="49" t="s">
        <v>92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226</v>
      </c>
      <c r="S281" s="11" t="s">
        <v>227</v>
      </c>
      <c r="T281" s="90" t="s">
        <v>1</v>
      </c>
      <c r="U281" s="89"/>
      <c r="V281" s="51">
        <v>45524</v>
      </c>
      <c r="W281" s="49" t="s">
        <v>1605</v>
      </c>
    </row>
    <row r="282" spans="1:23" ht="13" customHeight="1" x14ac:dyDescent="0.35">
      <c r="A282" s="11">
        <v>276</v>
      </c>
      <c r="B282" s="47">
        <v>203816837</v>
      </c>
      <c r="C282" s="94" t="s">
        <v>228</v>
      </c>
      <c r="D282" s="11" t="s">
        <v>229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78</v>
      </c>
      <c r="M282" s="49" t="s">
        <v>92</v>
      </c>
      <c r="N282" s="48" t="s">
        <v>86</v>
      </c>
      <c r="O282" s="49" t="s">
        <v>35</v>
      </c>
      <c r="P282" s="11" t="s">
        <v>80</v>
      </c>
      <c r="Q282" s="11" t="s">
        <v>99</v>
      </c>
      <c r="R282" s="11" t="s">
        <v>226</v>
      </c>
      <c r="S282" s="11" t="s">
        <v>227</v>
      </c>
      <c r="T282" s="90" t="s">
        <v>1</v>
      </c>
      <c r="U282" s="89"/>
      <c r="V282" s="51">
        <v>45517</v>
      </c>
      <c r="W282" s="49" t="s">
        <v>1606</v>
      </c>
    </row>
    <row r="283" spans="1:23" ht="13" customHeight="1" x14ac:dyDescent="0.35">
      <c r="A283" s="11">
        <v>277</v>
      </c>
      <c r="B283" s="47">
        <v>206006416</v>
      </c>
      <c r="C283" s="94" t="s">
        <v>230</v>
      </c>
      <c r="D283" s="11" t="s">
        <v>231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78</v>
      </c>
      <c r="M283" s="49" t="s">
        <v>92</v>
      </c>
      <c r="N283" s="48" t="s">
        <v>79</v>
      </c>
      <c r="O283" s="49" t="s">
        <v>35</v>
      </c>
      <c r="P283" s="11" t="s">
        <v>80</v>
      </c>
      <c r="Q283" s="11" t="s">
        <v>81</v>
      </c>
      <c r="R283" s="11" t="s">
        <v>232</v>
      </c>
      <c r="S283" s="11" t="s">
        <v>1797</v>
      </c>
      <c r="T283" s="90" t="s">
        <v>1</v>
      </c>
      <c r="U283" s="91"/>
      <c r="V283" s="51">
        <v>45915</v>
      </c>
      <c r="W283" s="49" t="s">
        <v>1606</v>
      </c>
    </row>
    <row r="284" spans="1:23" ht="13" customHeight="1" x14ac:dyDescent="0.35">
      <c r="A284" s="11">
        <v>278</v>
      </c>
      <c r="B284" s="47">
        <v>203850646</v>
      </c>
      <c r="C284" s="94" t="s">
        <v>2602</v>
      </c>
      <c r="D284" s="11" t="s">
        <v>2603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88</v>
      </c>
      <c r="M284" s="49" t="s">
        <v>95</v>
      </c>
      <c r="N284" s="48" t="s">
        <v>86</v>
      </c>
      <c r="O284" s="49" t="s">
        <v>35</v>
      </c>
      <c r="P284" s="11" t="s">
        <v>80</v>
      </c>
      <c r="Q284" s="11" t="s">
        <v>90</v>
      </c>
      <c r="R284" s="11" t="s">
        <v>226</v>
      </c>
      <c r="S284" s="11" t="s">
        <v>227</v>
      </c>
      <c r="T284" s="90" t="s">
        <v>1</v>
      </c>
      <c r="U284" s="90"/>
      <c r="V284" s="51">
        <v>45524</v>
      </c>
      <c r="W284" s="49" t="s">
        <v>1605</v>
      </c>
    </row>
    <row r="285" spans="1:23" ht="13" customHeight="1" x14ac:dyDescent="0.35">
      <c r="A285" s="11">
        <v>279</v>
      </c>
      <c r="B285" s="47">
        <v>203741314</v>
      </c>
      <c r="C285" s="94" t="s">
        <v>234</v>
      </c>
      <c r="D285" s="11" t="s">
        <v>235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77</v>
      </c>
      <c r="M285" s="49" t="s">
        <v>78</v>
      </c>
      <c r="N285" s="48" t="s">
        <v>79</v>
      </c>
      <c r="O285" s="49" t="s">
        <v>35</v>
      </c>
      <c r="P285" s="11" t="s">
        <v>80</v>
      </c>
      <c r="Q285" s="11" t="s">
        <v>81</v>
      </c>
      <c r="R285" s="11" t="s">
        <v>225</v>
      </c>
      <c r="S285" s="11" t="s">
        <v>2821</v>
      </c>
      <c r="T285" s="90" t="s">
        <v>10</v>
      </c>
      <c r="U285" s="91"/>
      <c r="V285" s="51">
        <v>45502</v>
      </c>
      <c r="W285" s="49" t="s">
        <v>1606</v>
      </c>
    </row>
    <row r="286" spans="1:23" ht="13" customHeight="1" x14ac:dyDescent="0.35">
      <c r="A286" s="11">
        <v>280</v>
      </c>
      <c r="B286" s="47">
        <v>203813034</v>
      </c>
      <c r="C286" s="94" t="s">
        <v>236</v>
      </c>
      <c r="D286" s="11" t="s">
        <v>237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77</v>
      </c>
      <c r="M286" s="49" t="s">
        <v>78</v>
      </c>
      <c r="N286" s="48" t="s">
        <v>86</v>
      </c>
      <c r="O286" s="49" t="s">
        <v>35</v>
      </c>
      <c r="P286" s="11" t="s">
        <v>80</v>
      </c>
      <c r="Q286" s="11" t="s">
        <v>99</v>
      </c>
      <c r="R286" s="11" t="s">
        <v>226</v>
      </c>
      <c r="S286" s="11" t="s">
        <v>227</v>
      </c>
      <c r="T286" s="90" t="s">
        <v>10</v>
      </c>
      <c r="U286" s="89"/>
      <c r="V286" s="51">
        <v>45517</v>
      </c>
      <c r="W286" s="49" t="s">
        <v>1606</v>
      </c>
    </row>
    <row r="287" spans="1:23" ht="13" customHeight="1" x14ac:dyDescent="0.35">
      <c r="A287" s="11">
        <v>281</v>
      </c>
      <c r="B287" s="47">
        <v>203813038</v>
      </c>
      <c r="C287" s="94" t="s">
        <v>238</v>
      </c>
      <c r="D287" s="11" t="s">
        <v>239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84</v>
      </c>
      <c r="M287" s="49" t="s">
        <v>85</v>
      </c>
      <c r="N287" s="48" t="s">
        <v>86</v>
      </c>
      <c r="O287" s="49" t="s">
        <v>35</v>
      </c>
      <c r="P287" s="11" t="s">
        <v>80</v>
      </c>
      <c r="Q287" s="11" t="s">
        <v>99</v>
      </c>
      <c r="R287" s="11" t="s">
        <v>226</v>
      </c>
      <c r="S287" s="11" t="s">
        <v>227</v>
      </c>
      <c r="T287" s="90" t="s">
        <v>1</v>
      </c>
      <c r="U287" s="89"/>
      <c r="V287" s="51">
        <v>45517</v>
      </c>
      <c r="W287" s="49" t="s">
        <v>1606</v>
      </c>
    </row>
    <row r="288" spans="1:23" ht="13" customHeight="1" x14ac:dyDescent="0.35">
      <c r="A288" s="11">
        <v>282</v>
      </c>
      <c r="B288" s="47">
        <v>203813033</v>
      </c>
      <c r="C288" s="94" t="s">
        <v>240</v>
      </c>
      <c r="D288" s="11" t="s">
        <v>241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39</v>
      </c>
      <c r="K288" s="49" t="s">
        <v>76</v>
      </c>
      <c r="L288" s="49" t="s">
        <v>78</v>
      </c>
      <c r="M288" s="49" t="s">
        <v>92</v>
      </c>
      <c r="N288" s="48" t="s">
        <v>86</v>
      </c>
      <c r="O288" s="49" t="s">
        <v>35</v>
      </c>
      <c r="P288" s="11" t="s">
        <v>80</v>
      </c>
      <c r="Q288" s="11" t="s">
        <v>99</v>
      </c>
      <c r="R288" s="11" t="s">
        <v>226</v>
      </c>
      <c r="S288" s="11" t="s">
        <v>227</v>
      </c>
      <c r="T288" s="90" t="s">
        <v>1</v>
      </c>
      <c r="U288" s="89"/>
      <c r="V288" s="51">
        <v>45517</v>
      </c>
      <c r="W288" s="49" t="s">
        <v>1606</v>
      </c>
    </row>
    <row r="289" spans="1:23" ht="13" customHeight="1" x14ac:dyDescent="0.35">
      <c r="A289" s="11">
        <v>283</v>
      </c>
      <c r="B289" s="47">
        <v>205977111</v>
      </c>
      <c r="C289" s="94" t="s">
        <v>242</v>
      </c>
      <c r="D289" s="11" t="s">
        <v>243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32</v>
      </c>
      <c r="K289" s="49" t="s">
        <v>76</v>
      </c>
      <c r="L289" s="49" t="s">
        <v>85</v>
      </c>
      <c r="M289" s="49" t="s">
        <v>88</v>
      </c>
      <c r="N289" s="48" t="s">
        <v>86</v>
      </c>
      <c r="O289" s="49" t="s">
        <v>35</v>
      </c>
      <c r="P289" s="11" t="s">
        <v>80</v>
      </c>
      <c r="Q289" s="11" t="s">
        <v>90</v>
      </c>
      <c r="R289" s="11" t="s">
        <v>232</v>
      </c>
      <c r="S289" s="11" t="s">
        <v>1797</v>
      </c>
      <c r="T289" s="90" t="s">
        <v>1</v>
      </c>
      <c r="U289" s="91"/>
      <c r="V289" s="51">
        <v>45915</v>
      </c>
      <c r="W289" s="49" t="s">
        <v>1604</v>
      </c>
    </row>
    <row r="290" spans="1:23" ht="13" customHeight="1" x14ac:dyDescent="0.35">
      <c r="A290" s="11">
        <v>284</v>
      </c>
      <c r="B290" s="47">
        <v>204319797</v>
      </c>
      <c r="C290" s="94" t="s">
        <v>244</v>
      </c>
      <c r="D290" s="11" t="s">
        <v>245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84</v>
      </c>
      <c r="M290" s="49" t="s">
        <v>85</v>
      </c>
      <c r="N290" s="48" t="s">
        <v>86</v>
      </c>
      <c r="O290" s="49" t="s">
        <v>35</v>
      </c>
      <c r="P290" s="11" t="s">
        <v>80</v>
      </c>
      <c r="Q290" s="11" t="s">
        <v>87</v>
      </c>
      <c r="R290" s="11" t="s">
        <v>226</v>
      </c>
      <c r="S290" s="11" t="s">
        <v>227</v>
      </c>
      <c r="T290" s="90" t="s">
        <v>1</v>
      </c>
      <c r="U290" s="89"/>
      <c r="V290" s="51">
        <v>45589</v>
      </c>
      <c r="W290" s="49" t="s">
        <v>1606</v>
      </c>
    </row>
    <row r="291" spans="1:23" ht="13" customHeight="1" x14ac:dyDescent="0.35">
      <c r="A291" s="11">
        <v>285</v>
      </c>
      <c r="B291" s="11">
        <v>206871907</v>
      </c>
      <c r="C291" s="94" t="s">
        <v>1816</v>
      </c>
      <c r="D291" s="11" t="s">
        <v>1817</v>
      </c>
      <c r="E291" s="48" t="s">
        <v>31</v>
      </c>
      <c r="F291" s="48" t="s">
        <v>74</v>
      </c>
      <c r="G291" s="48" t="s">
        <v>64</v>
      </c>
      <c r="H291" s="48" t="s">
        <v>75</v>
      </c>
      <c r="I291" s="11">
        <v>1299</v>
      </c>
      <c r="J291" s="49" t="s">
        <v>2576</v>
      </c>
      <c r="K291" s="49" t="s">
        <v>76</v>
      </c>
      <c r="L291" s="49" t="s">
        <v>84</v>
      </c>
      <c r="M291" s="49" t="s">
        <v>85</v>
      </c>
      <c r="N291" s="49" t="s">
        <v>89</v>
      </c>
      <c r="O291" s="48" t="s">
        <v>35</v>
      </c>
      <c r="P291" s="48" t="s">
        <v>80</v>
      </c>
      <c r="Q291" s="11" t="s">
        <v>81</v>
      </c>
      <c r="R291" s="11" t="s">
        <v>226</v>
      </c>
      <c r="S291" s="11" t="s">
        <v>227</v>
      </c>
      <c r="T291" s="90" t="s">
        <v>1</v>
      </c>
      <c r="U291" s="90"/>
      <c r="V291" s="51">
        <v>46020</v>
      </c>
      <c r="W291" s="49" t="s">
        <v>1605</v>
      </c>
    </row>
    <row r="292" spans="1:23" ht="13" customHeight="1" x14ac:dyDescent="0.35">
      <c r="A292" s="11">
        <v>286</v>
      </c>
      <c r="B292" s="47">
        <v>110330601</v>
      </c>
      <c r="C292" s="94" t="s">
        <v>246</v>
      </c>
      <c r="D292" s="11" t="s">
        <v>247</v>
      </c>
      <c r="E292" s="48" t="s">
        <v>34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39</v>
      </c>
      <c r="K292" s="49" t="s">
        <v>76</v>
      </c>
      <c r="L292" s="49" t="s">
        <v>95</v>
      </c>
      <c r="M292" s="49" t="s">
        <v>77</v>
      </c>
      <c r="N292" s="48" t="s">
        <v>108</v>
      </c>
      <c r="O292" s="49" t="s">
        <v>35</v>
      </c>
      <c r="P292" s="11" t="s">
        <v>80</v>
      </c>
      <c r="Q292" s="11" t="s">
        <v>98</v>
      </c>
      <c r="R292" s="11" t="s">
        <v>225</v>
      </c>
      <c r="S292" s="11" t="s">
        <v>2821</v>
      </c>
      <c r="T292" s="90" t="s">
        <v>10</v>
      </c>
      <c r="U292" s="90"/>
      <c r="V292" s="51">
        <v>44757</v>
      </c>
      <c r="W292" s="49" t="s">
        <v>1603</v>
      </c>
    </row>
    <row r="293" spans="1:23" ht="13" customHeight="1" x14ac:dyDescent="0.35">
      <c r="A293" s="11">
        <v>287</v>
      </c>
      <c r="B293" s="47">
        <v>203796734</v>
      </c>
      <c r="C293" s="94" t="s">
        <v>248</v>
      </c>
      <c r="D293" s="11" t="s">
        <v>249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32</v>
      </c>
      <c r="K293" s="49" t="s">
        <v>76</v>
      </c>
      <c r="L293" s="49" t="s">
        <v>78</v>
      </c>
      <c r="M293" s="49" t="s">
        <v>92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226</v>
      </c>
      <c r="S293" s="11" t="s">
        <v>227</v>
      </c>
      <c r="T293" s="90" t="s">
        <v>1</v>
      </c>
      <c r="U293" s="90"/>
      <c r="V293" s="51">
        <v>45517</v>
      </c>
      <c r="W293" s="49" t="s">
        <v>1606</v>
      </c>
    </row>
    <row r="294" spans="1:23" ht="13" customHeight="1" x14ac:dyDescent="0.35">
      <c r="A294" s="11">
        <v>288</v>
      </c>
      <c r="B294" s="47">
        <v>206883746</v>
      </c>
      <c r="C294" s="94" t="s">
        <v>1834</v>
      </c>
      <c r="D294" s="11" t="s">
        <v>1835</v>
      </c>
      <c r="E294" s="11" t="s">
        <v>31</v>
      </c>
      <c r="F294" s="11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9" t="s">
        <v>89</v>
      </c>
      <c r="O294" s="11" t="s">
        <v>35</v>
      </c>
      <c r="P294" s="11" t="s">
        <v>80</v>
      </c>
      <c r="Q294" s="11" t="s">
        <v>96</v>
      </c>
      <c r="R294" s="11" t="s">
        <v>232</v>
      </c>
      <c r="S294" s="11" t="s">
        <v>1797</v>
      </c>
      <c r="T294" s="90" t="s">
        <v>1</v>
      </c>
      <c r="U294" s="89"/>
      <c r="V294" s="51">
        <v>46027</v>
      </c>
      <c r="W294" s="11" t="s">
        <v>1606</v>
      </c>
    </row>
    <row r="295" spans="1:23" ht="13" customHeight="1" x14ac:dyDescent="0.35">
      <c r="A295" s="11">
        <v>289</v>
      </c>
      <c r="B295" s="47">
        <v>206958448</v>
      </c>
      <c r="C295" s="95" t="s">
        <v>2269</v>
      </c>
      <c r="D295" s="113" t="s">
        <v>2270</v>
      </c>
      <c r="E295" s="113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9" t="s">
        <v>89</v>
      </c>
      <c r="O295" s="49" t="s">
        <v>35</v>
      </c>
      <c r="P295" s="49" t="s">
        <v>80</v>
      </c>
      <c r="Q295" s="49" t="s">
        <v>96</v>
      </c>
      <c r="R295" s="11" t="s">
        <v>225</v>
      </c>
      <c r="S295" s="49" t="s">
        <v>2821</v>
      </c>
      <c r="T295" s="90" t="s">
        <v>1</v>
      </c>
      <c r="U295" s="90"/>
      <c r="V295" s="51">
        <v>46048</v>
      </c>
      <c r="W295" s="49" t="s">
        <v>1606</v>
      </c>
    </row>
    <row r="296" spans="1:23" ht="13" customHeight="1" x14ac:dyDescent="0.35">
      <c r="A296" s="11">
        <v>290</v>
      </c>
      <c r="B296" s="47">
        <v>205477618</v>
      </c>
      <c r="C296" s="94" t="s">
        <v>250</v>
      </c>
      <c r="D296" s="11" t="s">
        <v>251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78</v>
      </c>
      <c r="M296" s="49" t="s">
        <v>92</v>
      </c>
      <c r="N296" s="48" t="s">
        <v>86</v>
      </c>
      <c r="O296" s="49" t="s">
        <v>35</v>
      </c>
      <c r="P296" s="11" t="s">
        <v>80</v>
      </c>
      <c r="Q296" s="11" t="s">
        <v>90</v>
      </c>
      <c r="R296" s="11" t="s">
        <v>226</v>
      </c>
      <c r="S296" s="11" t="s">
        <v>227</v>
      </c>
      <c r="T296" s="90" t="s">
        <v>1</v>
      </c>
      <c r="U296" s="89"/>
      <c r="V296" s="51">
        <v>45831</v>
      </c>
      <c r="W296" s="49" t="s">
        <v>1607</v>
      </c>
    </row>
    <row r="297" spans="1:23" ht="13" customHeight="1" x14ac:dyDescent="0.35">
      <c r="A297" s="11">
        <v>291</v>
      </c>
      <c r="B297" s="47">
        <v>206015600</v>
      </c>
      <c r="C297" s="94" t="s">
        <v>253</v>
      </c>
      <c r="D297" s="11" t="s">
        <v>254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79</v>
      </c>
      <c r="O297" s="49" t="s">
        <v>35</v>
      </c>
      <c r="P297" s="11" t="s">
        <v>80</v>
      </c>
      <c r="Q297" s="11" t="s">
        <v>81</v>
      </c>
      <c r="R297" s="11" t="s">
        <v>232</v>
      </c>
      <c r="S297" s="11" t="s">
        <v>1797</v>
      </c>
      <c r="T297" s="90" t="s">
        <v>1</v>
      </c>
      <c r="U297" s="90"/>
      <c r="V297" s="51">
        <v>45915</v>
      </c>
      <c r="W297" s="49" t="s">
        <v>1606</v>
      </c>
    </row>
    <row r="298" spans="1:23" ht="13" customHeight="1" x14ac:dyDescent="0.35">
      <c r="A298" s="11">
        <v>292</v>
      </c>
      <c r="B298" s="47">
        <v>203880236</v>
      </c>
      <c r="C298" s="94" t="s">
        <v>255</v>
      </c>
      <c r="D298" s="11" t="s">
        <v>256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79</v>
      </c>
      <c r="O298" s="49" t="s">
        <v>35</v>
      </c>
      <c r="P298" s="11" t="s">
        <v>80</v>
      </c>
      <c r="Q298" s="11" t="s">
        <v>81</v>
      </c>
      <c r="R298" s="11" t="s">
        <v>226</v>
      </c>
      <c r="S298" s="11" t="s">
        <v>227</v>
      </c>
      <c r="T298" s="90" t="s">
        <v>1</v>
      </c>
      <c r="U298" s="90"/>
      <c r="V298" s="51">
        <v>45530</v>
      </c>
      <c r="W298" s="49" t="s">
        <v>1606</v>
      </c>
    </row>
    <row r="299" spans="1:23" ht="13" customHeight="1" x14ac:dyDescent="0.35">
      <c r="A299" s="11">
        <v>293</v>
      </c>
      <c r="B299" s="47">
        <v>203741612</v>
      </c>
      <c r="C299" s="94" t="s">
        <v>257</v>
      </c>
      <c r="D299" s="11" t="s">
        <v>258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39</v>
      </c>
      <c r="K299" s="49" t="s">
        <v>76</v>
      </c>
      <c r="L299" s="49" t="s">
        <v>78</v>
      </c>
      <c r="M299" s="49" t="s">
        <v>92</v>
      </c>
      <c r="N299" s="48" t="s">
        <v>79</v>
      </c>
      <c r="O299" s="49" t="s">
        <v>35</v>
      </c>
      <c r="P299" s="11" t="s">
        <v>80</v>
      </c>
      <c r="Q299" s="11" t="s">
        <v>81</v>
      </c>
      <c r="R299" s="11" t="s">
        <v>225</v>
      </c>
      <c r="S299" s="11" t="s">
        <v>2821</v>
      </c>
      <c r="T299" s="90" t="s">
        <v>1</v>
      </c>
      <c r="U299" s="89"/>
      <c r="V299" s="51">
        <v>45516</v>
      </c>
      <c r="W299" s="49" t="s">
        <v>1606</v>
      </c>
    </row>
    <row r="300" spans="1:23" ht="13" customHeight="1" x14ac:dyDescent="0.35">
      <c r="A300" s="11">
        <v>294</v>
      </c>
      <c r="B300" s="47">
        <v>203737145</v>
      </c>
      <c r="C300" s="94" t="s">
        <v>259</v>
      </c>
      <c r="D300" s="11" t="s">
        <v>260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2576</v>
      </c>
      <c r="K300" s="49" t="s">
        <v>76</v>
      </c>
      <c r="L300" s="49" t="s">
        <v>78</v>
      </c>
      <c r="M300" s="49" t="s">
        <v>92</v>
      </c>
      <c r="N300" s="48" t="s">
        <v>79</v>
      </c>
      <c r="O300" s="49" t="s">
        <v>35</v>
      </c>
      <c r="P300" s="11" t="s">
        <v>80</v>
      </c>
      <c r="Q300" s="11" t="s">
        <v>81</v>
      </c>
      <c r="R300" s="11" t="s">
        <v>225</v>
      </c>
      <c r="S300" s="11" t="s">
        <v>2821</v>
      </c>
      <c r="T300" s="90" t="s">
        <v>1</v>
      </c>
      <c r="U300" s="89"/>
      <c r="V300" s="51">
        <v>45502</v>
      </c>
      <c r="W300" s="49" t="s">
        <v>1606</v>
      </c>
    </row>
    <row r="301" spans="1:23" ht="13" customHeight="1" x14ac:dyDescent="0.35">
      <c r="A301" s="11">
        <v>295</v>
      </c>
      <c r="B301" s="47">
        <v>203813036</v>
      </c>
      <c r="C301" s="94" t="s">
        <v>261</v>
      </c>
      <c r="D301" s="11" t="s">
        <v>262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84</v>
      </c>
      <c r="M301" s="49" t="s">
        <v>85</v>
      </c>
      <c r="N301" s="48" t="s">
        <v>86</v>
      </c>
      <c r="O301" s="49" t="s">
        <v>35</v>
      </c>
      <c r="P301" s="11" t="s">
        <v>80</v>
      </c>
      <c r="Q301" s="11" t="s">
        <v>99</v>
      </c>
      <c r="R301" s="11" t="s">
        <v>226</v>
      </c>
      <c r="S301" s="11" t="s">
        <v>227</v>
      </c>
      <c r="T301" s="90" t="s">
        <v>3</v>
      </c>
      <c r="U301" s="89"/>
      <c r="V301" s="51">
        <v>45517</v>
      </c>
      <c r="W301" s="49" t="s">
        <v>1607</v>
      </c>
    </row>
    <row r="302" spans="1:23" ht="13" customHeight="1" x14ac:dyDescent="0.35">
      <c r="A302" s="11">
        <v>296</v>
      </c>
      <c r="B302" s="47">
        <v>203813037</v>
      </c>
      <c r="C302" s="94" t="s">
        <v>263</v>
      </c>
      <c r="D302" s="11" t="s">
        <v>264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78</v>
      </c>
      <c r="M302" s="49" t="s">
        <v>92</v>
      </c>
      <c r="N302" s="48" t="s">
        <v>86</v>
      </c>
      <c r="O302" s="49" t="s">
        <v>35</v>
      </c>
      <c r="P302" s="11" t="s">
        <v>80</v>
      </c>
      <c r="Q302" s="11" t="s">
        <v>99</v>
      </c>
      <c r="R302" s="11" t="s">
        <v>226</v>
      </c>
      <c r="S302" s="11" t="s">
        <v>227</v>
      </c>
      <c r="T302" s="90" t="s">
        <v>1</v>
      </c>
      <c r="U302" s="90"/>
      <c r="V302" s="51">
        <v>45517</v>
      </c>
      <c r="W302" s="49" t="s">
        <v>1606</v>
      </c>
    </row>
    <row r="303" spans="1:23" ht="13" customHeight="1" x14ac:dyDescent="0.35">
      <c r="A303" s="11">
        <v>297</v>
      </c>
      <c r="B303" s="47">
        <v>206958086</v>
      </c>
      <c r="C303" s="94" t="s">
        <v>2604</v>
      </c>
      <c r="D303" s="11" t="s">
        <v>2605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9" t="s">
        <v>89</v>
      </c>
      <c r="O303" s="49" t="s">
        <v>35</v>
      </c>
      <c r="P303" s="11" t="s">
        <v>80</v>
      </c>
      <c r="Q303" s="11" t="s">
        <v>96</v>
      </c>
      <c r="R303" s="11" t="s">
        <v>225</v>
      </c>
      <c r="S303" s="11" t="s">
        <v>2821</v>
      </c>
      <c r="T303" s="90" t="s">
        <v>1</v>
      </c>
      <c r="U303" s="90"/>
      <c r="V303" s="51">
        <v>46048</v>
      </c>
      <c r="W303" s="49" t="s">
        <v>1606</v>
      </c>
    </row>
    <row r="304" spans="1:23" ht="13" customHeight="1" x14ac:dyDescent="0.35">
      <c r="A304" s="11">
        <v>298</v>
      </c>
      <c r="B304" s="47">
        <v>204868861</v>
      </c>
      <c r="C304" s="94" t="s">
        <v>265</v>
      </c>
      <c r="D304" s="11" t="s">
        <v>266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77</v>
      </c>
      <c r="M304" s="49" t="s">
        <v>78</v>
      </c>
      <c r="N304" s="48" t="s">
        <v>86</v>
      </c>
      <c r="O304" s="49" t="s">
        <v>35</v>
      </c>
      <c r="P304" s="11" t="s">
        <v>80</v>
      </c>
      <c r="Q304" s="11" t="s">
        <v>87</v>
      </c>
      <c r="R304" s="11" t="s">
        <v>225</v>
      </c>
      <c r="S304" s="11" t="s">
        <v>2821</v>
      </c>
      <c r="T304" s="90" t="s">
        <v>10</v>
      </c>
      <c r="U304" s="90"/>
      <c r="V304" s="51">
        <v>45691</v>
      </c>
      <c r="W304" s="49" t="s">
        <v>1606</v>
      </c>
    </row>
    <row r="305" spans="1:23" ht="13" customHeight="1" x14ac:dyDescent="0.35">
      <c r="A305" s="11">
        <v>299</v>
      </c>
      <c r="B305" s="47">
        <v>206883741</v>
      </c>
      <c r="C305" s="94" t="s">
        <v>1836</v>
      </c>
      <c r="D305" s="11" t="s">
        <v>1837</v>
      </c>
      <c r="E305" s="11" t="s">
        <v>31</v>
      </c>
      <c r="F305" s="11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78</v>
      </c>
      <c r="M305" s="49" t="s">
        <v>92</v>
      </c>
      <c r="N305" s="49" t="s">
        <v>89</v>
      </c>
      <c r="O305" s="11" t="s">
        <v>35</v>
      </c>
      <c r="P305" s="11" t="s">
        <v>80</v>
      </c>
      <c r="Q305" s="11" t="s">
        <v>96</v>
      </c>
      <c r="R305" s="11" t="s">
        <v>232</v>
      </c>
      <c r="S305" s="11" t="s">
        <v>1797</v>
      </c>
      <c r="T305" s="90" t="s">
        <v>1</v>
      </c>
      <c r="U305" s="90"/>
      <c r="V305" s="51">
        <v>46027</v>
      </c>
      <c r="W305" s="11" t="s">
        <v>1606</v>
      </c>
    </row>
    <row r="306" spans="1:23" ht="13" customHeight="1" x14ac:dyDescent="0.35">
      <c r="A306" s="11">
        <v>300</v>
      </c>
      <c r="B306" s="47">
        <v>203813035</v>
      </c>
      <c r="C306" s="94" t="s">
        <v>268</v>
      </c>
      <c r="D306" s="11" t="s">
        <v>269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2576</v>
      </c>
      <c r="K306" s="49" t="s">
        <v>76</v>
      </c>
      <c r="L306" s="49" t="s">
        <v>78</v>
      </c>
      <c r="M306" s="49" t="s">
        <v>92</v>
      </c>
      <c r="N306" s="48" t="s">
        <v>86</v>
      </c>
      <c r="O306" s="49" t="s">
        <v>35</v>
      </c>
      <c r="P306" s="11" t="s">
        <v>80</v>
      </c>
      <c r="Q306" s="11" t="s">
        <v>99</v>
      </c>
      <c r="R306" s="11" t="s">
        <v>225</v>
      </c>
      <c r="S306" s="11" t="s">
        <v>2821</v>
      </c>
      <c r="T306" s="90" t="s">
        <v>1</v>
      </c>
      <c r="U306" s="89"/>
      <c r="V306" s="51">
        <v>45517</v>
      </c>
      <c r="W306" s="49" t="s">
        <v>1606</v>
      </c>
    </row>
    <row r="307" spans="1:23" ht="13" customHeight="1" x14ac:dyDescent="0.35">
      <c r="A307" s="11">
        <v>301</v>
      </c>
      <c r="B307" s="47">
        <v>203736754</v>
      </c>
      <c r="C307" s="94" t="s">
        <v>270</v>
      </c>
      <c r="D307" s="11" t="s">
        <v>271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32</v>
      </c>
      <c r="K307" s="49" t="s">
        <v>76</v>
      </c>
      <c r="L307" s="49" t="s">
        <v>84</v>
      </c>
      <c r="M307" s="49" t="s">
        <v>85</v>
      </c>
      <c r="N307" s="48" t="s">
        <v>86</v>
      </c>
      <c r="O307" s="49" t="s">
        <v>35</v>
      </c>
      <c r="P307" s="11" t="s">
        <v>80</v>
      </c>
      <c r="Q307" s="11" t="s">
        <v>99</v>
      </c>
      <c r="R307" s="11" t="s">
        <v>225</v>
      </c>
      <c r="S307" s="11" t="s">
        <v>2821</v>
      </c>
      <c r="T307" s="90" t="s">
        <v>1</v>
      </c>
      <c r="U307" s="90"/>
      <c r="V307" s="51">
        <v>45502</v>
      </c>
      <c r="W307" s="49" t="s">
        <v>1606</v>
      </c>
    </row>
    <row r="308" spans="1:23" ht="13" customHeight="1" x14ac:dyDescent="0.35">
      <c r="A308" s="11">
        <v>302</v>
      </c>
      <c r="B308" s="47">
        <v>203709740</v>
      </c>
      <c r="C308" s="94" t="s">
        <v>272</v>
      </c>
      <c r="D308" s="11" t="s">
        <v>273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39</v>
      </c>
      <c r="K308" s="49" t="s">
        <v>76</v>
      </c>
      <c r="L308" s="49" t="s">
        <v>85</v>
      </c>
      <c r="M308" s="49" t="s">
        <v>88</v>
      </c>
      <c r="N308" s="48" t="s">
        <v>86</v>
      </c>
      <c r="O308" s="49" t="s">
        <v>35</v>
      </c>
      <c r="P308" s="11" t="s">
        <v>80</v>
      </c>
      <c r="Q308" s="11" t="s">
        <v>99</v>
      </c>
      <c r="R308" s="11" t="s">
        <v>225</v>
      </c>
      <c r="S308" s="11" t="s">
        <v>2821</v>
      </c>
      <c r="T308" s="90" t="s">
        <v>1</v>
      </c>
      <c r="U308" s="89"/>
      <c r="V308" s="51">
        <v>45495</v>
      </c>
      <c r="W308" s="49" t="s">
        <v>1606</v>
      </c>
    </row>
    <row r="309" spans="1:23" ht="13" customHeight="1" x14ac:dyDescent="0.35">
      <c r="A309" s="11">
        <v>303</v>
      </c>
      <c r="B309" s="47">
        <v>203802272</v>
      </c>
      <c r="C309" s="94" t="s">
        <v>274</v>
      </c>
      <c r="D309" s="11" t="s">
        <v>275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84</v>
      </c>
      <c r="M309" s="49" t="s">
        <v>85</v>
      </c>
      <c r="N309" s="48" t="s">
        <v>79</v>
      </c>
      <c r="O309" s="49" t="s">
        <v>35</v>
      </c>
      <c r="P309" s="11" t="s">
        <v>80</v>
      </c>
      <c r="Q309" s="11" t="s">
        <v>81</v>
      </c>
      <c r="R309" s="11" t="s">
        <v>225</v>
      </c>
      <c r="S309" s="11" t="s">
        <v>2821</v>
      </c>
      <c r="T309" s="90" t="s">
        <v>1</v>
      </c>
      <c r="U309" s="89"/>
      <c r="V309" s="51">
        <v>45517</v>
      </c>
      <c r="W309" s="49" t="s">
        <v>1606</v>
      </c>
    </row>
    <row r="310" spans="1:23" ht="13" customHeight="1" x14ac:dyDescent="0.35">
      <c r="A310" s="11">
        <v>304</v>
      </c>
      <c r="B310" s="47">
        <v>204869090</v>
      </c>
      <c r="C310" s="94" t="s">
        <v>276</v>
      </c>
      <c r="D310" s="11" t="s">
        <v>277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95</v>
      </c>
      <c r="M310" s="49" t="s">
        <v>77</v>
      </c>
      <c r="N310" s="48" t="s">
        <v>86</v>
      </c>
      <c r="O310" s="49" t="s">
        <v>35</v>
      </c>
      <c r="P310" s="11" t="s">
        <v>80</v>
      </c>
      <c r="Q310" s="11" t="s">
        <v>87</v>
      </c>
      <c r="R310" s="11" t="s">
        <v>226</v>
      </c>
      <c r="S310" s="11" t="s">
        <v>227</v>
      </c>
      <c r="T310" s="90" t="s">
        <v>10</v>
      </c>
      <c r="U310" s="89"/>
      <c r="V310" s="51">
        <v>45691</v>
      </c>
      <c r="W310" s="49" t="s">
        <v>1605</v>
      </c>
    </row>
    <row r="311" spans="1:23" ht="13" customHeight="1" x14ac:dyDescent="0.35">
      <c r="A311" s="11">
        <v>305</v>
      </c>
      <c r="B311" s="47">
        <v>206845692</v>
      </c>
      <c r="C311" s="94" t="s">
        <v>2606</v>
      </c>
      <c r="D311" s="47" t="s">
        <v>2607</v>
      </c>
      <c r="E311" s="47" t="s">
        <v>31</v>
      </c>
      <c r="F311" s="47" t="s">
        <v>74</v>
      </c>
      <c r="G311" s="47" t="s">
        <v>64</v>
      </c>
      <c r="H311" s="47" t="s">
        <v>75</v>
      </c>
      <c r="I311" s="47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9" t="s">
        <v>89</v>
      </c>
      <c r="O311" s="47" t="s">
        <v>35</v>
      </c>
      <c r="P311" s="47" t="s">
        <v>80</v>
      </c>
      <c r="Q311" s="47" t="s">
        <v>90</v>
      </c>
      <c r="R311" s="11" t="s">
        <v>232</v>
      </c>
      <c r="S311" s="47" t="s">
        <v>1797</v>
      </c>
      <c r="T311" s="90" t="s">
        <v>1</v>
      </c>
      <c r="U311" s="89"/>
      <c r="V311" s="51">
        <v>46013</v>
      </c>
      <c r="W311" s="47" t="s">
        <v>1606</v>
      </c>
    </row>
    <row r="312" spans="1:23" ht="13" customHeight="1" x14ac:dyDescent="0.35">
      <c r="A312" s="11">
        <v>306</v>
      </c>
      <c r="B312" s="47">
        <v>203635501</v>
      </c>
      <c r="C312" s="94" t="s">
        <v>278</v>
      </c>
      <c r="D312" s="11" t="s">
        <v>279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79</v>
      </c>
      <c r="O312" s="49" t="s">
        <v>35</v>
      </c>
      <c r="P312" s="11" t="s">
        <v>80</v>
      </c>
      <c r="Q312" s="11" t="s">
        <v>81</v>
      </c>
      <c r="R312" s="11" t="s">
        <v>226</v>
      </c>
      <c r="S312" s="11" t="s">
        <v>227</v>
      </c>
      <c r="T312" s="90" t="s">
        <v>1</v>
      </c>
      <c r="U312" s="89"/>
      <c r="V312" s="51">
        <v>45481</v>
      </c>
      <c r="W312" s="49" t="s">
        <v>1606</v>
      </c>
    </row>
    <row r="313" spans="1:23" ht="13" customHeight="1" x14ac:dyDescent="0.35">
      <c r="A313" s="11">
        <v>307</v>
      </c>
      <c r="B313" s="47">
        <v>206915298</v>
      </c>
      <c r="C313" s="94" t="s">
        <v>2608</v>
      </c>
      <c r="D313" s="11" t="s">
        <v>2609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89</v>
      </c>
      <c r="O313" s="49" t="s">
        <v>35</v>
      </c>
      <c r="P313" s="49" t="s">
        <v>80</v>
      </c>
      <c r="Q313" s="49" t="s">
        <v>90</v>
      </c>
      <c r="R313" s="11" t="s">
        <v>225</v>
      </c>
      <c r="S313" s="49" t="s">
        <v>2821</v>
      </c>
      <c r="T313" s="90" t="s">
        <v>1</v>
      </c>
      <c r="U313" s="90"/>
      <c r="V313" s="51">
        <v>46034</v>
      </c>
      <c r="W313" s="49" t="s">
        <v>1606</v>
      </c>
    </row>
    <row r="314" spans="1:23" ht="13" customHeight="1" x14ac:dyDescent="0.35">
      <c r="A314" s="11">
        <v>308</v>
      </c>
      <c r="B314" s="47">
        <v>206504126</v>
      </c>
      <c r="C314" s="94" t="s">
        <v>2610</v>
      </c>
      <c r="D314" s="11" t="s">
        <v>2611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8" t="s">
        <v>86</v>
      </c>
      <c r="O314" s="49" t="s">
        <v>35</v>
      </c>
      <c r="P314" s="11" t="s">
        <v>80</v>
      </c>
      <c r="Q314" s="11" t="s">
        <v>90</v>
      </c>
      <c r="R314" s="11" t="s">
        <v>232</v>
      </c>
      <c r="S314" s="11" t="s">
        <v>1797</v>
      </c>
      <c r="T314" s="90" t="s">
        <v>1</v>
      </c>
      <c r="U314" s="89"/>
      <c r="V314" s="51">
        <v>45971</v>
      </c>
      <c r="W314" s="49" t="s">
        <v>1606</v>
      </c>
    </row>
    <row r="315" spans="1:23" ht="13" customHeight="1" x14ac:dyDescent="0.35">
      <c r="A315" s="11">
        <v>309</v>
      </c>
      <c r="B315" s="47">
        <v>203881598</v>
      </c>
      <c r="C315" s="94" t="s">
        <v>280</v>
      </c>
      <c r="D315" s="11" t="s">
        <v>281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226</v>
      </c>
      <c r="S315" s="11" t="s">
        <v>227</v>
      </c>
      <c r="T315" s="90" t="s">
        <v>1</v>
      </c>
      <c r="U315" s="89"/>
      <c r="V315" s="51">
        <v>45530</v>
      </c>
      <c r="W315" s="49" t="s">
        <v>1606</v>
      </c>
    </row>
    <row r="316" spans="1:23" ht="13" customHeight="1" x14ac:dyDescent="0.35">
      <c r="A316" s="11">
        <v>310</v>
      </c>
      <c r="B316" s="47">
        <v>206915295</v>
      </c>
      <c r="C316" s="94" t="s">
        <v>2612</v>
      </c>
      <c r="D316" s="11" t="s">
        <v>2613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9" t="s">
        <v>89</v>
      </c>
      <c r="O316" s="49" t="s">
        <v>35</v>
      </c>
      <c r="P316" s="49" t="s">
        <v>80</v>
      </c>
      <c r="Q316" s="49" t="s">
        <v>90</v>
      </c>
      <c r="R316" s="11" t="s">
        <v>225</v>
      </c>
      <c r="S316" s="49" t="s">
        <v>2821</v>
      </c>
      <c r="T316" s="90" t="s">
        <v>1</v>
      </c>
      <c r="U316" s="90" t="s">
        <v>3003</v>
      </c>
      <c r="V316" s="51">
        <v>46034</v>
      </c>
      <c r="W316" s="49" t="s">
        <v>1606</v>
      </c>
    </row>
    <row r="317" spans="1:23" ht="13" customHeight="1" x14ac:dyDescent="0.35">
      <c r="A317" s="11">
        <v>311</v>
      </c>
      <c r="B317" s="47">
        <v>203712972</v>
      </c>
      <c r="C317" s="94" t="s">
        <v>282</v>
      </c>
      <c r="D317" s="11" t="s">
        <v>283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8" t="s">
        <v>86</v>
      </c>
      <c r="O317" s="49" t="s">
        <v>35</v>
      </c>
      <c r="P317" s="11" t="s">
        <v>80</v>
      </c>
      <c r="Q317" s="11" t="s">
        <v>99</v>
      </c>
      <c r="R317" s="11" t="s">
        <v>226</v>
      </c>
      <c r="S317" s="11" t="s">
        <v>227</v>
      </c>
      <c r="T317" s="90" t="s">
        <v>3</v>
      </c>
      <c r="U317" s="89"/>
      <c r="V317" s="51">
        <v>45517</v>
      </c>
      <c r="W317" s="49" t="s">
        <v>1606</v>
      </c>
    </row>
    <row r="318" spans="1:23" ht="13" customHeight="1" x14ac:dyDescent="0.35">
      <c r="A318" s="11">
        <v>312</v>
      </c>
      <c r="B318" s="47">
        <v>204883250</v>
      </c>
      <c r="C318" s="94" t="s">
        <v>284</v>
      </c>
      <c r="D318" s="11" t="s">
        <v>285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86</v>
      </c>
      <c r="O318" s="49" t="s">
        <v>35</v>
      </c>
      <c r="P318" s="11" t="s">
        <v>80</v>
      </c>
      <c r="Q318" s="11" t="s">
        <v>87</v>
      </c>
      <c r="R318" s="11" t="s">
        <v>226</v>
      </c>
      <c r="S318" s="11" t="s">
        <v>227</v>
      </c>
      <c r="T318" s="90" t="s">
        <v>1</v>
      </c>
      <c r="U318" s="90"/>
      <c r="V318" s="51">
        <v>45691</v>
      </c>
      <c r="W318" s="49" t="s">
        <v>1605</v>
      </c>
    </row>
    <row r="319" spans="1:23" ht="13" customHeight="1" x14ac:dyDescent="0.35">
      <c r="A319" s="11">
        <v>313</v>
      </c>
      <c r="B319" s="47">
        <v>203521129</v>
      </c>
      <c r="C319" s="94" t="s">
        <v>286</v>
      </c>
      <c r="D319" s="11" t="s">
        <v>287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39</v>
      </c>
      <c r="K319" s="49" t="s">
        <v>76</v>
      </c>
      <c r="L319" s="49" t="s">
        <v>78</v>
      </c>
      <c r="M319" s="49" t="s">
        <v>92</v>
      </c>
      <c r="N319" s="48" t="s">
        <v>79</v>
      </c>
      <c r="O319" s="49" t="s">
        <v>35</v>
      </c>
      <c r="P319" s="11" t="s">
        <v>80</v>
      </c>
      <c r="Q319" s="11" t="s">
        <v>81</v>
      </c>
      <c r="R319" s="11" t="s">
        <v>225</v>
      </c>
      <c r="S319" s="11" t="s">
        <v>2821</v>
      </c>
      <c r="T319" s="90" t="s">
        <v>1</v>
      </c>
      <c r="U319" s="89"/>
      <c r="V319" s="51">
        <v>45463</v>
      </c>
      <c r="W319" s="49" t="s">
        <v>1606</v>
      </c>
    </row>
    <row r="320" spans="1:23" ht="13" customHeight="1" x14ac:dyDescent="0.35">
      <c r="A320" s="11">
        <v>314</v>
      </c>
      <c r="B320" s="47">
        <v>205236900</v>
      </c>
      <c r="C320" s="94" t="s">
        <v>288</v>
      </c>
      <c r="D320" s="11" t="s">
        <v>289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86</v>
      </c>
      <c r="O320" s="49" t="s">
        <v>35</v>
      </c>
      <c r="P320" s="11" t="s">
        <v>80</v>
      </c>
      <c r="Q320" s="11" t="s">
        <v>90</v>
      </c>
      <c r="R320" s="11" t="s">
        <v>226</v>
      </c>
      <c r="S320" s="11" t="s">
        <v>227</v>
      </c>
      <c r="T320" s="90" t="s">
        <v>7</v>
      </c>
      <c r="U320" s="90" t="s">
        <v>3004</v>
      </c>
      <c r="V320" s="51">
        <v>45831</v>
      </c>
      <c r="W320" s="49" t="s">
        <v>1607</v>
      </c>
    </row>
    <row r="321" spans="1:23" ht="13" customHeight="1" x14ac:dyDescent="0.35">
      <c r="A321" s="11">
        <v>315</v>
      </c>
      <c r="B321" s="47">
        <v>203468310</v>
      </c>
      <c r="C321" s="94" t="s">
        <v>290</v>
      </c>
      <c r="D321" s="11" t="s">
        <v>291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8" t="s">
        <v>79</v>
      </c>
      <c r="O321" s="49" t="s">
        <v>35</v>
      </c>
      <c r="P321" s="11" t="s">
        <v>80</v>
      </c>
      <c r="Q321" s="11" t="s">
        <v>81</v>
      </c>
      <c r="R321" s="11" t="s">
        <v>226</v>
      </c>
      <c r="S321" s="11" t="s">
        <v>227</v>
      </c>
      <c r="T321" s="90" t="s">
        <v>1</v>
      </c>
      <c r="U321" s="90"/>
      <c r="V321" s="51">
        <v>45456</v>
      </c>
      <c r="W321" s="49" t="s">
        <v>1603</v>
      </c>
    </row>
    <row r="322" spans="1:23" ht="13" customHeight="1" x14ac:dyDescent="0.35">
      <c r="A322" s="11">
        <v>316</v>
      </c>
      <c r="B322" s="47">
        <v>206873865</v>
      </c>
      <c r="C322" s="94" t="s">
        <v>2614</v>
      </c>
      <c r="D322" s="11" t="s">
        <v>2615</v>
      </c>
      <c r="E322" s="48" t="s">
        <v>31</v>
      </c>
      <c r="F322" s="48" t="s">
        <v>74</v>
      </c>
      <c r="G322" s="48" t="s">
        <v>64</v>
      </c>
      <c r="H322" s="48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9" t="s">
        <v>89</v>
      </c>
      <c r="O322" s="48" t="s">
        <v>35</v>
      </c>
      <c r="P322" s="48" t="s">
        <v>80</v>
      </c>
      <c r="Q322" s="11" t="s">
        <v>90</v>
      </c>
      <c r="R322" s="11" t="s">
        <v>232</v>
      </c>
      <c r="S322" s="11" t="s">
        <v>1797</v>
      </c>
      <c r="T322" s="90" t="s">
        <v>1</v>
      </c>
      <c r="U322" s="89"/>
      <c r="V322" s="51">
        <v>46020</v>
      </c>
      <c r="W322" s="49" t="s">
        <v>1606</v>
      </c>
    </row>
    <row r="323" spans="1:23" ht="13" customHeight="1" x14ac:dyDescent="0.35">
      <c r="A323" s="11">
        <v>317</v>
      </c>
      <c r="B323" s="47">
        <v>203800480</v>
      </c>
      <c r="C323" s="94" t="s">
        <v>2616</v>
      </c>
      <c r="D323" s="11" t="s">
        <v>2617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86</v>
      </c>
      <c r="O323" s="49" t="s">
        <v>35</v>
      </c>
      <c r="P323" s="11" t="s">
        <v>80</v>
      </c>
      <c r="Q323" s="11" t="s">
        <v>90</v>
      </c>
      <c r="R323" s="11" t="s">
        <v>225</v>
      </c>
      <c r="S323" s="11" t="s">
        <v>2821</v>
      </c>
      <c r="T323" s="90" t="s">
        <v>1</v>
      </c>
      <c r="U323" s="89"/>
      <c r="V323" s="51">
        <v>45516</v>
      </c>
      <c r="W323" s="49" t="s">
        <v>1606</v>
      </c>
    </row>
    <row r="324" spans="1:23" ht="13" customHeight="1" x14ac:dyDescent="0.35">
      <c r="A324" s="11">
        <v>318</v>
      </c>
      <c r="B324" s="47">
        <v>206958910</v>
      </c>
      <c r="C324" s="94" t="s">
        <v>2192</v>
      </c>
      <c r="D324" s="11" t="s">
        <v>2101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9" t="s">
        <v>89</v>
      </c>
      <c r="O324" s="49" t="s">
        <v>35</v>
      </c>
      <c r="P324" s="11" t="s">
        <v>80</v>
      </c>
      <c r="Q324" s="11" t="s">
        <v>96</v>
      </c>
      <c r="R324" s="11" t="s">
        <v>225</v>
      </c>
      <c r="S324" s="11" t="s">
        <v>2821</v>
      </c>
      <c r="T324" s="90" t="s">
        <v>1</v>
      </c>
      <c r="U324" s="89"/>
      <c r="V324" s="51">
        <v>46048</v>
      </c>
      <c r="W324" s="49" t="s">
        <v>1606</v>
      </c>
    </row>
    <row r="325" spans="1:23" ht="13" customHeight="1" x14ac:dyDescent="0.35">
      <c r="A325" s="11">
        <v>319</v>
      </c>
      <c r="B325" s="47">
        <v>203521521</v>
      </c>
      <c r="C325" s="94" t="s">
        <v>292</v>
      </c>
      <c r="D325" s="11" t="s">
        <v>293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226</v>
      </c>
      <c r="S325" s="11" t="s">
        <v>227</v>
      </c>
      <c r="T325" s="90" t="s">
        <v>1</v>
      </c>
      <c r="U325" s="91"/>
      <c r="V325" s="51">
        <v>45463</v>
      </c>
      <c r="W325" s="49" t="s">
        <v>1603</v>
      </c>
    </row>
    <row r="326" spans="1:23" ht="13" customHeight="1" x14ac:dyDescent="0.35">
      <c r="A326" s="11">
        <v>320</v>
      </c>
      <c r="B326" s="47">
        <v>203965524</v>
      </c>
      <c r="C326" s="94" t="s">
        <v>294</v>
      </c>
      <c r="D326" s="11" t="s">
        <v>295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95</v>
      </c>
      <c r="M326" s="49" t="s">
        <v>77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226</v>
      </c>
      <c r="S326" s="11" t="s">
        <v>227</v>
      </c>
      <c r="T326" s="90" t="s">
        <v>10</v>
      </c>
      <c r="U326" s="91"/>
      <c r="V326" s="51">
        <v>45544</v>
      </c>
      <c r="W326" s="49" t="s">
        <v>1606</v>
      </c>
    </row>
    <row r="327" spans="1:23" ht="13" customHeight="1" x14ac:dyDescent="0.35">
      <c r="A327" s="11">
        <v>321</v>
      </c>
      <c r="B327" s="47">
        <v>205609884</v>
      </c>
      <c r="C327" s="94" t="s">
        <v>2618</v>
      </c>
      <c r="D327" s="11" t="s">
        <v>2619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78</v>
      </c>
      <c r="M327" s="49" t="s">
        <v>92</v>
      </c>
      <c r="N327" s="48" t="s">
        <v>86</v>
      </c>
      <c r="O327" s="49" t="s">
        <v>35</v>
      </c>
      <c r="P327" s="11" t="s">
        <v>80</v>
      </c>
      <c r="Q327" s="11" t="s">
        <v>90</v>
      </c>
      <c r="R327" s="11" t="s">
        <v>225</v>
      </c>
      <c r="S327" s="11" t="s">
        <v>2821</v>
      </c>
      <c r="T327" s="90" t="s">
        <v>7</v>
      </c>
      <c r="U327" s="90" t="s">
        <v>3004</v>
      </c>
      <c r="V327" s="51">
        <v>45845</v>
      </c>
      <c r="W327" s="49" t="s">
        <v>1606</v>
      </c>
    </row>
    <row r="328" spans="1:23" ht="13" customHeight="1" x14ac:dyDescent="0.35">
      <c r="A328" s="11">
        <v>322</v>
      </c>
      <c r="B328" s="47">
        <v>206006412</v>
      </c>
      <c r="C328" s="94" t="s">
        <v>297</v>
      </c>
      <c r="D328" s="11" t="s">
        <v>1796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77</v>
      </c>
      <c r="M328" s="49" t="s">
        <v>78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225</v>
      </c>
      <c r="S328" s="11" t="s">
        <v>2821</v>
      </c>
      <c r="T328" s="90" t="s">
        <v>10</v>
      </c>
      <c r="U328" s="90"/>
      <c r="V328" s="51">
        <v>45915</v>
      </c>
      <c r="W328" s="49" t="s">
        <v>1606</v>
      </c>
    </row>
    <row r="329" spans="1:23" ht="13" customHeight="1" x14ac:dyDescent="0.35">
      <c r="A329" s="11">
        <v>323</v>
      </c>
      <c r="B329" s="47">
        <v>203965495</v>
      </c>
      <c r="C329" s="94" t="s">
        <v>298</v>
      </c>
      <c r="D329" s="11" t="s">
        <v>299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78</v>
      </c>
      <c r="M329" s="49" t="s">
        <v>92</v>
      </c>
      <c r="N329" s="48" t="s">
        <v>79</v>
      </c>
      <c r="O329" s="49" t="s">
        <v>35</v>
      </c>
      <c r="P329" s="11" t="s">
        <v>80</v>
      </c>
      <c r="Q329" s="11" t="s">
        <v>81</v>
      </c>
      <c r="R329" s="11" t="s">
        <v>225</v>
      </c>
      <c r="S329" s="11" t="s">
        <v>2821</v>
      </c>
      <c r="T329" s="90" t="s">
        <v>1</v>
      </c>
      <c r="U329" s="90"/>
      <c r="V329" s="51">
        <v>45544</v>
      </c>
      <c r="W329" s="49" t="s">
        <v>1606</v>
      </c>
    </row>
    <row r="330" spans="1:23" ht="13" customHeight="1" x14ac:dyDescent="0.35">
      <c r="A330" s="11">
        <v>324</v>
      </c>
      <c r="B330" s="47">
        <v>203802274</v>
      </c>
      <c r="C330" s="94" t="s">
        <v>300</v>
      </c>
      <c r="D330" s="11" t="s">
        <v>301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2821</v>
      </c>
      <c r="T330" s="90" t="s">
        <v>1</v>
      </c>
      <c r="U330" s="89"/>
      <c r="V330" s="51">
        <v>45516</v>
      </c>
      <c r="W330" s="49" t="s">
        <v>1606</v>
      </c>
    </row>
    <row r="331" spans="1:23" ht="13" customHeight="1" x14ac:dyDescent="0.35">
      <c r="A331" s="11">
        <v>325</v>
      </c>
      <c r="B331" s="47">
        <v>205506017</v>
      </c>
      <c r="C331" s="94" t="s">
        <v>2620</v>
      </c>
      <c r="D331" s="11" t="s">
        <v>2621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77</v>
      </c>
      <c r="M331" s="49" t="s">
        <v>78</v>
      </c>
      <c r="N331" s="49" t="s">
        <v>89</v>
      </c>
      <c r="O331" s="49" t="s">
        <v>35</v>
      </c>
      <c r="P331" s="11" t="s">
        <v>80</v>
      </c>
      <c r="Q331" s="11" t="s">
        <v>96</v>
      </c>
      <c r="R331" s="11" t="s">
        <v>225</v>
      </c>
      <c r="S331" s="11" t="s">
        <v>2821</v>
      </c>
      <c r="T331" s="90" t="s">
        <v>10</v>
      </c>
      <c r="U331" s="91"/>
      <c r="V331" s="51">
        <v>45831</v>
      </c>
      <c r="W331" s="49" t="s">
        <v>1606</v>
      </c>
    </row>
    <row r="332" spans="1:23" ht="13" customHeight="1" x14ac:dyDescent="0.35">
      <c r="A332" s="11">
        <v>326</v>
      </c>
      <c r="B332" s="47">
        <v>205608618</v>
      </c>
      <c r="C332" s="94" t="s">
        <v>2622</v>
      </c>
      <c r="D332" s="11" t="s">
        <v>2623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78</v>
      </c>
      <c r="M332" s="49" t="s">
        <v>92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225</v>
      </c>
      <c r="S332" s="11" t="s">
        <v>2821</v>
      </c>
      <c r="T332" s="90" t="s">
        <v>1</v>
      </c>
      <c r="U332" s="89"/>
      <c r="V332" s="51">
        <v>45845</v>
      </c>
      <c r="W332" s="49" t="s">
        <v>1606</v>
      </c>
    </row>
    <row r="333" spans="1:23" ht="13" customHeight="1" x14ac:dyDescent="0.35">
      <c r="A333" s="11">
        <v>327</v>
      </c>
      <c r="B333" s="47">
        <v>203965520</v>
      </c>
      <c r="C333" s="94" t="s">
        <v>303</v>
      </c>
      <c r="D333" s="11" t="s">
        <v>304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39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2821</v>
      </c>
      <c r="T333" s="90" t="s">
        <v>3</v>
      </c>
      <c r="U333" s="89"/>
      <c r="V333" s="51">
        <v>45544</v>
      </c>
      <c r="W333" s="49" t="s">
        <v>1606</v>
      </c>
    </row>
    <row r="334" spans="1:23" ht="13" customHeight="1" x14ac:dyDescent="0.35">
      <c r="A334" s="11">
        <v>328</v>
      </c>
      <c r="B334" s="47">
        <v>203851006</v>
      </c>
      <c r="C334" s="94" t="s">
        <v>305</v>
      </c>
      <c r="D334" s="11" t="s">
        <v>306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78</v>
      </c>
      <c r="M334" s="49" t="s">
        <v>92</v>
      </c>
      <c r="N334" s="48" t="s">
        <v>79</v>
      </c>
      <c r="O334" s="49" t="s">
        <v>35</v>
      </c>
      <c r="P334" s="11" t="s">
        <v>80</v>
      </c>
      <c r="Q334" s="11" t="s">
        <v>81</v>
      </c>
      <c r="R334" s="11" t="s">
        <v>226</v>
      </c>
      <c r="S334" s="11" t="s">
        <v>227</v>
      </c>
      <c r="T334" s="90" t="s">
        <v>1</v>
      </c>
      <c r="U334" s="90"/>
      <c r="V334" s="51">
        <v>45524</v>
      </c>
      <c r="W334" s="49" t="s">
        <v>1605</v>
      </c>
    </row>
    <row r="335" spans="1:23" ht="13" customHeight="1" x14ac:dyDescent="0.35">
      <c r="A335" s="11">
        <v>329</v>
      </c>
      <c r="B335" s="47">
        <v>203881601</v>
      </c>
      <c r="C335" s="94" t="s">
        <v>307</v>
      </c>
      <c r="D335" s="11" t="s">
        <v>308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88</v>
      </c>
      <c r="M335" s="49" t="s">
        <v>95</v>
      </c>
      <c r="N335" s="48" t="s">
        <v>79</v>
      </c>
      <c r="O335" s="49" t="s">
        <v>35</v>
      </c>
      <c r="P335" s="11" t="s">
        <v>80</v>
      </c>
      <c r="Q335" s="11" t="s">
        <v>81</v>
      </c>
      <c r="R335" s="11" t="s">
        <v>225</v>
      </c>
      <c r="S335" s="11" t="s">
        <v>2821</v>
      </c>
      <c r="T335" s="90" t="s">
        <v>1</v>
      </c>
      <c r="U335" s="90"/>
      <c r="V335" s="51">
        <v>45530</v>
      </c>
      <c r="W335" s="49" t="s">
        <v>1606</v>
      </c>
    </row>
    <row r="336" spans="1:23" ht="13" customHeight="1" x14ac:dyDescent="0.35">
      <c r="A336" s="11">
        <v>330</v>
      </c>
      <c r="B336" s="47">
        <v>204967143</v>
      </c>
      <c r="C336" s="94" t="s">
        <v>309</v>
      </c>
      <c r="D336" s="11" t="s">
        <v>310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39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90</v>
      </c>
      <c r="R336" s="11" t="s">
        <v>225</v>
      </c>
      <c r="S336" s="11" t="s">
        <v>2821</v>
      </c>
      <c r="T336" s="90" t="s">
        <v>1</v>
      </c>
      <c r="U336" s="89"/>
      <c r="V336" s="51">
        <v>45826</v>
      </c>
      <c r="W336" s="49" t="s">
        <v>1606</v>
      </c>
    </row>
    <row r="337" spans="1:23" ht="13" customHeight="1" x14ac:dyDescent="0.35">
      <c r="A337" s="11">
        <v>331</v>
      </c>
      <c r="B337" s="47">
        <v>206065200</v>
      </c>
      <c r="C337" s="94" t="s">
        <v>311</v>
      </c>
      <c r="D337" s="11" t="s">
        <v>312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78</v>
      </c>
      <c r="M337" s="49" t="s">
        <v>92</v>
      </c>
      <c r="N337" s="48" t="s">
        <v>79</v>
      </c>
      <c r="O337" s="49" t="s">
        <v>35</v>
      </c>
      <c r="P337" s="11" t="s">
        <v>80</v>
      </c>
      <c r="Q337" s="11" t="s">
        <v>81</v>
      </c>
      <c r="R337" s="11" t="s">
        <v>226</v>
      </c>
      <c r="S337" s="11" t="s">
        <v>227</v>
      </c>
      <c r="T337" s="90" t="s">
        <v>1</v>
      </c>
      <c r="U337" s="89"/>
      <c r="V337" s="51">
        <v>45922</v>
      </c>
      <c r="W337" s="49" t="s">
        <v>1605</v>
      </c>
    </row>
    <row r="338" spans="1:23" ht="13" customHeight="1" x14ac:dyDescent="0.35">
      <c r="A338" s="11">
        <v>332</v>
      </c>
      <c r="B338" s="47">
        <v>205495596</v>
      </c>
      <c r="C338" s="94" t="s">
        <v>2624</v>
      </c>
      <c r="D338" s="11" t="s">
        <v>2625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9" t="s">
        <v>89</v>
      </c>
      <c r="O338" s="49" t="s">
        <v>35</v>
      </c>
      <c r="P338" s="11" t="s">
        <v>80</v>
      </c>
      <c r="Q338" s="11" t="s">
        <v>96</v>
      </c>
      <c r="R338" s="11" t="s">
        <v>225</v>
      </c>
      <c r="S338" s="11" t="s">
        <v>2821</v>
      </c>
      <c r="T338" s="90" t="s">
        <v>1</v>
      </c>
      <c r="U338" s="89"/>
      <c r="V338" s="51">
        <v>45831</v>
      </c>
      <c r="W338" s="49" t="s">
        <v>1606</v>
      </c>
    </row>
    <row r="339" spans="1:23" ht="13" customHeight="1" x14ac:dyDescent="0.35">
      <c r="A339" s="11">
        <v>333</v>
      </c>
      <c r="B339" s="47">
        <v>204246157</v>
      </c>
      <c r="C339" s="94" t="s">
        <v>313</v>
      </c>
      <c r="D339" s="11" t="s">
        <v>314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2576</v>
      </c>
      <c r="K339" s="49" t="s">
        <v>76</v>
      </c>
      <c r="L339" s="49" t="s">
        <v>84</v>
      </c>
      <c r="M339" s="49" t="s">
        <v>85</v>
      </c>
      <c r="N339" s="48" t="s">
        <v>86</v>
      </c>
      <c r="O339" s="49" t="s">
        <v>35</v>
      </c>
      <c r="P339" s="11" t="s">
        <v>80</v>
      </c>
      <c r="Q339" s="11" t="s">
        <v>87</v>
      </c>
      <c r="R339" s="11" t="s">
        <v>225</v>
      </c>
      <c r="S339" s="11" t="s">
        <v>2821</v>
      </c>
      <c r="T339" s="90" t="s">
        <v>1</v>
      </c>
      <c r="U339" s="91"/>
      <c r="V339" s="51">
        <v>45579</v>
      </c>
      <c r="W339" s="49" t="s">
        <v>1606</v>
      </c>
    </row>
    <row r="340" spans="1:23" ht="13" customHeight="1" x14ac:dyDescent="0.35">
      <c r="A340" s="11">
        <v>334</v>
      </c>
      <c r="B340" s="47">
        <v>204868859</v>
      </c>
      <c r="C340" s="94" t="s">
        <v>315</v>
      </c>
      <c r="D340" s="11" t="s">
        <v>316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39</v>
      </c>
      <c r="K340" s="49" t="s">
        <v>76</v>
      </c>
      <c r="L340" s="49" t="s">
        <v>84</v>
      </c>
      <c r="M340" s="49" t="s">
        <v>85</v>
      </c>
      <c r="N340" s="48" t="s">
        <v>86</v>
      </c>
      <c r="O340" s="49" t="s">
        <v>35</v>
      </c>
      <c r="P340" s="11" t="s">
        <v>80</v>
      </c>
      <c r="Q340" s="11" t="s">
        <v>87</v>
      </c>
      <c r="R340" s="11" t="s">
        <v>232</v>
      </c>
      <c r="S340" s="11" t="s">
        <v>1797</v>
      </c>
      <c r="T340" s="90" t="s">
        <v>1</v>
      </c>
      <c r="U340" s="90"/>
      <c r="V340" s="51">
        <v>45691</v>
      </c>
      <c r="W340" s="49" t="s">
        <v>1606</v>
      </c>
    </row>
    <row r="341" spans="1:23" ht="13" customHeight="1" x14ac:dyDescent="0.35">
      <c r="A341" s="11">
        <v>335</v>
      </c>
      <c r="B341" s="47">
        <v>204872907</v>
      </c>
      <c r="C341" s="94" t="s">
        <v>317</v>
      </c>
      <c r="D341" s="11" t="s">
        <v>318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86</v>
      </c>
      <c r="O341" s="49" t="s">
        <v>35</v>
      </c>
      <c r="P341" s="11" t="s">
        <v>80</v>
      </c>
      <c r="Q341" s="11" t="s">
        <v>90</v>
      </c>
      <c r="R341" s="11" t="s">
        <v>225</v>
      </c>
      <c r="S341" s="11" t="s">
        <v>2821</v>
      </c>
      <c r="T341" s="90" t="s">
        <v>1</v>
      </c>
      <c r="U341" s="89"/>
      <c r="V341" s="51">
        <v>45826</v>
      </c>
      <c r="W341" s="49" t="s">
        <v>1606</v>
      </c>
    </row>
    <row r="342" spans="1:23" ht="13" customHeight="1" x14ac:dyDescent="0.35">
      <c r="A342" s="11">
        <v>336</v>
      </c>
      <c r="B342" s="47">
        <v>206065195</v>
      </c>
      <c r="C342" s="94" t="s">
        <v>319</v>
      </c>
      <c r="D342" s="11" t="s">
        <v>320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32</v>
      </c>
      <c r="K342" s="49" t="s">
        <v>76</v>
      </c>
      <c r="L342" s="49" t="s">
        <v>78</v>
      </c>
      <c r="M342" s="49" t="s">
        <v>92</v>
      </c>
      <c r="N342" s="48" t="s">
        <v>79</v>
      </c>
      <c r="O342" s="49" t="s">
        <v>35</v>
      </c>
      <c r="P342" s="11" t="s">
        <v>80</v>
      </c>
      <c r="Q342" s="11" t="s">
        <v>81</v>
      </c>
      <c r="R342" s="11" t="s">
        <v>226</v>
      </c>
      <c r="S342" s="11" t="s">
        <v>227</v>
      </c>
      <c r="T342" s="90" t="s">
        <v>1</v>
      </c>
      <c r="U342" s="89"/>
      <c r="V342" s="51">
        <v>45922</v>
      </c>
      <c r="W342" s="49" t="s">
        <v>1605</v>
      </c>
    </row>
    <row r="343" spans="1:23" ht="13" customHeight="1" x14ac:dyDescent="0.35">
      <c r="A343" s="11">
        <v>337</v>
      </c>
      <c r="B343" s="47">
        <v>203468317</v>
      </c>
      <c r="C343" s="94" t="s">
        <v>321</v>
      </c>
      <c r="D343" s="11" t="s">
        <v>322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32</v>
      </c>
      <c r="K343" s="49" t="s">
        <v>76</v>
      </c>
      <c r="L343" s="49" t="s">
        <v>84</v>
      </c>
      <c r="M343" s="49" t="s">
        <v>85</v>
      </c>
      <c r="N343" s="48" t="s">
        <v>79</v>
      </c>
      <c r="O343" s="49" t="s">
        <v>35</v>
      </c>
      <c r="P343" s="11" t="s">
        <v>80</v>
      </c>
      <c r="Q343" s="11" t="s">
        <v>81</v>
      </c>
      <c r="R343" s="11" t="s">
        <v>226</v>
      </c>
      <c r="S343" s="11" t="s">
        <v>227</v>
      </c>
      <c r="T343" s="90" t="s">
        <v>4</v>
      </c>
      <c r="U343" s="89"/>
      <c r="V343" s="51">
        <v>45456</v>
      </c>
      <c r="W343" s="49" t="s">
        <v>1603</v>
      </c>
    </row>
    <row r="344" spans="1:23" ht="13" customHeight="1" x14ac:dyDescent="0.35">
      <c r="A344" s="11">
        <v>338</v>
      </c>
      <c r="B344" s="47">
        <v>205671334</v>
      </c>
      <c r="C344" s="94" t="s">
        <v>2462</v>
      </c>
      <c r="D344" s="11" t="s">
        <v>2463</v>
      </c>
      <c r="E344" s="48" t="s">
        <v>34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78</v>
      </c>
      <c r="M344" s="49" t="s">
        <v>92</v>
      </c>
      <c r="N344" s="48" t="s">
        <v>97</v>
      </c>
      <c r="O344" s="49" t="s">
        <v>35</v>
      </c>
      <c r="P344" s="11" t="s">
        <v>80</v>
      </c>
      <c r="Q344" s="11" t="s">
        <v>98</v>
      </c>
      <c r="R344" s="11" t="s">
        <v>232</v>
      </c>
      <c r="S344" s="11" t="s">
        <v>1797</v>
      </c>
      <c r="T344" s="90" t="s">
        <v>4</v>
      </c>
      <c r="U344" s="91"/>
      <c r="V344" s="51">
        <v>46062</v>
      </c>
      <c r="W344" s="49" t="s">
        <v>1608</v>
      </c>
    </row>
    <row r="345" spans="1:23" ht="13" customHeight="1" x14ac:dyDescent="0.35">
      <c r="A345" s="11">
        <v>339</v>
      </c>
      <c r="B345" s="47">
        <v>203851004</v>
      </c>
      <c r="C345" s="94" t="s">
        <v>323</v>
      </c>
      <c r="D345" s="11" t="s">
        <v>324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39</v>
      </c>
      <c r="K345" s="49" t="s">
        <v>76</v>
      </c>
      <c r="L345" s="49" t="s">
        <v>84</v>
      </c>
      <c r="M345" s="49" t="s">
        <v>85</v>
      </c>
      <c r="N345" s="48" t="s">
        <v>79</v>
      </c>
      <c r="O345" s="49" t="s">
        <v>35</v>
      </c>
      <c r="P345" s="11" t="s">
        <v>80</v>
      </c>
      <c r="Q345" s="11" t="s">
        <v>81</v>
      </c>
      <c r="R345" s="11" t="s">
        <v>226</v>
      </c>
      <c r="S345" s="11" t="s">
        <v>227</v>
      </c>
      <c r="T345" s="90" t="s">
        <v>1</v>
      </c>
      <c r="U345" s="90"/>
      <c r="V345" s="51">
        <v>45524</v>
      </c>
      <c r="W345" s="49" t="s">
        <v>1605</v>
      </c>
    </row>
    <row r="346" spans="1:23" ht="13" customHeight="1" x14ac:dyDescent="0.35">
      <c r="A346" s="11">
        <v>340</v>
      </c>
      <c r="B346" s="47">
        <v>203736252</v>
      </c>
      <c r="C346" s="94" t="s">
        <v>2626</v>
      </c>
      <c r="D346" s="11" t="s">
        <v>2627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39</v>
      </c>
      <c r="K346" s="49" t="s">
        <v>76</v>
      </c>
      <c r="L346" s="49" t="s">
        <v>92</v>
      </c>
      <c r="M346" s="49" t="s">
        <v>84</v>
      </c>
      <c r="N346" s="48" t="s">
        <v>86</v>
      </c>
      <c r="O346" s="49" t="s">
        <v>35</v>
      </c>
      <c r="P346" s="11" t="s">
        <v>80</v>
      </c>
      <c r="Q346" s="11" t="s">
        <v>90</v>
      </c>
      <c r="R346" s="11" t="s">
        <v>225</v>
      </c>
      <c r="S346" s="11" t="s">
        <v>2821</v>
      </c>
      <c r="T346" s="90" t="s">
        <v>1</v>
      </c>
      <c r="U346" s="89"/>
      <c r="V346" s="51">
        <v>45502</v>
      </c>
      <c r="W346" s="49" t="s">
        <v>1606</v>
      </c>
    </row>
    <row r="347" spans="1:23" ht="13" customHeight="1" x14ac:dyDescent="0.35">
      <c r="A347" s="11">
        <v>341</v>
      </c>
      <c r="B347" s="47">
        <v>204246170</v>
      </c>
      <c r="C347" s="94" t="s">
        <v>325</v>
      </c>
      <c r="D347" s="11" t="s">
        <v>326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39</v>
      </c>
      <c r="K347" s="49" t="s">
        <v>76</v>
      </c>
      <c r="L347" s="49" t="s">
        <v>85</v>
      </c>
      <c r="M347" s="49" t="s">
        <v>88</v>
      </c>
      <c r="N347" s="48" t="s">
        <v>86</v>
      </c>
      <c r="O347" s="49" t="s">
        <v>35</v>
      </c>
      <c r="P347" s="11" t="s">
        <v>80</v>
      </c>
      <c r="Q347" s="11" t="s">
        <v>87</v>
      </c>
      <c r="R347" s="11" t="s">
        <v>225</v>
      </c>
      <c r="S347" s="11" t="s">
        <v>2821</v>
      </c>
      <c r="T347" s="90" t="s">
        <v>1</v>
      </c>
      <c r="U347" s="89"/>
      <c r="V347" s="51">
        <v>45579</v>
      </c>
      <c r="W347" s="49" t="s">
        <v>1606</v>
      </c>
    </row>
    <row r="348" spans="1:23" ht="13" customHeight="1" x14ac:dyDescent="0.35">
      <c r="A348" s="11">
        <v>342</v>
      </c>
      <c r="B348" s="47">
        <v>204246161</v>
      </c>
      <c r="C348" s="94" t="s">
        <v>327</v>
      </c>
      <c r="D348" s="11" t="s">
        <v>328</v>
      </c>
      <c r="E348" s="48" t="s">
        <v>31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32</v>
      </c>
      <c r="K348" s="49" t="s">
        <v>76</v>
      </c>
      <c r="L348" s="49" t="s">
        <v>78</v>
      </c>
      <c r="M348" s="49" t="s">
        <v>92</v>
      </c>
      <c r="N348" s="48" t="s">
        <v>86</v>
      </c>
      <c r="O348" s="49" t="s">
        <v>35</v>
      </c>
      <c r="P348" s="11" t="s">
        <v>80</v>
      </c>
      <c r="Q348" s="11" t="s">
        <v>87</v>
      </c>
      <c r="R348" s="11" t="s">
        <v>225</v>
      </c>
      <c r="S348" s="11" t="s">
        <v>2821</v>
      </c>
      <c r="T348" s="90" t="s">
        <v>1</v>
      </c>
      <c r="U348" s="90"/>
      <c r="V348" s="51">
        <v>45579</v>
      </c>
      <c r="W348" s="49" t="s">
        <v>1606</v>
      </c>
    </row>
    <row r="349" spans="1:23" ht="13" customHeight="1" x14ac:dyDescent="0.35">
      <c r="A349" s="11">
        <v>343</v>
      </c>
      <c r="B349" s="47">
        <v>102582327</v>
      </c>
      <c r="C349" s="94" t="s">
        <v>329</v>
      </c>
      <c r="D349" s="11" t="s">
        <v>330</v>
      </c>
      <c r="E349" s="48" t="s">
        <v>34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2576</v>
      </c>
      <c r="K349" s="49" t="s">
        <v>76</v>
      </c>
      <c r="L349" s="49" t="s">
        <v>78</v>
      </c>
      <c r="M349" s="49" t="s">
        <v>92</v>
      </c>
      <c r="N349" s="48" t="s">
        <v>97</v>
      </c>
      <c r="O349" s="49" t="s">
        <v>35</v>
      </c>
      <c r="P349" s="11" t="s">
        <v>80</v>
      </c>
      <c r="Q349" s="11" t="s">
        <v>98</v>
      </c>
      <c r="R349" s="11" t="s">
        <v>225</v>
      </c>
      <c r="S349" s="11" t="s">
        <v>2821</v>
      </c>
      <c r="T349" s="90" t="s">
        <v>1</v>
      </c>
      <c r="U349" s="91"/>
      <c r="V349" s="51">
        <v>42960</v>
      </c>
      <c r="W349" s="49" t="s">
        <v>1608</v>
      </c>
    </row>
    <row r="350" spans="1:23" ht="13" customHeight="1" x14ac:dyDescent="0.35">
      <c r="A350" s="11">
        <v>344</v>
      </c>
      <c r="B350" s="47">
        <v>203555714</v>
      </c>
      <c r="C350" s="94" t="s">
        <v>331</v>
      </c>
      <c r="D350" s="11" t="s">
        <v>332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77</v>
      </c>
      <c r="M350" s="49" t="s">
        <v>78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226</v>
      </c>
      <c r="S350" s="11" t="s">
        <v>227</v>
      </c>
      <c r="T350" s="90" t="s">
        <v>10</v>
      </c>
      <c r="U350" s="89"/>
      <c r="V350" s="51">
        <v>45470</v>
      </c>
      <c r="W350" s="49" t="s">
        <v>1605</v>
      </c>
    </row>
    <row r="351" spans="1:23" ht="13" customHeight="1" x14ac:dyDescent="0.35">
      <c r="A351" s="11">
        <v>345</v>
      </c>
      <c r="B351" s="47">
        <v>203468318</v>
      </c>
      <c r="C351" s="94" t="s">
        <v>333</v>
      </c>
      <c r="D351" s="11" t="s">
        <v>334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8" t="s">
        <v>79</v>
      </c>
      <c r="O351" s="49" t="s">
        <v>35</v>
      </c>
      <c r="P351" s="11" t="s">
        <v>80</v>
      </c>
      <c r="Q351" s="11" t="s">
        <v>81</v>
      </c>
      <c r="R351" s="11" t="s">
        <v>226</v>
      </c>
      <c r="S351" s="11" t="s">
        <v>227</v>
      </c>
      <c r="T351" s="90" t="s">
        <v>1</v>
      </c>
      <c r="U351" s="89"/>
      <c r="V351" s="51">
        <v>45456</v>
      </c>
      <c r="W351" s="49" t="s">
        <v>1603</v>
      </c>
    </row>
    <row r="352" spans="1:23" ht="13" customHeight="1" x14ac:dyDescent="0.35">
      <c r="A352" s="11">
        <v>346</v>
      </c>
      <c r="B352" s="47">
        <v>206873868</v>
      </c>
      <c r="C352" s="94" t="s">
        <v>2628</v>
      </c>
      <c r="D352" s="11" t="s">
        <v>2629</v>
      </c>
      <c r="E352" s="48" t="s">
        <v>31</v>
      </c>
      <c r="F352" s="48" t="s">
        <v>74</v>
      </c>
      <c r="G352" s="48" t="s">
        <v>64</v>
      </c>
      <c r="H352" s="48" t="s">
        <v>75</v>
      </c>
      <c r="I352" s="11">
        <v>1299</v>
      </c>
      <c r="J352" s="49" t="s">
        <v>32</v>
      </c>
      <c r="K352" s="49" t="s">
        <v>76</v>
      </c>
      <c r="L352" s="49" t="s">
        <v>78</v>
      </c>
      <c r="M352" s="49" t="s">
        <v>92</v>
      </c>
      <c r="N352" s="49" t="s">
        <v>89</v>
      </c>
      <c r="O352" s="48" t="s">
        <v>35</v>
      </c>
      <c r="P352" s="48" t="s">
        <v>80</v>
      </c>
      <c r="Q352" s="11" t="s">
        <v>90</v>
      </c>
      <c r="R352" s="11" t="s">
        <v>232</v>
      </c>
      <c r="S352" s="11" t="s">
        <v>1797</v>
      </c>
      <c r="T352" s="90" t="s">
        <v>1</v>
      </c>
      <c r="U352" s="89"/>
      <c r="V352" s="51">
        <v>46020</v>
      </c>
      <c r="W352" s="49" t="s">
        <v>1606</v>
      </c>
    </row>
    <row r="353" spans="1:23" ht="13" customHeight="1" x14ac:dyDescent="0.35">
      <c r="A353" s="11">
        <v>347</v>
      </c>
      <c r="B353" s="47">
        <v>204868858</v>
      </c>
      <c r="C353" s="94" t="s">
        <v>335</v>
      </c>
      <c r="D353" s="11" t="s">
        <v>336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2576</v>
      </c>
      <c r="K353" s="49" t="s">
        <v>76</v>
      </c>
      <c r="L353" s="49" t="s">
        <v>84</v>
      </c>
      <c r="M353" s="49" t="s">
        <v>85</v>
      </c>
      <c r="N353" s="48" t="s">
        <v>86</v>
      </c>
      <c r="O353" s="49" t="s">
        <v>35</v>
      </c>
      <c r="P353" s="11" t="s">
        <v>80</v>
      </c>
      <c r="Q353" s="11" t="s">
        <v>87</v>
      </c>
      <c r="R353" s="11" t="s">
        <v>225</v>
      </c>
      <c r="S353" s="11" t="s">
        <v>2821</v>
      </c>
      <c r="T353" s="90" t="s">
        <v>7</v>
      </c>
      <c r="U353" s="90" t="s">
        <v>3004</v>
      </c>
      <c r="V353" s="51">
        <v>45691</v>
      </c>
      <c r="W353" s="49" t="s">
        <v>1606</v>
      </c>
    </row>
    <row r="354" spans="1:23" ht="13" customHeight="1" x14ac:dyDescent="0.35">
      <c r="A354" s="11">
        <v>348</v>
      </c>
      <c r="B354" s="47">
        <v>203521428</v>
      </c>
      <c r="C354" s="94" t="s">
        <v>337</v>
      </c>
      <c r="D354" s="11" t="s">
        <v>338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32</v>
      </c>
      <c r="K354" s="49" t="s">
        <v>76</v>
      </c>
      <c r="L354" s="49" t="s">
        <v>78</v>
      </c>
      <c r="M354" s="49" t="s">
        <v>92</v>
      </c>
      <c r="N354" s="48" t="s">
        <v>79</v>
      </c>
      <c r="O354" s="49" t="s">
        <v>35</v>
      </c>
      <c r="P354" s="11" t="s">
        <v>80</v>
      </c>
      <c r="Q354" s="11" t="s">
        <v>81</v>
      </c>
      <c r="R354" s="11" t="s">
        <v>226</v>
      </c>
      <c r="S354" s="11" t="s">
        <v>227</v>
      </c>
      <c r="T354" s="90" t="s">
        <v>1</v>
      </c>
      <c r="U354" s="90"/>
      <c r="V354" s="51">
        <v>45463</v>
      </c>
      <c r="W354" s="49" t="s">
        <v>1607</v>
      </c>
    </row>
    <row r="355" spans="1:23" ht="13" customHeight="1" x14ac:dyDescent="0.35">
      <c r="A355" s="11">
        <v>349</v>
      </c>
      <c r="B355" s="47">
        <v>204246156</v>
      </c>
      <c r="C355" s="94" t="s">
        <v>339</v>
      </c>
      <c r="D355" s="11" t="s">
        <v>340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32</v>
      </c>
      <c r="K355" s="49" t="s">
        <v>76</v>
      </c>
      <c r="L355" s="49" t="s">
        <v>78</v>
      </c>
      <c r="M355" s="49" t="s">
        <v>92</v>
      </c>
      <c r="N355" s="48" t="s">
        <v>86</v>
      </c>
      <c r="O355" s="49" t="s">
        <v>35</v>
      </c>
      <c r="P355" s="11" t="s">
        <v>80</v>
      </c>
      <c r="Q355" s="11" t="s">
        <v>87</v>
      </c>
      <c r="R355" s="11" t="s">
        <v>2954</v>
      </c>
      <c r="S355" s="11" t="s">
        <v>2822</v>
      </c>
      <c r="T355" s="90" t="s">
        <v>3</v>
      </c>
      <c r="U355" s="90"/>
      <c r="V355" s="51">
        <v>45579</v>
      </c>
      <c r="W355" s="49" t="s">
        <v>1606</v>
      </c>
    </row>
    <row r="356" spans="1:23" ht="13" customHeight="1" x14ac:dyDescent="0.35">
      <c r="A356" s="11">
        <v>350</v>
      </c>
      <c r="B356" s="47">
        <v>103060279</v>
      </c>
      <c r="C356" s="94" t="s">
        <v>341</v>
      </c>
      <c r="D356" s="11" t="s">
        <v>342</v>
      </c>
      <c r="E356" s="48" t="s">
        <v>34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92</v>
      </c>
      <c r="M356" s="49" t="s">
        <v>84</v>
      </c>
      <c r="N356" s="48" t="s">
        <v>108</v>
      </c>
      <c r="O356" s="49" t="s">
        <v>35</v>
      </c>
      <c r="P356" s="11" t="s">
        <v>80</v>
      </c>
      <c r="Q356" s="11" t="s">
        <v>98</v>
      </c>
      <c r="R356" s="11" t="s">
        <v>226</v>
      </c>
      <c r="S356" s="11" t="s">
        <v>227</v>
      </c>
      <c r="T356" s="90" t="s">
        <v>1</v>
      </c>
      <c r="U356" s="89"/>
      <c r="V356" s="51">
        <v>43080</v>
      </c>
      <c r="W356" s="49" t="s">
        <v>1607</v>
      </c>
    </row>
    <row r="357" spans="1:23" ht="13" customHeight="1" x14ac:dyDescent="0.35">
      <c r="A357" s="11">
        <v>351</v>
      </c>
      <c r="B357" s="47">
        <v>204880567</v>
      </c>
      <c r="C357" s="94" t="s">
        <v>2630</v>
      </c>
      <c r="D357" s="11" t="s">
        <v>2631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84</v>
      </c>
      <c r="M357" s="49" t="s">
        <v>85</v>
      </c>
      <c r="N357" s="49" t="s">
        <v>89</v>
      </c>
      <c r="O357" s="49" t="s">
        <v>35</v>
      </c>
      <c r="P357" s="11" t="s">
        <v>80</v>
      </c>
      <c r="Q357" s="11" t="s">
        <v>90</v>
      </c>
      <c r="R357" s="11" t="s">
        <v>225</v>
      </c>
      <c r="S357" s="11" t="s">
        <v>2821</v>
      </c>
      <c r="T357" s="90" t="s">
        <v>1</v>
      </c>
      <c r="U357" s="89"/>
      <c r="V357" s="51">
        <v>45826</v>
      </c>
      <c r="W357" s="49" t="s">
        <v>1606</v>
      </c>
    </row>
    <row r="358" spans="1:23" ht="13" customHeight="1" x14ac:dyDescent="0.35">
      <c r="A358" s="11">
        <v>352</v>
      </c>
      <c r="B358" s="47">
        <v>203736250</v>
      </c>
      <c r="C358" s="94" t="s">
        <v>2632</v>
      </c>
      <c r="D358" s="11" t="s">
        <v>2633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32</v>
      </c>
      <c r="K358" s="49" t="s">
        <v>76</v>
      </c>
      <c r="L358" s="49" t="s">
        <v>77</v>
      </c>
      <c r="M358" s="49" t="s">
        <v>78</v>
      </c>
      <c r="N358" s="48" t="s">
        <v>86</v>
      </c>
      <c r="O358" s="49" t="s">
        <v>35</v>
      </c>
      <c r="P358" s="11" t="s">
        <v>80</v>
      </c>
      <c r="Q358" s="11" t="s">
        <v>90</v>
      </c>
      <c r="R358" s="11" t="s">
        <v>225</v>
      </c>
      <c r="S358" s="11" t="s">
        <v>2821</v>
      </c>
      <c r="T358" s="90" t="s">
        <v>10</v>
      </c>
      <c r="U358" s="89"/>
      <c r="V358" s="51">
        <v>45502</v>
      </c>
      <c r="W358" s="49" t="s">
        <v>1606</v>
      </c>
    </row>
    <row r="359" spans="1:23" ht="13" customHeight="1" x14ac:dyDescent="0.35">
      <c r="A359" s="11">
        <v>353</v>
      </c>
      <c r="B359" s="47">
        <v>205495355</v>
      </c>
      <c r="C359" s="94" t="s">
        <v>343</v>
      </c>
      <c r="D359" s="11" t="s">
        <v>344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39</v>
      </c>
      <c r="K359" s="49" t="s">
        <v>76</v>
      </c>
      <c r="L359" s="49" t="s">
        <v>78</v>
      </c>
      <c r="M359" s="49" t="s">
        <v>92</v>
      </c>
      <c r="N359" s="49" t="s">
        <v>89</v>
      </c>
      <c r="O359" s="49" t="s">
        <v>35</v>
      </c>
      <c r="P359" s="11" t="s">
        <v>80</v>
      </c>
      <c r="Q359" s="11" t="s">
        <v>96</v>
      </c>
      <c r="R359" s="11" t="s">
        <v>226</v>
      </c>
      <c r="S359" s="11" t="s">
        <v>227</v>
      </c>
      <c r="T359" s="90" t="s">
        <v>7</v>
      </c>
      <c r="U359" s="90" t="s">
        <v>3004</v>
      </c>
      <c r="V359" s="51">
        <v>45831</v>
      </c>
      <c r="W359" s="49" t="s">
        <v>1607</v>
      </c>
    </row>
    <row r="360" spans="1:23" ht="13" customHeight="1" x14ac:dyDescent="0.35">
      <c r="A360" s="11">
        <v>354</v>
      </c>
      <c r="B360" s="47">
        <v>206873870</v>
      </c>
      <c r="C360" s="94" t="s">
        <v>1810</v>
      </c>
      <c r="D360" s="11" t="s">
        <v>1811</v>
      </c>
      <c r="E360" s="48" t="s">
        <v>31</v>
      </c>
      <c r="F360" s="48" t="s">
        <v>74</v>
      </c>
      <c r="G360" s="48" t="s">
        <v>64</v>
      </c>
      <c r="H360" s="48" t="s">
        <v>75</v>
      </c>
      <c r="I360" s="11">
        <v>1299</v>
      </c>
      <c r="J360" s="49" t="s">
        <v>32</v>
      </c>
      <c r="K360" s="49" t="s">
        <v>76</v>
      </c>
      <c r="L360" s="49" t="s">
        <v>78</v>
      </c>
      <c r="M360" s="49" t="s">
        <v>92</v>
      </c>
      <c r="N360" s="49" t="s">
        <v>89</v>
      </c>
      <c r="O360" s="48" t="s">
        <v>35</v>
      </c>
      <c r="P360" s="48" t="s">
        <v>80</v>
      </c>
      <c r="Q360" s="11" t="s">
        <v>90</v>
      </c>
      <c r="R360" s="11" t="s">
        <v>232</v>
      </c>
      <c r="S360" s="11" t="s">
        <v>1797</v>
      </c>
      <c r="T360" s="90" t="s">
        <v>1</v>
      </c>
      <c r="U360" s="90"/>
      <c r="V360" s="51">
        <v>46020</v>
      </c>
      <c r="W360" s="49" t="s">
        <v>1606</v>
      </c>
    </row>
    <row r="361" spans="1:23" ht="13" customHeight="1" x14ac:dyDescent="0.35">
      <c r="A361" s="11">
        <v>355</v>
      </c>
      <c r="B361" s="47">
        <v>203741310</v>
      </c>
      <c r="C361" s="94" t="s">
        <v>345</v>
      </c>
      <c r="D361" s="11" t="s">
        <v>346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32</v>
      </c>
      <c r="K361" s="49" t="s">
        <v>76</v>
      </c>
      <c r="L361" s="49" t="s">
        <v>84</v>
      </c>
      <c r="M361" s="49" t="s">
        <v>85</v>
      </c>
      <c r="N361" s="48" t="s">
        <v>79</v>
      </c>
      <c r="O361" s="49" t="s">
        <v>35</v>
      </c>
      <c r="P361" s="11" t="s">
        <v>80</v>
      </c>
      <c r="Q361" s="11" t="s">
        <v>81</v>
      </c>
      <c r="R361" s="11" t="s">
        <v>225</v>
      </c>
      <c r="S361" s="11" t="s">
        <v>2821</v>
      </c>
      <c r="T361" s="90" t="s">
        <v>1</v>
      </c>
      <c r="U361" s="89"/>
      <c r="V361" s="51">
        <v>45502</v>
      </c>
      <c r="W361" s="49" t="s">
        <v>1606</v>
      </c>
    </row>
    <row r="362" spans="1:23" ht="13" customHeight="1" x14ac:dyDescent="0.35">
      <c r="A362" s="11">
        <v>356</v>
      </c>
      <c r="B362" s="47">
        <v>203741317</v>
      </c>
      <c r="C362" s="94" t="s">
        <v>347</v>
      </c>
      <c r="D362" s="11" t="s">
        <v>348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39</v>
      </c>
      <c r="K362" s="49" t="s">
        <v>76</v>
      </c>
      <c r="L362" s="49" t="s">
        <v>85</v>
      </c>
      <c r="M362" s="49" t="s">
        <v>88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2821</v>
      </c>
      <c r="T362" s="90" t="s">
        <v>1</v>
      </c>
      <c r="U362" s="91"/>
      <c r="V362" s="51">
        <v>45502</v>
      </c>
      <c r="W362" s="49" t="s">
        <v>1606</v>
      </c>
    </row>
    <row r="363" spans="1:23" ht="13" customHeight="1" x14ac:dyDescent="0.35">
      <c r="A363" s="11">
        <v>357</v>
      </c>
      <c r="B363" s="47">
        <v>206065199</v>
      </c>
      <c r="C363" s="94" t="s">
        <v>349</v>
      </c>
      <c r="D363" s="11" t="s">
        <v>350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32</v>
      </c>
      <c r="K363" s="49" t="s">
        <v>76</v>
      </c>
      <c r="L363" s="49" t="s">
        <v>78</v>
      </c>
      <c r="M363" s="49" t="s">
        <v>92</v>
      </c>
      <c r="N363" s="48" t="s">
        <v>79</v>
      </c>
      <c r="O363" s="49" t="s">
        <v>35</v>
      </c>
      <c r="P363" s="11" t="s">
        <v>80</v>
      </c>
      <c r="Q363" s="11" t="s">
        <v>81</v>
      </c>
      <c r="R363" s="11" t="s">
        <v>226</v>
      </c>
      <c r="S363" s="11" t="s">
        <v>227</v>
      </c>
      <c r="T363" s="90" t="s">
        <v>1</v>
      </c>
      <c r="U363" s="89"/>
      <c r="V363" s="51">
        <v>45922</v>
      </c>
      <c r="W363" s="49" t="s">
        <v>1605</v>
      </c>
    </row>
    <row r="364" spans="1:23" ht="13" customHeight="1" x14ac:dyDescent="0.35">
      <c r="A364" s="11">
        <v>358</v>
      </c>
      <c r="B364" s="47">
        <v>203736253</v>
      </c>
      <c r="C364" s="94" t="s">
        <v>2634</v>
      </c>
      <c r="D364" s="11" t="s">
        <v>2635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77</v>
      </c>
      <c r="M364" s="49" t="s">
        <v>78</v>
      </c>
      <c r="N364" s="48" t="s">
        <v>86</v>
      </c>
      <c r="O364" s="49" t="s">
        <v>35</v>
      </c>
      <c r="P364" s="11" t="s">
        <v>80</v>
      </c>
      <c r="Q364" s="11" t="s">
        <v>90</v>
      </c>
      <c r="R364" s="11" t="s">
        <v>225</v>
      </c>
      <c r="S364" s="11" t="s">
        <v>2821</v>
      </c>
      <c r="T364" s="90" t="s">
        <v>10</v>
      </c>
      <c r="U364" s="89"/>
      <c r="V364" s="51">
        <v>45502</v>
      </c>
      <c r="W364" s="49" t="s">
        <v>1606</v>
      </c>
    </row>
    <row r="365" spans="1:23" ht="13" customHeight="1" x14ac:dyDescent="0.35">
      <c r="A365" s="11">
        <v>359</v>
      </c>
      <c r="B365" s="47">
        <v>203521133</v>
      </c>
      <c r="C365" s="94" t="s">
        <v>351</v>
      </c>
      <c r="D365" s="11" t="s">
        <v>352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95</v>
      </c>
      <c r="M365" s="49" t="s">
        <v>77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226</v>
      </c>
      <c r="S365" s="11" t="s">
        <v>227</v>
      </c>
      <c r="T365" s="90" t="s">
        <v>10</v>
      </c>
      <c r="U365" s="90"/>
      <c r="V365" s="51">
        <v>45463</v>
      </c>
      <c r="W365" s="49" t="s">
        <v>1606</v>
      </c>
    </row>
    <row r="366" spans="1:23" ht="13" customHeight="1" x14ac:dyDescent="0.35">
      <c r="A366" s="11">
        <v>360</v>
      </c>
      <c r="B366" s="47">
        <v>204013733</v>
      </c>
      <c r="C366" s="94" t="s">
        <v>353</v>
      </c>
      <c r="D366" s="11" t="s">
        <v>354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32</v>
      </c>
      <c r="K366" s="49" t="s">
        <v>76</v>
      </c>
      <c r="L366" s="49" t="s">
        <v>78</v>
      </c>
      <c r="M366" s="49" t="s">
        <v>92</v>
      </c>
      <c r="N366" s="48" t="s">
        <v>79</v>
      </c>
      <c r="O366" s="49" t="s">
        <v>35</v>
      </c>
      <c r="P366" s="11" t="s">
        <v>80</v>
      </c>
      <c r="Q366" s="11" t="s">
        <v>81</v>
      </c>
      <c r="R366" s="11" t="s">
        <v>226</v>
      </c>
      <c r="S366" s="11" t="s">
        <v>227</v>
      </c>
      <c r="T366" s="90" t="s">
        <v>1</v>
      </c>
      <c r="U366" s="89"/>
      <c r="V366" s="51">
        <v>45551</v>
      </c>
      <c r="W366" s="49" t="s">
        <v>1606</v>
      </c>
    </row>
    <row r="367" spans="1:23" ht="13" customHeight="1" x14ac:dyDescent="0.35">
      <c r="A367" s="11">
        <v>361</v>
      </c>
      <c r="B367" s="47">
        <v>204967151</v>
      </c>
      <c r="C367" s="94" t="s">
        <v>2636</v>
      </c>
      <c r="D367" s="11" t="s">
        <v>2637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85</v>
      </c>
      <c r="M367" s="49" t="s">
        <v>88</v>
      </c>
      <c r="N367" s="48" t="s">
        <v>86</v>
      </c>
      <c r="O367" s="49" t="s">
        <v>35</v>
      </c>
      <c r="P367" s="11" t="s">
        <v>80</v>
      </c>
      <c r="Q367" s="11" t="s">
        <v>90</v>
      </c>
      <c r="R367" s="11" t="s">
        <v>225</v>
      </c>
      <c r="S367" s="11" t="s">
        <v>2821</v>
      </c>
      <c r="T367" s="90" t="s">
        <v>1</v>
      </c>
      <c r="U367" s="91"/>
      <c r="V367" s="51">
        <v>45826</v>
      </c>
      <c r="W367" s="49" t="s">
        <v>1606</v>
      </c>
    </row>
    <row r="368" spans="1:23" ht="13" customHeight="1" x14ac:dyDescent="0.35">
      <c r="A368" s="11">
        <v>362</v>
      </c>
      <c r="B368" s="47">
        <v>203965496</v>
      </c>
      <c r="C368" s="94" t="s">
        <v>355</v>
      </c>
      <c r="D368" s="11" t="s">
        <v>356</v>
      </c>
      <c r="E368" s="48" t="s">
        <v>31</v>
      </c>
      <c r="F368" s="48" t="s">
        <v>74</v>
      </c>
      <c r="G368" s="11" t="s">
        <v>64</v>
      </c>
      <c r="H368" s="11" t="s">
        <v>75</v>
      </c>
      <c r="I368" s="11">
        <v>1299</v>
      </c>
      <c r="J368" s="49" t="s">
        <v>39</v>
      </c>
      <c r="K368" s="49" t="s">
        <v>76</v>
      </c>
      <c r="L368" s="49" t="s">
        <v>84</v>
      </c>
      <c r="M368" s="49" t="s">
        <v>85</v>
      </c>
      <c r="N368" s="48" t="s">
        <v>79</v>
      </c>
      <c r="O368" s="49" t="s">
        <v>35</v>
      </c>
      <c r="P368" s="11" t="s">
        <v>80</v>
      </c>
      <c r="Q368" s="11" t="s">
        <v>81</v>
      </c>
      <c r="R368" s="11" t="s">
        <v>225</v>
      </c>
      <c r="S368" s="11" t="s">
        <v>2821</v>
      </c>
      <c r="T368" s="90" t="s">
        <v>1</v>
      </c>
      <c r="U368" s="89"/>
      <c r="V368" s="51">
        <v>45544</v>
      </c>
      <c r="W368" s="49" t="s">
        <v>1606</v>
      </c>
    </row>
    <row r="369" spans="1:23" ht="13" customHeight="1" x14ac:dyDescent="0.35">
      <c r="A369" s="11">
        <v>363</v>
      </c>
      <c r="B369" s="47">
        <v>203965492</v>
      </c>
      <c r="C369" s="94" t="s">
        <v>357</v>
      </c>
      <c r="D369" s="11" t="s">
        <v>358</v>
      </c>
      <c r="E369" s="48" t="s">
        <v>31</v>
      </c>
      <c r="F369" s="48" t="s">
        <v>74</v>
      </c>
      <c r="G369" s="11" t="s">
        <v>64</v>
      </c>
      <c r="H369" s="11" t="s">
        <v>75</v>
      </c>
      <c r="I369" s="11">
        <v>1299</v>
      </c>
      <c r="J369" s="49" t="s">
        <v>39</v>
      </c>
      <c r="K369" s="49" t="s">
        <v>76</v>
      </c>
      <c r="L369" s="49" t="s">
        <v>84</v>
      </c>
      <c r="M369" s="49" t="s">
        <v>85</v>
      </c>
      <c r="N369" s="48" t="s">
        <v>79</v>
      </c>
      <c r="O369" s="49" t="s">
        <v>35</v>
      </c>
      <c r="P369" s="11" t="s">
        <v>80</v>
      </c>
      <c r="Q369" s="11" t="s">
        <v>81</v>
      </c>
      <c r="R369" s="11" t="s">
        <v>225</v>
      </c>
      <c r="S369" s="11" t="s">
        <v>2821</v>
      </c>
      <c r="T369" s="90" t="s">
        <v>1</v>
      </c>
      <c r="U369" s="89"/>
      <c r="V369" s="51">
        <v>45544</v>
      </c>
      <c r="W369" s="49" t="s">
        <v>1606</v>
      </c>
    </row>
    <row r="370" spans="1:23" ht="13" customHeight="1" x14ac:dyDescent="0.35">
      <c r="A370" s="11">
        <v>364</v>
      </c>
      <c r="B370" s="47">
        <v>205502951</v>
      </c>
      <c r="C370" s="94" t="s">
        <v>359</v>
      </c>
      <c r="D370" s="11" t="s">
        <v>360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39</v>
      </c>
      <c r="K370" s="49" t="s">
        <v>76</v>
      </c>
      <c r="L370" s="49" t="s">
        <v>88</v>
      </c>
      <c r="M370" s="49" t="s">
        <v>95</v>
      </c>
      <c r="N370" s="49" t="s">
        <v>89</v>
      </c>
      <c r="O370" s="49" t="s">
        <v>35</v>
      </c>
      <c r="P370" s="11" t="s">
        <v>80</v>
      </c>
      <c r="Q370" s="11" t="s">
        <v>96</v>
      </c>
      <c r="R370" s="11" t="s">
        <v>225</v>
      </c>
      <c r="S370" s="11" t="s">
        <v>2821</v>
      </c>
      <c r="T370" s="90" t="s">
        <v>1</v>
      </c>
      <c r="U370" s="90"/>
      <c r="V370" s="51">
        <v>45831</v>
      </c>
      <c r="W370" s="49" t="s">
        <v>1606</v>
      </c>
    </row>
    <row r="371" spans="1:23" ht="13" customHeight="1" x14ac:dyDescent="0.35">
      <c r="A371" s="11">
        <v>365</v>
      </c>
      <c r="B371" s="47">
        <v>203521134</v>
      </c>
      <c r="C371" s="94" t="s">
        <v>361</v>
      </c>
      <c r="D371" s="11" t="s">
        <v>362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232</v>
      </c>
      <c r="S371" s="11" t="s">
        <v>1797</v>
      </c>
      <c r="T371" s="90" t="s">
        <v>1</v>
      </c>
      <c r="U371" s="90"/>
      <c r="V371" s="51">
        <v>45463</v>
      </c>
      <c r="W371" s="49" t="s">
        <v>1606</v>
      </c>
    </row>
    <row r="372" spans="1:23" ht="13" customHeight="1" x14ac:dyDescent="0.35">
      <c r="A372" s="11">
        <v>366</v>
      </c>
      <c r="B372" s="47">
        <v>206886729</v>
      </c>
      <c r="C372" s="94" t="s">
        <v>2638</v>
      </c>
      <c r="D372" s="11" t="s">
        <v>2639</v>
      </c>
      <c r="E372" s="11" t="s">
        <v>31</v>
      </c>
      <c r="F372" s="11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9" t="s">
        <v>79</v>
      </c>
      <c r="O372" s="11" t="s">
        <v>35</v>
      </c>
      <c r="P372" s="11" t="s">
        <v>80</v>
      </c>
      <c r="Q372" s="11" t="s">
        <v>96</v>
      </c>
      <c r="R372" s="11" t="s">
        <v>225</v>
      </c>
      <c r="S372" s="11" t="s">
        <v>2821</v>
      </c>
      <c r="T372" s="90" t="s">
        <v>1</v>
      </c>
      <c r="U372" s="89"/>
      <c r="V372" s="51">
        <v>46027</v>
      </c>
      <c r="W372" s="11" t="s">
        <v>1606</v>
      </c>
    </row>
    <row r="373" spans="1:23" ht="13" customHeight="1" x14ac:dyDescent="0.35">
      <c r="A373" s="11">
        <v>367</v>
      </c>
      <c r="B373" s="47">
        <v>206886638</v>
      </c>
      <c r="C373" s="94" t="s">
        <v>1838</v>
      </c>
      <c r="D373" s="11" t="s">
        <v>1839</v>
      </c>
      <c r="E373" s="11" t="s">
        <v>31</v>
      </c>
      <c r="F373" s="11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9" t="s">
        <v>89</v>
      </c>
      <c r="O373" s="11" t="s">
        <v>35</v>
      </c>
      <c r="P373" s="11" t="s">
        <v>80</v>
      </c>
      <c r="Q373" s="11" t="s">
        <v>96</v>
      </c>
      <c r="R373" s="11" t="s">
        <v>225</v>
      </c>
      <c r="S373" s="11" t="s">
        <v>2821</v>
      </c>
      <c r="T373" s="90" t="s">
        <v>1</v>
      </c>
      <c r="U373" s="91"/>
      <c r="V373" s="51">
        <v>46027</v>
      </c>
      <c r="W373" s="11" t="s">
        <v>1606</v>
      </c>
    </row>
    <row r="374" spans="1:23" ht="13" customHeight="1" x14ac:dyDescent="0.35">
      <c r="A374" s="11">
        <v>368</v>
      </c>
      <c r="B374" s="47">
        <v>206890228</v>
      </c>
      <c r="C374" s="94" t="s">
        <v>1840</v>
      </c>
      <c r="D374" s="11" t="s">
        <v>1841</v>
      </c>
      <c r="E374" s="11" t="s">
        <v>31</v>
      </c>
      <c r="F374" s="11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78</v>
      </c>
      <c r="M374" s="49" t="s">
        <v>92</v>
      </c>
      <c r="N374" s="49" t="s">
        <v>89</v>
      </c>
      <c r="O374" s="11" t="s">
        <v>35</v>
      </c>
      <c r="P374" s="11" t="s">
        <v>80</v>
      </c>
      <c r="Q374" s="11" t="s">
        <v>96</v>
      </c>
      <c r="R374" s="11" t="s">
        <v>225</v>
      </c>
      <c r="S374" s="11" t="s">
        <v>2821</v>
      </c>
      <c r="T374" s="90" t="s">
        <v>7</v>
      </c>
      <c r="U374" s="90" t="s">
        <v>3004</v>
      </c>
      <c r="V374" s="51">
        <v>46027</v>
      </c>
      <c r="W374" s="11" t="s">
        <v>1606</v>
      </c>
    </row>
    <row r="375" spans="1:23" ht="13" customHeight="1" x14ac:dyDescent="0.35">
      <c r="A375" s="11">
        <v>369</v>
      </c>
      <c r="B375" s="47">
        <v>206015637</v>
      </c>
      <c r="C375" s="94" t="s">
        <v>365</v>
      </c>
      <c r="D375" s="11" t="s">
        <v>366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78</v>
      </c>
      <c r="M375" s="49" t="s">
        <v>92</v>
      </c>
      <c r="N375" s="48" t="s">
        <v>79</v>
      </c>
      <c r="O375" s="49" t="s">
        <v>35</v>
      </c>
      <c r="P375" s="11" t="s">
        <v>80</v>
      </c>
      <c r="Q375" s="11" t="s">
        <v>81</v>
      </c>
      <c r="R375" s="11" t="s">
        <v>226</v>
      </c>
      <c r="S375" s="11" t="s">
        <v>227</v>
      </c>
      <c r="T375" s="90" t="s">
        <v>1</v>
      </c>
      <c r="U375" s="90"/>
      <c r="V375" s="51">
        <v>45915</v>
      </c>
      <c r="W375" s="49" t="s">
        <v>1607</v>
      </c>
    </row>
    <row r="376" spans="1:23" ht="13" customHeight="1" x14ac:dyDescent="0.35">
      <c r="A376" s="11">
        <v>370</v>
      </c>
      <c r="B376" s="47">
        <v>206065197</v>
      </c>
      <c r="C376" s="94" t="s">
        <v>367</v>
      </c>
      <c r="D376" s="11" t="s">
        <v>368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32</v>
      </c>
      <c r="K376" s="49" t="s">
        <v>76</v>
      </c>
      <c r="L376" s="49" t="s">
        <v>78</v>
      </c>
      <c r="M376" s="49" t="s">
        <v>92</v>
      </c>
      <c r="N376" s="48" t="s">
        <v>79</v>
      </c>
      <c r="O376" s="49" t="s">
        <v>35</v>
      </c>
      <c r="P376" s="11" t="s">
        <v>80</v>
      </c>
      <c r="Q376" s="11" t="s">
        <v>81</v>
      </c>
      <c r="R376" s="11" t="s">
        <v>226</v>
      </c>
      <c r="S376" s="11" t="s">
        <v>227</v>
      </c>
      <c r="T376" s="90" t="s">
        <v>1</v>
      </c>
      <c r="U376" s="89"/>
      <c r="V376" s="51">
        <v>45922</v>
      </c>
      <c r="W376" s="49" t="s">
        <v>1605</v>
      </c>
    </row>
    <row r="377" spans="1:23" ht="13" customHeight="1" x14ac:dyDescent="0.35">
      <c r="A377" s="11">
        <v>371</v>
      </c>
      <c r="B377" s="47">
        <v>206873556</v>
      </c>
      <c r="C377" s="94" t="s">
        <v>1804</v>
      </c>
      <c r="D377" s="11" t="s">
        <v>1805</v>
      </c>
      <c r="E377" s="48" t="s">
        <v>31</v>
      </c>
      <c r="F377" s="48" t="s">
        <v>74</v>
      </c>
      <c r="G377" s="48" t="s">
        <v>64</v>
      </c>
      <c r="H377" s="48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9" t="s">
        <v>89</v>
      </c>
      <c r="O377" s="48" t="s">
        <v>35</v>
      </c>
      <c r="P377" s="48" t="s">
        <v>80</v>
      </c>
      <c r="Q377" s="11" t="s">
        <v>81</v>
      </c>
      <c r="R377" s="11" t="s">
        <v>226</v>
      </c>
      <c r="S377" s="11" t="s">
        <v>227</v>
      </c>
      <c r="T377" s="90" t="s">
        <v>1</v>
      </c>
      <c r="U377" s="89"/>
      <c r="V377" s="51">
        <v>46020</v>
      </c>
      <c r="W377" s="49" t="s">
        <v>1605</v>
      </c>
    </row>
    <row r="378" spans="1:23" ht="13" customHeight="1" x14ac:dyDescent="0.35">
      <c r="A378" s="11">
        <v>372</v>
      </c>
      <c r="B378" s="47">
        <v>204246158</v>
      </c>
      <c r="C378" s="94" t="s">
        <v>369</v>
      </c>
      <c r="D378" s="11" t="s">
        <v>370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84</v>
      </c>
      <c r="M378" s="49" t="s">
        <v>85</v>
      </c>
      <c r="N378" s="48" t="s">
        <v>86</v>
      </c>
      <c r="O378" s="49" t="s">
        <v>35</v>
      </c>
      <c r="P378" s="11" t="s">
        <v>80</v>
      </c>
      <c r="Q378" s="11" t="s">
        <v>87</v>
      </c>
      <c r="R378" s="11" t="s">
        <v>226</v>
      </c>
      <c r="S378" s="11" t="s">
        <v>227</v>
      </c>
      <c r="T378" s="90" t="s">
        <v>1</v>
      </c>
      <c r="U378" s="89"/>
      <c r="V378" s="51">
        <v>45579</v>
      </c>
      <c r="W378" s="49" t="s">
        <v>1605</v>
      </c>
    </row>
    <row r="379" spans="1:23" ht="13" customHeight="1" x14ac:dyDescent="0.35">
      <c r="A379" s="11">
        <v>373</v>
      </c>
      <c r="B379" s="47">
        <v>205495359</v>
      </c>
      <c r="C379" s="94" t="s">
        <v>2640</v>
      </c>
      <c r="D379" s="11" t="s">
        <v>2641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88</v>
      </c>
      <c r="M379" s="49" t="s">
        <v>95</v>
      </c>
      <c r="N379" s="49" t="s">
        <v>89</v>
      </c>
      <c r="O379" s="49" t="s">
        <v>35</v>
      </c>
      <c r="P379" s="11" t="s">
        <v>80</v>
      </c>
      <c r="Q379" s="11" t="s">
        <v>96</v>
      </c>
      <c r="R379" s="11" t="s">
        <v>225</v>
      </c>
      <c r="S379" s="11" t="s">
        <v>2821</v>
      </c>
      <c r="T379" s="90" t="s">
        <v>1</v>
      </c>
      <c r="U379" s="90"/>
      <c r="V379" s="51">
        <v>45831</v>
      </c>
      <c r="W379" s="49" t="s">
        <v>1606</v>
      </c>
    </row>
    <row r="380" spans="1:23" ht="13" customHeight="1" x14ac:dyDescent="0.35">
      <c r="A380" s="11">
        <v>374</v>
      </c>
      <c r="B380" s="11">
        <v>206873551</v>
      </c>
      <c r="C380" s="94" t="s">
        <v>1828</v>
      </c>
      <c r="D380" s="11" t="s">
        <v>1829</v>
      </c>
      <c r="E380" s="48" t="s">
        <v>31</v>
      </c>
      <c r="F380" s="48" t="s">
        <v>74</v>
      </c>
      <c r="G380" s="48" t="s">
        <v>64</v>
      </c>
      <c r="H380" s="48" t="s">
        <v>75</v>
      </c>
      <c r="I380" s="11">
        <v>1299</v>
      </c>
      <c r="J380" s="49" t="s">
        <v>39</v>
      </c>
      <c r="K380" s="49" t="s">
        <v>76</v>
      </c>
      <c r="L380" s="49" t="s">
        <v>78</v>
      </c>
      <c r="M380" s="49" t="s">
        <v>92</v>
      </c>
      <c r="N380" s="49" t="s">
        <v>89</v>
      </c>
      <c r="O380" s="48" t="s">
        <v>35</v>
      </c>
      <c r="P380" s="48" t="s">
        <v>80</v>
      </c>
      <c r="Q380" s="11" t="s">
        <v>81</v>
      </c>
      <c r="R380" s="11" t="s">
        <v>232</v>
      </c>
      <c r="S380" s="11" t="s">
        <v>1797</v>
      </c>
      <c r="T380" s="90" t="s">
        <v>1</v>
      </c>
      <c r="U380" s="90"/>
      <c r="V380" s="51">
        <v>46020</v>
      </c>
      <c r="W380" s="11" t="s">
        <v>1606</v>
      </c>
    </row>
    <row r="381" spans="1:23" ht="13" customHeight="1" x14ac:dyDescent="0.35">
      <c r="A381" s="11">
        <v>375</v>
      </c>
      <c r="B381" s="47">
        <v>203468401</v>
      </c>
      <c r="C381" s="94" t="s">
        <v>371</v>
      </c>
      <c r="D381" s="11" t="s">
        <v>372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39</v>
      </c>
      <c r="K381" s="49" t="s">
        <v>76</v>
      </c>
      <c r="L381" s="49" t="s">
        <v>95</v>
      </c>
      <c r="M381" s="49" t="s">
        <v>77</v>
      </c>
      <c r="N381" s="48" t="s">
        <v>79</v>
      </c>
      <c r="O381" s="49" t="s">
        <v>35</v>
      </c>
      <c r="P381" s="11" t="s">
        <v>80</v>
      </c>
      <c r="Q381" s="11" t="s">
        <v>81</v>
      </c>
      <c r="R381" s="11" t="s">
        <v>225</v>
      </c>
      <c r="S381" s="11" t="s">
        <v>2821</v>
      </c>
      <c r="T381" s="90" t="s">
        <v>10</v>
      </c>
      <c r="U381" s="90"/>
      <c r="V381" s="51">
        <v>45456</v>
      </c>
      <c r="W381" s="49" t="s">
        <v>1606</v>
      </c>
    </row>
    <row r="382" spans="1:23" ht="13" customHeight="1" x14ac:dyDescent="0.35">
      <c r="A382" s="11">
        <v>376</v>
      </c>
      <c r="B382" s="11">
        <v>206873639</v>
      </c>
      <c r="C382" s="94" t="s">
        <v>1832</v>
      </c>
      <c r="D382" s="11" t="s">
        <v>1833</v>
      </c>
      <c r="E382" s="48" t="s">
        <v>31</v>
      </c>
      <c r="F382" s="48" t="s">
        <v>74</v>
      </c>
      <c r="G382" s="48" t="s">
        <v>64</v>
      </c>
      <c r="H382" s="48" t="s">
        <v>75</v>
      </c>
      <c r="I382" s="11">
        <v>1299</v>
      </c>
      <c r="J382" s="49" t="s">
        <v>32</v>
      </c>
      <c r="K382" s="49" t="s">
        <v>76</v>
      </c>
      <c r="L382" s="49" t="s">
        <v>78</v>
      </c>
      <c r="M382" s="49" t="s">
        <v>92</v>
      </c>
      <c r="N382" s="49" t="s">
        <v>89</v>
      </c>
      <c r="O382" s="48" t="s">
        <v>35</v>
      </c>
      <c r="P382" s="48" t="s">
        <v>80</v>
      </c>
      <c r="Q382" s="11" t="s">
        <v>81</v>
      </c>
      <c r="R382" s="11" t="s">
        <v>232</v>
      </c>
      <c r="S382" s="11" t="s">
        <v>1797</v>
      </c>
      <c r="T382" s="90" t="s">
        <v>1</v>
      </c>
      <c r="U382" s="91"/>
      <c r="V382" s="51">
        <v>46020</v>
      </c>
      <c r="W382" s="11" t="s">
        <v>1606</v>
      </c>
    </row>
    <row r="383" spans="1:23" ht="13" customHeight="1" x14ac:dyDescent="0.35">
      <c r="A383" s="11">
        <v>377</v>
      </c>
      <c r="B383" s="47">
        <v>206504141</v>
      </c>
      <c r="C383" s="94" t="s">
        <v>2642</v>
      </c>
      <c r="D383" s="11" t="s">
        <v>2643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78</v>
      </c>
      <c r="M383" s="49" t="s">
        <v>92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232</v>
      </c>
      <c r="S383" s="11" t="s">
        <v>1797</v>
      </c>
      <c r="T383" s="90" t="s">
        <v>1</v>
      </c>
      <c r="U383" s="91"/>
      <c r="V383" s="51">
        <v>45971</v>
      </c>
      <c r="W383" s="49" t="s">
        <v>1606</v>
      </c>
    </row>
    <row r="384" spans="1:23" ht="13" customHeight="1" x14ac:dyDescent="0.35">
      <c r="A384" s="11">
        <v>378</v>
      </c>
      <c r="B384" s="47">
        <v>203468395</v>
      </c>
      <c r="C384" s="94" t="s">
        <v>373</v>
      </c>
      <c r="D384" s="11" t="s">
        <v>374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78</v>
      </c>
      <c r="M384" s="49" t="s">
        <v>92</v>
      </c>
      <c r="N384" s="48" t="s">
        <v>79</v>
      </c>
      <c r="O384" s="49" t="s">
        <v>35</v>
      </c>
      <c r="P384" s="11" t="s">
        <v>80</v>
      </c>
      <c r="Q384" s="11" t="s">
        <v>81</v>
      </c>
      <c r="R384" s="11" t="s">
        <v>225</v>
      </c>
      <c r="S384" s="11" t="s">
        <v>2821</v>
      </c>
      <c r="T384" s="90" t="s">
        <v>1</v>
      </c>
      <c r="U384" s="91"/>
      <c r="V384" s="51">
        <v>45456</v>
      </c>
      <c r="W384" s="49" t="s">
        <v>1606</v>
      </c>
    </row>
    <row r="385" spans="1:23" ht="13" customHeight="1" x14ac:dyDescent="0.35">
      <c r="A385" s="11">
        <v>379</v>
      </c>
      <c r="B385" s="47">
        <v>204406416</v>
      </c>
      <c r="C385" s="94" t="s">
        <v>375</v>
      </c>
      <c r="D385" s="11" t="s">
        <v>376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78</v>
      </c>
      <c r="M385" s="49" t="s">
        <v>92</v>
      </c>
      <c r="N385" s="48" t="s">
        <v>86</v>
      </c>
      <c r="O385" s="49" t="s">
        <v>35</v>
      </c>
      <c r="P385" s="11" t="s">
        <v>80</v>
      </c>
      <c r="Q385" s="11" t="s">
        <v>87</v>
      </c>
      <c r="R385" s="11" t="s">
        <v>225</v>
      </c>
      <c r="S385" s="11" t="s">
        <v>2821</v>
      </c>
      <c r="T385" s="90" t="s">
        <v>1</v>
      </c>
      <c r="U385" s="89"/>
      <c r="V385" s="51">
        <v>45596</v>
      </c>
      <c r="W385" s="49" t="s">
        <v>1607</v>
      </c>
    </row>
    <row r="386" spans="1:23" ht="13" customHeight="1" x14ac:dyDescent="0.35">
      <c r="A386" s="11">
        <v>380</v>
      </c>
      <c r="B386" s="47">
        <v>203741324</v>
      </c>
      <c r="C386" s="94" t="s">
        <v>377</v>
      </c>
      <c r="D386" s="11" t="s">
        <v>378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85</v>
      </c>
      <c r="M386" s="49" t="s">
        <v>88</v>
      </c>
      <c r="N386" s="48" t="s">
        <v>79</v>
      </c>
      <c r="O386" s="49" t="s">
        <v>35</v>
      </c>
      <c r="P386" s="11" t="s">
        <v>80</v>
      </c>
      <c r="Q386" s="11" t="s">
        <v>81</v>
      </c>
      <c r="R386" s="11" t="s">
        <v>225</v>
      </c>
      <c r="S386" s="11" t="s">
        <v>2821</v>
      </c>
      <c r="T386" s="90" t="s">
        <v>1</v>
      </c>
      <c r="U386" s="91"/>
      <c r="V386" s="51">
        <v>45502</v>
      </c>
      <c r="W386" s="49" t="s">
        <v>1606</v>
      </c>
    </row>
    <row r="387" spans="1:23" ht="13" customHeight="1" x14ac:dyDescent="0.35">
      <c r="A387" s="11">
        <v>381</v>
      </c>
      <c r="B387" s="47">
        <v>203816301</v>
      </c>
      <c r="C387" s="94" t="s">
        <v>2644</v>
      </c>
      <c r="D387" s="11" t="s">
        <v>2645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84</v>
      </c>
      <c r="M387" s="49" t="s">
        <v>85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226</v>
      </c>
      <c r="S387" s="11" t="s">
        <v>227</v>
      </c>
      <c r="T387" s="90" t="s">
        <v>1</v>
      </c>
      <c r="U387" s="89"/>
      <c r="V387" s="51">
        <v>45518</v>
      </c>
      <c r="W387" s="49" t="s">
        <v>1606</v>
      </c>
    </row>
    <row r="388" spans="1:23" ht="13" customHeight="1" x14ac:dyDescent="0.35">
      <c r="A388" s="11">
        <v>382</v>
      </c>
      <c r="B388" s="47">
        <v>203800383</v>
      </c>
      <c r="C388" s="94" t="s">
        <v>2646</v>
      </c>
      <c r="D388" s="11" t="s">
        <v>2647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84</v>
      </c>
      <c r="M388" s="49" t="s">
        <v>85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225</v>
      </c>
      <c r="S388" s="11" t="s">
        <v>2821</v>
      </c>
      <c r="T388" s="90" t="s">
        <v>1</v>
      </c>
      <c r="U388" s="89"/>
      <c r="V388" s="51">
        <v>45516</v>
      </c>
      <c r="W388" s="49" t="s">
        <v>1607</v>
      </c>
    </row>
    <row r="389" spans="1:23" ht="13" customHeight="1" x14ac:dyDescent="0.35">
      <c r="A389" s="11">
        <v>383</v>
      </c>
      <c r="B389" s="47">
        <v>203521427</v>
      </c>
      <c r="C389" s="94" t="s">
        <v>379</v>
      </c>
      <c r="D389" s="11" t="s">
        <v>380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95</v>
      </c>
      <c r="M389" s="49" t="s">
        <v>77</v>
      </c>
      <c r="N389" s="48" t="s">
        <v>79</v>
      </c>
      <c r="O389" s="49" t="s">
        <v>35</v>
      </c>
      <c r="P389" s="11" t="s">
        <v>80</v>
      </c>
      <c r="Q389" s="11" t="s">
        <v>81</v>
      </c>
      <c r="R389" s="11" t="s">
        <v>226</v>
      </c>
      <c r="S389" s="11" t="s">
        <v>227</v>
      </c>
      <c r="T389" s="90" t="s">
        <v>10</v>
      </c>
      <c r="U389" s="91"/>
      <c r="V389" s="51">
        <v>45463</v>
      </c>
      <c r="W389" s="49" t="s">
        <v>1604</v>
      </c>
    </row>
    <row r="390" spans="1:23" ht="13" customHeight="1" x14ac:dyDescent="0.35">
      <c r="A390" s="11">
        <v>384</v>
      </c>
      <c r="B390" s="47">
        <v>203965502</v>
      </c>
      <c r="C390" s="94" t="s">
        <v>382</v>
      </c>
      <c r="D390" s="11" t="s">
        <v>383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78</v>
      </c>
      <c r="M390" s="49" t="s">
        <v>92</v>
      </c>
      <c r="N390" s="48" t="s">
        <v>79</v>
      </c>
      <c r="O390" s="49" t="s">
        <v>35</v>
      </c>
      <c r="P390" s="11" t="s">
        <v>80</v>
      </c>
      <c r="Q390" s="11" t="s">
        <v>81</v>
      </c>
      <c r="R390" s="11" t="s">
        <v>226</v>
      </c>
      <c r="S390" s="11" t="s">
        <v>227</v>
      </c>
      <c r="T390" s="90" t="s">
        <v>1</v>
      </c>
      <c r="U390" s="89"/>
      <c r="V390" s="51">
        <v>45544</v>
      </c>
      <c r="W390" s="49" t="s">
        <v>1606</v>
      </c>
    </row>
    <row r="391" spans="1:23" ht="13" customHeight="1" x14ac:dyDescent="0.35">
      <c r="A391" s="11">
        <v>385</v>
      </c>
      <c r="B391" s="47">
        <v>206072868</v>
      </c>
      <c r="C391" s="94" t="s">
        <v>384</v>
      </c>
      <c r="D391" s="11" t="s">
        <v>385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85</v>
      </c>
      <c r="M391" s="49" t="s">
        <v>88</v>
      </c>
      <c r="N391" s="49" t="s">
        <v>89</v>
      </c>
      <c r="O391" s="49" t="s">
        <v>35</v>
      </c>
      <c r="P391" s="11" t="s">
        <v>80</v>
      </c>
      <c r="Q391" s="11" t="s">
        <v>81</v>
      </c>
      <c r="R391" s="11" t="s">
        <v>232</v>
      </c>
      <c r="S391" s="11" t="s">
        <v>1797</v>
      </c>
      <c r="T391" s="90" t="s">
        <v>7</v>
      </c>
      <c r="U391" s="90" t="s">
        <v>3004</v>
      </c>
      <c r="V391" s="51">
        <v>45922</v>
      </c>
      <c r="W391" s="49" t="s">
        <v>1606</v>
      </c>
    </row>
    <row r="392" spans="1:23" ht="13" customHeight="1" x14ac:dyDescent="0.35">
      <c r="A392" s="11">
        <v>386</v>
      </c>
      <c r="B392" s="47">
        <v>206504132</v>
      </c>
      <c r="C392" s="94" t="s">
        <v>2648</v>
      </c>
      <c r="D392" s="11" t="s">
        <v>2649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8" t="s">
        <v>86</v>
      </c>
      <c r="O392" s="49" t="s">
        <v>35</v>
      </c>
      <c r="P392" s="11" t="s">
        <v>80</v>
      </c>
      <c r="Q392" s="11" t="s">
        <v>90</v>
      </c>
      <c r="R392" s="11" t="s">
        <v>232</v>
      </c>
      <c r="S392" s="11" t="s">
        <v>1797</v>
      </c>
      <c r="T392" s="90" t="s">
        <v>1</v>
      </c>
      <c r="U392" s="90"/>
      <c r="V392" s="51">
        <v>45971</v>
      </c>
      <c r="W392" s="49" t="s">
        <v>1606</v>
      </c>
    </row>
    <row r="393" spans="1:23" ht="13" customHeight="1" x14ac:dyDescent="0.35">
      <c r="A393" s="11">
        <v>387</v>
      </c>
      <c r="B393" s="47">
        <v>205608625</v>
      </c>
      <c r="C393" s="94" t="s">
        <v>386</v>
      </c>
      <c r="D393" s="11" t="s">
        <v>387</v>
      </c>
      <c r="E393" s="48" t="s">
        <v>31</v>
      </c>
      <c r="F393" s="48" t="s">
        <v>74</v>
      </c>
      <c r="G393" s="11" t="s">
        <v>64</v>
      </c>
      <c r="H393" s="11" t="s">
        <v>75</v>
      </c>
      <c r="I393" s="11">
        <v>1299</v>
      </c>
      <c r="J393" s="49" t="s">
        <v>39</v>
      </c>
      <c r="K393" s="49" t="s">
        <v>76</v>
      </c>
      <c r="L393" s="49" t="s">
        <v>88</v>
      </c>
      <c r="M393" s="49" t="s">
        <v>95</v>
      </c>
      <c r="N393" s="48" t="s">
        <v>86</v>
      </c>
      <c r="O393" s="49" t="s">
        <v>35</v>
      </c>
      <c r="P393" s="11" t="s">
        <v>80</v>
      </c>
      <c r="Q393" s="11" t="s">
        <v>90</v>
      </c>
      <c r="R393" s="11" t="s">
        <v>225</v>
      </c>
      <c r="S393" s="11" t="s">
        <v>2821</v>
      </c>
      <c r="T393" s="90" t="s">
        <v>1</v>
      </c>
      <c r="U393" s="90"/>
      <c r="V393" s="51">
        <v>45845</v>
      </c>
      <c r="W393" s="49" t="s">
        <v>1606</v>
      </c>
    </row>
    <row r="394" spans="1:23" ht="13" customHeight="1" x14ac:dyDescent="0.35">
      <c r="A394" s="11">
        <v>389</v>
      </c>
      <c r="B394" s="11">
        <v>206873552</v>
      </c>
      <c r="C394" s="94" t="s">
        <v>1826</v>
      </c>
      <c r="D394" s="11" t="s">
        <v>1827</v>
      </c>
      <c r="E394" s="48" t="s">
        <v>31</v>
      </c>
      <c r="F394" s="48" t="s">
        <v>74</v>
      </c>
      <c r="G394" s="48" t="s">
        <v>64</v>
      </c>
      <c r="H394" s="48" t="s">
        <v>75</v>
      </c>
      <c r="I394" s="11">
        <v>1299</v>
      </c>
      <c r="J394" s="49" t="s">
        <v>32</v>
      </c>
      <c r="K394" s="49" t="s">
        <v>76</v>
      </c>
      <c r="L394" s="49" t="s">
        <v>78</v>
      </c>
      <c r="M394" s="49" t="s">
        <v>92</v>
      </c>
      <c r="N394" s="49" t="s">
        <v>89</v>
      </c>
      <c r="O394" s="48" t="s">
        <v>35</v>
      </c>
      <c r="P394" s="48" t="s">
        <v>80</v>
      </c>
      <c r="Q394" s="11" t="s">
        <v>81</v>
      </c>
      <c r="R394" s="11" t="s">
        <v>232</v>
      </c>
      <c r="S394" s="11" t="s">
        <v>1797</v>
      </c>
      <c r="T394" s="90" t="s">
        <v>1</v>
      </c>
      <c r="U394" s="89"/>
      <c r="V394" s="51">
        <v>46020</v>
      </c>
      <c r="W394" s="11" t="s">
        <v>1606</v>
      </c>
    </row>
    <row r="395" spans="1:23" ht="13" customHeight="1" x14ac:dyDescent="0.35">
      <c r="A395" s="11">
        <v>390</v>
      </c>
      <c r="B395" s="47">
        <v>202218633</v>
      </c>
      <c r="C395" s="94" t="s">
        <v>388</v>
      </c>
      <c r="D395" s="11" t="s">
        <v>389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85</v>
      </c>
      <c r="M395" s="49" t="s">
        <v>88</v>
      </c>
      <c r="N395" s="48" t="s">
        <v>86</v>
      </c>
      <c r="O395" s="49" t="s">
        <v>35</v>
      </c>
      <c r="P395" s="11" t="s">
        <v>80</v>
      </c>
      <c r="Q395" s="11" t="s">
        <v>87</v>
      </c>
      <c r="R395" s="11" t="s">
        <v>225</v>
      </c>
      <c r="S395" s="11" t="s">
        <v>2821</v>
      </c>
      <c r="T395" s="90" t="s">
        <v>1</v>
      </c>
      <c r="U395" s="91"/>
      <c r="V395" s="51">
        <v>45586</v>
      </c>
      <c r="W395" s="49" t="s">
        <v>1606</v>
      </c>
    </row>
    <row r="396" spans="1:23" ht="13" customHeight="1" x14ac:dyDescent="0.35">
      <c r="A396" s="11">
        <v>391</v>
      </c>
      <c r="B396" s="47">
        <v>206073369</v>
      </c>
      <c r="C396" s="94" t="s">
        <v>390</v>
      </c>
      <c r="D396" s="11" t="s">
        <v>391</v>
      </c>
      <c r="E396" s="48" t="s">
        <v>31</v>
      </c>
      <c r="F396" s="48" t="s">
        <v>74</v>
      </c>
      <c r="G396" s="11" t="s">
        <v>64</v>
      </c>
      <c r="H396" s="11" t="s">
        <v>75</v>
      </c>
      <c r="I396" s="11">
        <v>1299</v>
      </c>
      <c r="J396" s="49" t="s">
        <v>32</v>
      </c>
      <c r="K396" s="49" t="s">
        <v>76</v>
      </c>
      <c r="L396" s="49" t="s">
        <v>78</v>
      </c>
      <c r="M396" s="49" t="s">
        <v>92</v>
      </c>
      <c r="N396" s="49" t="s">
        <v>89</v>
      </c>
      <c r="O396" s="49" t="s">
        <v>35</v>
      </c>
      <c r="P396" s="11" t="s">
        <v>80</v>
      </c>
      <c r="Q396" s="11" t="s">
        <v>81</v>
      </c>
      <c r="R396" s="11" t="s">
        <v>226</v>
      </c>
      <c r="S396" s="11" t="s">
        <v>227</v>
      </c>
      <c r="T396" s="90" t="s">
        <v>1</v>
      </c>
      <c r="U396" s="89"/>
      <c r="V396" s="51">
        <v>45922</v>
      </c>
      <c r="W396" s="49" t="s">
        <v>1605</v>
      </c>
    </row>
    <row r="397" spans="1:23" ht="13" customHeight="1" x14ac:dyDescent="0.35">
      <c r="A397" s="11">
        <v>392</v>
      </c>
      <c r="B397" s="47">
        <v>206874115</v>
      </c>
      <c r="C397" s="94" t="s">
        <v>2650</v>
      </c>
      <c r="D397" s="11" t="s">
        <v>2651</v>
      </c>
      <c r="E397" s="48" t="s">
        <v>31</v>
      </c>
      <c r="F397" s="48" t="s">
        <v>74</v>
      </c>
      <c r="G397" s="48" t="s">
        <v>64</v>
      </c>
      <c r="H397" s="48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8" t="s">
        <v>35</v>
      </c>
      <c r="P397" s="48" t="s">
        <v>80</v>
      </c>
      <c r="Q397" s="11" t="s">
        <v>90</v>
      </c>
      <c r="R397" s="11" t="s">
        <v>232</v>
      </c>
      <c r="S397" s="11" t="s">
        <v>1797</v>
      </c>
      <c r="T397" s="90" t="s">
        <v>1</v>
      </c>
      <c r="U397" s="91"/>
      <c r="V397" s="51">
        <v>46020</v>
      </c>
      <c r="W397" s="49" t="s">
        <v>1606</v>
      </c>
    </row>
    <row r="398" spans="1:23" ht="13" customHeight="1" x14ac:dyDescent="0.35">
      <c r="A398" s="11">
        <v>393</v>
      </c>
      <c r="B398" s="11">
        <v>206873567</v>
      </c>
      <c r="C398" s="94" t="s">
        <v>1820</v>
      </c>
      <c r="D398" s="11" t="s">
        <v>1821</v>
      </c>
      <c r="E398" s="48" t="s">
        <v>31</v>
      </c>
      <c r="F398" s="48" t="s">
        <v>74</v>
      </c>
      <c r="G398" s="48" t="s">
        <v>64</v>
      </c>
      <c r="H398" s="48" t="s">
        <v>75</v>
      </c>
      <c r="I398" s="11">
        <v>1299</v>
      </c>
      <c r="J398" s="49" t="s">
        <v>32</v>
      </c>
      <c r="K398" s="49" t="s">
        <v>76</v>
      </c>
      <c r="L398" s="49" t="s">
        <v>78</v>
      </c>
      <c r="M398" s="49" t="s">
        <v>92</v>
      </c>
      <c r="N398" s="49" t="s">
        <v>89</v>
      </c>
      <c r="O398" s="48" t="s">
        <v>35</v>
      </c>
      <c r="P398" s="48" t="s">
        <v>80</v>
      </c>
      <c r="Q398" s="11" t="s">
        <v>81</v>
      </c>
      <c r="R398" s="11" t="s">
        <v>232</v>
      </c>
      <c r="S398" s="11" t="s">
        <v>1797</v>
      </c>
      <c r="T398" s="90" t="s">
        <v>7</v>
      </c>
      <c r="U398" s="90" t="s">
        <v>3004</v>
      </c>
      <c r="V398" s="51">
        <v>46020</v>
      </c>
      <c r="W398" s="49" t="s">
        <v>1606</v>
      </c>
    </row>
    <row r="399" spans="1:23" ht="13" customHeight="1" x14ac:dyDescent="0.35">
      <c r="A399" s="11">
        <v>394</v>
      </c>
      <c r="B399" s="47">
        <v>203737200</v>
      </c>
      <c r="C399" s="94" t="s">
        <v>2652</v>
      </c>
      <c r="D399" s="11" t="s">
        <v>2653</v>
      </c>
      <c r="E399" s="48" t="s">
        <v>31</v>
      </c>
      <c r="F399" s="48" t="s">
        <v>74</v>
      </c>
      <c r="G399" s="11" t="s">
        <v>64</v>
      </c>
      <c r="H399" s="11" t="s">
        <v>75</v>
      </c>
      <c r="I399" s="11">
        <v>1299</v>
      </c>
      <c r="J399" s="49" t="s">
        <v>32</v>
      </c>
      <c r="K399" s="49" t="s">
        <v>76</v>
      </c>
      <c r="L399" s="49" t="s">
        <v>85</v>
      </c>
      <c r="M399" s="49" t="s">
        <v>88</v>
      </c>
      <c r="N399" s="48" t="s">
        <v>86</v>
      </c>
      <c r="O399" s="49" t="s">
        <v>35</v>
      </c>
      <c r="P399" s="11" t="s">
        <v>80</v>
      </c>
      <c r="Q399" s="11" t="s">
        <v>90</v>
      </c>
      <c r="R399" s="11" t="s">
        <v>232</v>
      </c>
      <c r="S399" s="11" t="s">
        <v>1797</v>
      </c>
      <c r="T399" s="90" t="s">
        <v>1</v>
      </c>
      <c r="U399" s="90"/>
      <c r="V399" s="51">
        <v>45502</v>
      </c>
      <c r="W399" s="49" t="s">
        <v>1606</v>
      </c>
    </row>
    <row r="400" spans="1:23" ht="13" customHeight="1" x14ac:dyDescent="0.35">
      <c r="A400" s="11">
        <v>395</v>
      </c>
      <c r="B400" s="47">
        <v>206873643</v>
      </c>
      <c r="C400" s="94" t="s">
        <v>1806</v>
      </c>
      <c r="D400" s="11" t="s">
        <v>1807</v>
      </c>
      <c r="E400" s="48" t="s">
        <v>31</v>
      </c>
      <c r="F400" s="48" t="s">
        <v>74</v>
      </c>
      <c r="G400" s="48" t="s">
        <v>64</v>
      </c>
      <c r="H400" s="48" t="s">
        <v>75</v>
      </c>
      <c r="I400" s="11">
        <v>1299</v>
      </c>
      <c r="J400" s="49" t="s">
        <v>32</v>
      </c>
      <c r="K400" s="49" t="s">
        <v>76</v>
      </c>
      <c r="L400" s="49" t="s">
        <v>78</v>
      </c>
      <c r="M400" s="49" t="s">
        <v>92</v>
      </c>
      <c r="N400" s="49" t="s">
        <v>89</v>
      </c>
      <c r="O400" s="48" t="s">
        <v>35</v>
      </c>
      <c r="P400" s="48" t="s">
        <v>80</v>
      </c>
      <c r="Q400" s="11" t="s">
        <v>81</v>
      </c>
      <c r="R400" s="11" t="s">
        <v>232</v>
      </c>
      <c r="S400" s="11" t="s">
        <v>1797</v>
      </c>
      <c r="T400" s="90" t="s">
        <v>1</v>
      </c>
      <c r="U400" s="91"/>
      <c r="V400" s="51">
        <v>46020</v>
      </c>
      <c r="W400" s="49" t="s">
        <v>1606</v>
      </c>
    </row>
    <row r="401" spans="1:23" ht="13" customHeight="1" x14ac:dyDescent="0.35">
      <c r="A401" s="11">
        <v>396</v>
      </c>
      <c r="B401" s="47">
        <v>204246601</v>
      </c>
      <c r="C401" s="94" t="s">
        <v>392</v>
      </c>
      <c r="D401" s="11" t="s">
        <v>393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39</v>
      </c>
      <c r="K401" s="49" t="s">
        <v>76</v>
      </c>
      <c r="L401" s="49" t="s">
        <v>84</v>
      </c>
      <c r="M401" s="49" t="s">
        <v>85</v>
      </c>
      <c r="N401" s="48" t="s">
        <v>86</v>
      </c>
      <c r="O401" s="49" t="s">
        <v>35</v>
      </c>
      <c r="P401" s="11" t="s">
        <v>80</v>
      </c>
      <c r="Q401" s="11" t="s">
        <v>87</v>
      </c>
      <c r="R401" s="11" t="s">
        <v>225</v>
      </c>
      <c r="S401" s="11" t="s">
        <v>2821</v>
      </c>
      <c r="T401" s="90" t="s">
        <v>1</v>
      </c>
      <c r="U401" s="89"/>
      <c r="V401" s="51">
        <v>45579</v>
      </c>
      <c r="W401" s="49" t="s">
        <v>1606</v>
      </c>
    </row>
    <row r="402" spans="1:23" ht="13" customHeight="1" x14ac:dyDescent="0.35">
      <c r="A402" s="11">
        <v>397</v>
      </c>
      <c r="B402" s="47">
        <v>206874042</v>
      </c>
      <c r="C402" s="94" t="s">
        <v>2654</v>
      </c>
      <c r="D402" s="11" t="s">
        <v>2655</v>
      </c>
      <c r="E402" s="48" t="s">
        <v>31</v>
      </c>
      <c r="F402" s="48" t="s">
        <v>74</v>
      </c>
      <c r="G402" s="48" t="s">
        <v>64</v>
      </c>
      <c r="H402" s="48" t="s">
        <v>75</v>
      </c>
      <c r="I402" s="11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9" t="s">
        <v>89</v>
      </c>
      <c r="O402" s="48" t="s">
        <v>35</v>
      </c>
      <c r="P402" s="48" t="s">
        <v>80</v>
      </c>
      <c r="Q402" s="11" t="s">
        <v>90</v>
      </c>
      <c r="R402" s="11" t="s">
        <v>232</v>
      </c>
      <c r="S402" s="11" t="s">
        <v>1797</v>
      </c>
      <c r="T402" s="90" t="s">
        <v>1</v>
      </c>
      <c r="U402" s="90"/>
      <c r="V402" s="51">
        <v>46020</v>
      </c>
      <c r="W402" s="49" t="s">
        <v>1606</v>
      </c>
    </row>
    <row r="403" spans="1:23" ht="13" customHeight="1" x14ac:dyDescent="0.35">
      <c r="A403" s="11">
        <v>398</v>
      </c>
      <c r="B403" s="47">
        <v>206846115</v>
      </c>
      <c r="C403" s="94" t="s">
        <v>2656</v>
      </c>
      <c r="D403" s="47" t="s">
        <v>2657</v>
      </c>
      <c r="E403" s="47" t="s">
        <v>31</v>
      </c>
      <c r="F403" s="47" t="s">
        <v>74</v>
      </c>
      <c r="G403" s="47" t="s">
        <v>64</v>
      </c>
      <c r="H403" s="47" t="s">
        <v>75</v>
      </c>
      <c r="I403" s="47">
        <v>1299</v>
      </c>
      <c r="J403" s="49" t="s">
        <v>32</v>
      </c>
      <c r="K403" s="49" t="s">
        <v>76</v>
      </c>
      <c r="L403" s="49" t="s">
        <v>78</v>
      </c>
      <c r="M403" s="49" t="s">
        <v>92</v>
      </c>
      <c r="N403" s="49" t="s">
        <v>89</v>
      </c>
      <c r="O403" s="47" t="s">
        <v>35</v>
      </c>
      <c r="P403" s="47" t="s">
        <v>80</v>
      </c>
      <c r="Q403" s="47" t="s">
        <v>90</v>
      </c>
      <c r="R403" s="11" t="s">
        <v>232</v>
      </c>
      <c r="S403" s="47" t="s">
        <v>1797</v>
      </c>
      <c r="T403" s="90" t="s">
        <v>1</v>
      </c>
      <c r="U403" s="89"/>
      <c r="V403" s="51">
        <v>46013</v>
      </c>
      <c r="W403" s="47" t="s">
        <v>1606</v>
      </c>
    </row>
    <row r="404" spans="1:23" ht="13" customHeight="1" x14ac:dyDescent="0.35">
      <c r="A404" s="11">
        <v>399</v>
      </c>
      <c r="B404" s="47">
        <v>203816298</v>
      </c>
      <c r="C404" s="94" t="s">
        <v>2658</v>
      </c>
      <c r="D404" s="11" t="s">
        <v>2659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32</v>
      </c>
      <c r="K404" s="49" t="s">
        <v>76</v>
      </c>
      <c r="L404" s="49" t="s">
        <v>78</v>
      </c>
      <c r="M404" s="49" t="s">
        <v>92</v>
      </c>
      <c r="N404" s="48" t="s">
        <v>86</v>
      </c>
      <c r="O404" s="49" t="s">
        <v>35</v>
      </c>
      <c r="P404" s="11" t="s">
        <v>80</v>
      </c>
      <c r="Q404" s="11" t="s">
        <v>90</v>
      </c>
      <c r="R404" s="11" t="s">
        <v>226</v>
      </c>
      <c r="S404" s="11" t="s">
        <v>227</v>
      </c>
      <c r="T404" s="90" t="s">
        <v>1</v>
      </c>
      <c r="U404" s="89"/>
      <c r="V404" s="51">
        <v>45826</v>
      </c>
      <c r="W404" s="49" t="s">
        <v>1606</v>
      </c>
    </row>
    <row r="405" spans="1:23" ht="13" customHeight="1" x14ac:dyDescent="0.35">
      <c r="A405" s="11">
        <v>400</v>
      </c>
      <c r="B405" s="47">
        <v>204246603</v>
      </c>
      <c r="C405" s="94" t="s">
        <v>394</v>
      </c>
      <c r="D405" s="11" t="s">
        <v>395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85</v>
      </c>
      <c r="M405" s="49" t="s">
        <v>88</v>
      </c>
      <c r="N405" s="48" t="s">
        <v>86</v>
      </c>
      <c r="O405" s="49" t="s">
        <v>35</v>
      </c>
      <c r="P405" s="11" t="s">
        <v>80</v>
      </c>
      <c r="Q405" s="11" t="s">
        <v>87</v>
      </c>
      <c r="R405" s="11" t="s">
        <v>225</v>
      </c>
      <c r="S405" s="11" t="s">
        <v>2821</v>
      </c>
      <c r="T405" s="90" t="s">
        <v>1</v>
      </c>
      <c r="U405" s="89"/>
      <c r="V405" s="51">
        <v>45579</v>
      </c>
      <c r="W405" s="49" t="s">
        <v>1606</v>
      </c>
    </row>
    <row r="406" spans="1:23" ht="13" customHeight="1" x14ac:dyDescent="0.35">
      <c r="A406" s="11">
        <v>401</v>
      </c>
      <c r="B406" s="47">
        <v>205977115</v>
      </c>
      <c r="C406" s="94" t="s">
        <v>396</v>
      </c>
      <c r="D406" s="11" t="s">
        <v>397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225</v>
      </c>
      <c r="S406" s="11" t="s">
        <v>2821</v>
      </c>
      <c r="T406" s="90" t="s">
        <v>1</v>
      </c>
      <c r="U406" s="91" t="s">
        <v>3003</v>
      </c>
      <c r="V406" s="51">
        <v>45915</v>
      </c>
      <c r="W406" s="49" t="s">
        <v>1606</v>
      </c>
    </row>
    <row r="407" spans="1:23" ht="13" customHeight="1" x14ac:dyDescent="0.35">
      <c r="A407" s="11">
        <v>402</v>
      </c>
      <c r="B407" s="47">
        <v>206504129</v>
      </c>
      <c r="C407" s="94" t="s">
        <v>2660</v>
      </c>
      <c r="D407" s="11" t="s">
        <v>2661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78</v>
      </c>
      <c r="M407" s="49" t="s">
        <v>92</v>
      </c>
      <c r="N407" s="48" t="s">
        <v>86</v>
      </c>
      <c r="O407" s="49" t="s">
        <v>35</v>
      </c>
      <c r="P407" s="11" t="s">
        <v>80</v>
      </c>
      <c r="Q407" s="11" t="s">
        <v>90</v>
      </c>
      <c r="R407" s="11" t="s">
        <v>225</v>
      </c>
      <c r="S407" s="11" t="s">
        <v>2821</v>
      </c>
      <c r="T407" s="90" t="s">
        <v>1</v>
      </c>
      <c r="U407" s="89"/>
      <c r="V407" s="51">
        <v>45971</v>
      </c>
      <c r="W407" s="49" t="s">
        <v>1606</v>
      </c>
    </row>
    <row r="408" spans="1:23" ht="13" customHeight="1" x14ac:dyDescent="0.35">
      <c r="A408" s="11">
        <v>403</v>
      </c>
      <c r="B408" s="47">
        <v>203521425</v>
      </c>
      <c r="C408" s="94" t="s">
        <v>398</v>
      </c>
      <c r="D408" s="11" t="s">
        <v>399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32</v>
      </c>
      <c r="K408" s="49" t="s">
        <v>76</v>
      </c>
      <c r="L408" s="49" t="s">
        <v>95</v>
      </c>
      <c r="M408" s="49" t="s">
        <v>77</v>
      </c>
      <c r="N408" s="48" t="s">
        <v>79</v>
      </c>
      <c r="O408" s="49" t="s">
        <v>35</v>
      </c>
      <c r="P408" s="11" t="s">
        <v>80</v>
      </c>
      <c r="Q408" s="11" t="s">
        <v>81</v>
      </c>
      <c r="R408" s="11" t="s">
        <v>226</v>
      </c>
      <c r="S408" s="11" t="s">
        <v>227</v>
      </c>
      <c r="T408" s="90" t="s">
        <v>10</v>
      </c>
      <c r="U408" s="89"/>
      <c r="V408" s="51">
        <v>45463</v>
      </c>
      <c r="W408" s="49" t="s">
        <v>1605</v>
      </c>
    </row>
    <row r="409" spans="1:23" ht="13" customHeight="1" x14ac:dyDescent="0.35">
      <c r="A409" s="11">
        <v>404</v>
      </c>
      <c r="B409" s="47">
        <v>203736254</v>
      </c>
      <c r="C409" s="94" t="s">
        <v>2662</v>
      </c>
      <c r="D409" s="11" t="s">
        <v>2663</v>
      </c>
      <c r="E409" s="48" t="s">
        <v>31</v>
      </c>
      <c r="F409" s="48" t="s">
        <v>74</v>
      </c>
      <c r="G409" s="11" t="s">
        <v>64</v>
      </c>
      <c r="H409" s="11" t="s">
        <v>75</v>
      </c>
      <c r="I409" s="11">
        <v>1299</v>
      </c>
      <c r="J409" s="49" t="s">
        <v>39</v>
      </c>
      <c r="K409" s="49" t="s">
        <v>76</v>
      </c>
      <c r="L409" s="49" t="s">
        <v>84</v>
      </c>
      <c r="M409" s="49" t="s">
        <v>85</v>
      </c>
      <c r="N409" s="48" t="s">
        <v>86</v>
      </c>
      <c r="O409" s="49" t="s">
        <v>35</v>
      </c>
      <c r="P409" s="11" t="s">
        <v>80</v>
      </c>
      <c r="Q409" s="11" t="s">
        <v>90</v>
      </c>
      <c r="R409" s="11" t="s">
        <v>225</v>
      </c>
      <c r="S409" s="11" t="s">
        <v>2821</v>
      </c>
      <c r="T409" s="90" t="s">
        <v>1</v>
      </c>
      <c r="U409" s="89"/>
      <c r="V409" s="51">
        <v>45502</v>
      </c>
      <c r="W409" s="49" t="s">
        <v>1606</v>
      </c>
    </row>
    <row r="410" spans="1:23" ht="13" customHeight="1" x14ac:dyDescent="0.35">
      <c r="A410" s="11">
        <v>405</v>
      </c>
      <c r="B410" s="47">
        <v>203800481</v>
      </c>
      <c r="C410" s="94" t="s">
        <v>400</v>
      </c>
      <c r="D410" s="11" t="s">
        <v>401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32</v>
      </c>
      <c r="K410" s="49" t="s">
        <v>76</v>
      </c>
      <c r="L410" s="49" t="s">
        <v>78</v>
      </c>
      <c r="M410" s="49" t="s">
        <v>92</v>
      </c>
      <c r="N410" s="48" t="s">
        <v>86</v>
      </c>
      <c r="O410" s="49" t="s">
        <v>35</v>
      </c>
      <c r="P410" s="11" t="s">
        <v>80</v>
      </c>
      <c r="Q410" s="11" t="s">
        <v>90</v>
      </c>
      <c r="R410" s="11" t="s">
        <v>226</v>
      </c>
      <c r="S410" s="11" t="s">
        <v>227</v>
      </c>
      <c r="T410" s="90" t="s">
        <v>1</v>
      </c>
      <c r="U410" s="91"/>
      <c r="V410" s="51">
        <v>45516</v>
      </c>
      <c r="W410" s="49" t="s">
        <v>1606</v>
      </c>
    </row>
    <row r="411" spans="1:23" ht="13" customHeight="1" x14ac:dyDescent="0.35">
      <c r="A411" s="11">
        <v>406</v>
      </c>
      <c r="B411" s="47">
        <v>205977117</v>
      </c>
      <c r="C411" s="94" t="s">
        <v>2664</v>
      </c>
      <c r="D411" s="11" t="s">
        <v>2665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32</v>
      </c>
      <c r="K411" s="49" t="s">
        <v>76</v>
      </c>
      <c r="L411" s="49" t="s">
        <v>78</v>
      </c>
      <c r="M411" s="49" t="s">
        <v>92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232</v>
      </c>
      <c r="S411" s="11" t="s">
        <v>1797</v>
      </c>
      <c r="T411" s="90" t="s">
        <v>1</v>
      </c>
      <c r="U411" s="89"/>
      <c r="V411" s="51">
        <v>45915</v>
      </c>
      <c r="W411" s="49" t="s">
        <v>1606</v>
      </c>
    </row>
    <row r="412" spans="1:23" ht="13" customHeight="1" x14ac:dyDescent="0.35">
      <c r="A412" s="11">
        <v>407</v>
      </c>
      <c r="B412" s="47">
        <v>205236908</v>
      </c>
      <c r="C412" s="94" t="s">
        <v>2666</v>
      </c>
      <c r="D412" s="11" t="s">
        <v>2667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32</v>
      </c>
      <c r="K412" s="49" t="s">
        <v>76</v>
      </c>
      <c r="L412" s="49" t="s">
        <v>85</v>
      </c>
      <c r="M412" s="49" t="s">
        <v>88</v>
      </c>
      <c r="N412" s="48" t="s">
        <v>86</v>
      </c>
      <c r="O412" s="49" t="s">
        <v>35</v>
      </c>
      <c r="P412" s="11" t="s">
        <v>80</v>
      </c>
      <c r="Q412" s="11" t="s">
        <v>90</v>
      </c>
      <c r="R412" s="11" t="s">
        <v>226</v>
      </c>
      <c r="S412" s="11" t="s">
        <v>227</v>
      </c>
      <c r="T412" s="90" t="s">
        <v>1</v>
      </c>
      <c r="U412" s="91"/>
      <c r="V412" s="51">
        <v>45831</v>
      </c>
      <c r="W412" s="49" t="s">
        <v>1607</v>
      </c>
    </row>
    <row r="413" spans="1:23" ht="13" customHeight="1" x14ac:dyDescent="0.35">
      <c r="A413" s="11">
        <v>408</v>
      </c>
      <c r="B413" s="47">
        <v>206846689</v>
      </c>
      <c r="C413" s="94" t="s">
        <v>2668</v>
      </c>
      <c r="D413" s="47" t="s">
        <v>2669</v>
      </c>
      <c r="E413" s="47" t="s">
        <v>31</v>
      </c>
      <c r="F413" s="47" t="s">
        <v>74</v>
      </c>
      <c r="G413" s="47" t="s">
        <v>64</v>
      </c>
      <c r="H413" s="47" t="s">
        <v>75</v>
      </c>
      <c r="I413" s="47">
        <v>1299</v>
      </c>
      <c r="J413" s="49" t="s">
        <v>39</v>
      </c>
      <c r="K413" s="49" t="s">
        <v>76</v>
      </c>
      <c r="L413" s="49" t="s">
        <v>84</v>
      </c>
      <c r="M413" s="49" t="s">
        <v>85</v>
      </c>
      <c r="N413" s="49" t="s">
        <v>89</v>
      </c>
      <c r="O413" s="47" t="s">
        <v>35</v>
      </c>
      <c r="P413" s="47" t="s">
        <v>80</v>
      </c>
      <c r="Q413" s="47" t="s">
        <v>90</v>
      </c>
      <c r="R413" s="11" t="s">
        <v>232</v>
      </c>
      <c r="S413" s="47" t="s">
        <v>1797</v>
      </c>
      <c r="T413" s="90" t="s">
        <v>1</v>
      </c>
      <c r="U413" s="89"/>
      <c r="V413" s="51">
        <v>46013</v>
      </c>
      <c r="W413" s="47" t="s">
        <v>1606</v>
      </c>
    </row>
    <row r="414" spans="1:23" ht="13" customHeight="1" x14ac:dyDescent="0.35">
      <c r="A414" s="11">
        <v>409</v>
      </c>
      <c r="B414" s="47">
        <v>206934195</v>
      </c>
      <c r="C414" s="94" t="s">
        <v>2670</v>
      </c>
      <c r="D414" s="11" t="s">
        <v>2671</v>
      </c>
      <c r="E414" s="48" t="s">
        <v>31</v>
      </c>
      <c r="F414" s="48" t="s">
        <v>74</v>
      </c>
      <c r="G414" s="48" t="s">
        <v>64</v>
      </c>
      <c r="H414" s="48" t="s">
        <v>75</v>
      </c>
      <c r="I414" s="11">
        <v>1299</v>
      </c>
      <c r="J414" s="49" t="s">
        <v>39</v>
      </c>
      <c r="K414" s="49" t="s">
        <v>76</v>
      </c>
      <c r="L414" s="49" t="s">
        <v>78</v>
      </c>
      <c r="M414" s="49" t="s">
        <v>92</v>
      </c>
      <c r="N414" s="49" t="s">
        <v>79</v>
      </c>
      <c r="O414" s="49" t="s">
        <v>35</v>
      </c>
      <c r="P414" s="49" t="s">
        <v>80</v>
      </c>
      <c r="Q414" s="11" t="s">
        <v>96</v>
      </c>
      <c r="R414" s="11" t="s">
        <v>225</v>
      </c>
      <c r="S414" s="11" t="s">
        <v>2821</v>
      </c>
      <c r="T414" s="90" t="s">
        <v>1</v>
      </c>
      <c r="U414" s="91"/>
      <c r="V414" s="51">
        <v>46041</v>
      </c>
      <c r="W414" s="49" t="s">
        <v>1606</v>
      </c>
    </row>
    <row r="415" spans="1:23" ht="13" customHeight="1" x14ac:dyDescent="0.35">
      <c r="A415" s="11">
        <v>410</v>
      </c>
      <c r="B415" s="47">
        <v>206791755</v>
      </c>
      <c r="C415" s="94" t="s">
        <v>2672</v>
      </c>
      <c r="D415" s="11" t="s">
        <v>2673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39</v>
      </c>
      <c r="K415" s="49" t="s">
        <v>76</v>
      </c>
      <c r="L415" s="49" t="s">
        <v>78</v>
      </c>
      <c r="M415" s="49" t="s">
        <v>92</v>
      </c>
      <c r="N415" s="49" t="s">
        <v>89</v>
      </c>
      <c r="O415" s="49" t="s">
        <v>35</v>
      </c>
      <c r="P415" s="11" t="s">
        <v>80</v>
      </c>
      <c r="Q415" s="11" t="s">
        <v>90</v>
      </c>
      <c r="R415" s="11" t="s">
        <v>225</v>
      </c>
      <c r="S415" s="11" t="s">
        <v>2821</v>
      </c>
      <c r="T415" s="90" t="s">
        <v>1</v>
      </c>
      <c r="U415" s="89"/>
      <c r="V415" s="51">
        <v>45999</v>
      </c>
      <c r="W415" s="49" t="s">
        <v>1606</v>
      </c>
    </row>
    <row r="416" spans="1:23" ht="13" customHeight="1" x14ac:dyDescent="0.35">
      <c r="A416" s="11">
        <v>411</v>
      </c>
      <c r="B416" s="47">
        <v>203736255</v>
      </c>
      <c r="C416" s="94" t="s">
        <v>2674</v>
      </c>
      <c r="D416" s="11" t="s">
        <v>2675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39</v>
      </c>
      <c r="K416" s="49" t="s">
        <v>76</v>
      </c>
      <c r="L416" s="49" t="s">
        <v>92</v>
      </c>
      <c r="M416" s="49" t="s">
        <v>84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225</v>
      </c>
      <c r="S416" s="11" t="s">
        <v>2821</v>
      </c>
      <c r="T416" s="90" t="s">
        <v>1</v>
      </c>
      <c r="U416" s="91"/>
      <c r="V416" s="51">
        <v>45502</v>
      </c>
      <c r="W416" s="49" t="s">
        <v>1606</v>
      </c>
    </row>
    <row r="417" spans="1:23" ht="13" customHeight="1" x14ac:dyDescent="0.35">
      <c r="A417" s="11">
        <v>412</v>
      </c>
      <c r="B417" s="47">
        <v>204246163</v>
      </c>
      <c r="C417" s="94" t="s">
        <v>403</v>
      </c>
      <c r="D417" s="11" t="s">
        <v>404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39</v>
      </c>
      <c r="K417" s="49" t="s">
        <v>76</v>
      </c>
      <c r="L417" s="49" t="s">
        <v>77</v>
      </c>
      <c r="M417" s="49" t="s">
        <v>78</v>
      </c>
      <c r="N417" s="48" t="s">
        <v>86</v>
      </c>
      <c r="O417" s="49" t="s">
        <v>35</v>
      </c>
      <c r="P417" s="11" t="s">
        <v>80</v>
      </c>
      <c r="Q417" s="11" t="s">
        <v>87</v>
      </c>
      <c r="R417" s="11" t="s">
        <v>225</v>
      </c>
      <c r="S417" s="11" t="s">
        <v>2821</v>
      </c>
      <c r="T417" s="90" t="s">
        <v>10</v>
      </c>
      <c r="U417" s="90"/>
      <c r="V417" s="51">
        <v>45579</v>
      </c>
      <c r="W417" s="49" t="s">
        <v>1606</v>
      </c>
    </row>
    <row r="418" spans="1:23" ht="13" customHeight="1" x14ac:dyDescent="0.35">
      <c r="A418" s="11">
        <v>413</v>
      </c>
      <c r="B418" s="47">
        <v>206846692</v>
      </c>
      <c r="C418" s="94" t="s">
        <v>2676</v>
      </c>
      <c r="D418" s="47" t="s">
        <v>2677</v>
      </c>
      <c r="E418" s="47" t="s">
        <v>31</v>
      </c>
      <c r="F418" s="47" t="s">
        <v>74</v>
      </c>
      <c r="G418" s="47" t="s">
        <v>64</v>
      </c>
      <c r="H418" s="47" t="s">
        <v>75</v>
      </c>
      <c r="I418" s="47">
        <v>1299</v>
      </c>
      <c r="J418" s="49" t="s">
        <v>32</v>
      </c>
      <c r="K418" s="49" t="s">
        <v>76</v>
      </c>
      <c r="L418" s="49" t="s">
        <v>78</v>
      </c>
      <c r="M418" s="49" t="s">
        <v>92</v>
      </c>
      <c r="N418" s="49" t="s">
        <v>89</v>
      </c>
      <c r="O418" s="47" t="s">
        <v>35</v>
      </c>
      <c r="P418" s="47" t="s">
        <v>80</v>
      </c>
      <c r="Q418" s="47" t="s">
        <v>90</v>
      </c>
      <c r="R418" s="11" t="s">
        <v>232</v>
      </c>
      <c r="S418" s="47" t="s">
        <v>1797</v>
      </c>
      <c r="T418" s="90" t="s">
        <v>1</v>
      </c>
      <c r="U418" s="90"/>
      <c r="V418" s="51">
        <v>46013</v>
      </c>
      <c r="W418" s="47" t="s">
        <v>1606</v>
      </c>
    </row>
    <row r="419" spans="1:23" ht="13" customHeight="1" x14ac:dyDescent="0.35">
      <c r="A419" s="11">
        <v>414</v>
      </c>
      <c r="B419" s="47">
        <v>206072876</v>
      </c>
      <c r="C419" s="94" t="s">
        <v>405</v>
      </c>
      <c r="D419" s="11" t="s">
        <v>406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78</v>
      </c>
      <c r="M419" s="49" t="s">
        <v>92</v>
      </c>
      <c r="N419" s="48" t="s">
        <v>79</v>
      </c>
      <c r="O419" s="49" t="s">
        <v>35</v>
      </c>
      <c r="P419" s="11" t="s">
        <v>80</v>
      </c>
      <c r="Q419" s="11" t="s">
        <v>81</v>
      </c>
      <c r="R419" s="11" t="s">
        <v>225</v>
      </c>
      <c r="S419" s="11" t="s">
        <v>2821</v>
      </c>
      <c r="T419" s="90" t="s">
        <v>7</v>
      </c>
      <c r="U419" s="90" t="s">
        <v>3004</v>
      </c>
      <c r="V419" s="51">
        <v>45922</v>
      </c>
      <c r="W419" s="49" t="s">
        <v>1606</v>
      </c>
    </row>
    <row r="420" spans="1:23" ht="13" customHeight="1" x14ac:dyDescent="0.35">
      <c r="A420" s="11">
        <v>415</v>
      </c>
      <c r="B420" s="47">
        <v>203736329</v>
      </c>
      <c r="C420" s="94" t="s">
        <v>2678</v>
      </c>
      <c r="D420" s="11" t="s">
        <v>2679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8" t="s">
        <v>86</v>
      </c>
      <c r="O420" s="49" t="s">
        <v>35</v>
      </c>
      <c r="P420" s="11" t="s">
        <v>80</v>
      </c>
      <c r="Q420" s="11" t="s">
        <v>90</v>
      </c>
      <c r="R420" s="11" t="s">
        <v>225</v>
      </c>
      <c r="S420" s="11" t="s">
        <v>2821</v>
      </c>
      <c r="T420" s="90" t="s">
        <v>1</v>
      </c>
      <c r="U420" s="90"/>
      <c r="V420" s="51">
        <v>45502</v>
      </c>
      <c r="W420" s="49" t="s">
        <v>1606</v>
      </c>
    </row>
    <row r="421" spans="1:23" ht="13" customHeight="1" x14ac:dyDescent="0.35">
      <c r="A421" s="11">
        <v>416</v>
      </c>
      <c r="B421" s="47">
        <v>205477624</v>
      </c>
      <c r="C421" s="94" t="s">
        <v>407</v>
      </c>
      <c r="D421" s="11" t="s">
        <v>408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78</v>
      </c>
      <c r="M421" s="49" t="s">
        <v>92</v>
      </c>
      <c r="N421" s="48" t="s">
        <v>86</v>
      </c>
      <c r="O421" s="49" t="s">
        <v>35</v>
      </c>
      <c r="P421" s="11" t="s">
        <v>80</v>
      </c>
      <c r="Q421" s="11" t="s">
        <v>90</v>
      </c>
      <c r="R421" s="11" t="s">
        <v>226</v>
      </c>
      <c r="S421" s="11" t="s">
        <v>227</v>
      </c>
      <c r="T421" s="90" t="s">
        <v>1</v>
      </c>
      <c r="U421" s="89"/>
      <c r="V421" s="51">
        <v>45831</v>
      </c>
      <c r="W421" s="49" t="s">
        <v>1607</v>
      </c>
    </row>
    <row r="422" spans="1:23" ht="13" customHeight="1" x14ac:dyDescent="0.35">
      <c r="A422" s="11">
        <v>417</v>
      </c>
      <c r="B422" s="47">
        <v>203599606</v>
      </c>
      <c r="C422" s="94" t="s">
        <v>409</v>
      </c>
      <c r="D422" s="11" t="s">
        <v>410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88</v>
      </c>
      <c r="M422" s="49" t="s">
        <v>95</v>
      </c>
      <c r="N422" s="48" t="s">
        <v>79</v>
      </c>
      <c r="O422" s="49" t="s">
        <v>35</v>
      </c>
      <c r="P422" s="11" t="s">
        <v>80</v>
      </c>
      <c r="Q422" s="11" t="s">
        <v>81</v>
      </c>
      <c r="R422" s="11" t="s">
        <v>225</v>
      </c>
      <c r="S422" s="11" t="s">
        <v>2821</v>
      </c>
      <c r="T422" s="90" t="s">
        <v>1</v>
      </c>
      <c r="U422" s="91"/>
      <c r="V422" s="51">
        <v>45544</v>
      </c>
      <c r="W422" s="49" t="s">
        <v>1606</v>
      </c>
    </row>
    <row r="423" spans="1:23" ht="13" customHeight="1" x14ac:dyDescent="0.35">
      <c r="A423" s="11">
        <v>418</v>
      </c>
      <c r="B423" s="47">
        <v>202334276</v>
      </c>
      <c r="C423" s="94" t="s">
        <v>411</v>
      </c>
      <c r="D423" s="11" t="s">
        <v>412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88</v>
      </c>
      <c r="M423" s="49" t="s">
        <v>95</v>
      </c>
      <c r="N423" s="48" t="s">
        <v>86</v>
      </c>
      <c r="O423" s="49" t="s">
        <v>35</v>
      </c>
      <c r="P423" s="11" t="s">
        <v>80</v>
      </c>
      <c r="Q423" s="11" t="s">
        <v>87</v>
      </c>
      <c r="R423" s="11" t="s">
        <v>232</v>
      </c>
      <c r="S423" s="11" t="s">
        <v>1797</v>
      </c>
      <c r="T423" s="90" t="s">
        <v>1</v>
      </c>
      <c r="U423" s="89"/>
      <c r="V423" s="51">
        <v>45581</v>
      </c>
      <c r="W423" s="49" t="s">
        <v>1606</v>
      </c>
    </row>
    <row r="424" spans="1:23" ht="13" customHeight="1" x14ac:dyDescent="0.35">
      <c r="A424" s="11">
        <v>419</v>
      </c>
      <c r="B424" s="47">
        <v>203521525</v>
      </c>
      <c r="C424" s="94" t="s">
        <v>413</v>
      </c>
      <c r="D424" s="11" t="s">
        <v>414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88</v>
      </c>
      <c r="M424" s="49" t="s">
        <v>95</v>
      </c>
      <c r="N424" s="48" t="s">
        <v>79</v>
      </c>
      <c r="O424" s="49" t="s">
        <v>35</v>
      </c>
      <c r="P424" s="11" t="s">
        <v>80</v>
      </c>
      <c r="Q424" s="11" t="s">
        <v>81</v>
      </c>
      <c r="R424" s="11" t="s">
        <v>226</v>
      </c>
      <c r="S424" s="11" t="s">
        <v>227</v>
      </c>
      <c r="T424" s="90" t="s">
        <v>1</v>
      </c>
      <c r="U424" s="89"/>
      <c r="V424" s="51">
        <v>45463</v>
      </c>
      <c r="W424" s="49" t="s">
        <v>1604</v>
      </c>
    </row>
    <row r="425" spans="1:23" ht="13" customHeight="1" x14ac:dyDescent="0.35">
      <c r="A425" s="11">
        <v>420</v>
      </c>
      <c r="B425" s="47">
        <v>206073366</v>
      </c>
      <c r="C425" s="94" t="s">
        <v>415</v>
      </c>
      <c r="D425" s="11" t="s">
        <v>416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78</v>
      </c>
      <c r="M425" s="49" t="s">
        <v>92</v>
      </c>
      <c r="N425" s="48" t="s">
        <v>79</v>
      </c>
      <c r="O425" s="49" t="s">
        <v>35</v>
      </c>
      <c r="P425" s="11" t="s">
        <v>80</v>
      </c>
      <c r="Q425" s="11" t="s">
        <v>81</v>
      </c>
      <c r="R425" s="11" t="s">
        <v>232</v>
      </c>
      <c r="S425" s="11" t="s">
        <v>1797</v>
      </c>
      <c r="T425" s="90" t="s">
        <v>1</v>
      </c>
      <c r="U425" s="89"/>
      <c r="V425" s="51">
        <v>45922</v>
      </c>
      <c r="W425" s="49" t="s">
        <v>1606</v>
      </c>
    </row>
    <row r="426" spans="1:23" ht="13" customHeight="1" x14ac:dyDescent="0.35">
      <c r="A426" s="11">
        <v>421</v>
      </c>
      <c r="B426" s="47">
        <v>203851007</v>
      </c>
      <c r="C426" s="94" t="s">
        <v>417</v>
      </c>
      <c r="D426" s="11" t="s">
        <v>418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32</v>
      </c>
      <c r="K426" s="49" t="s">
        <v>76</v>
      </c>
      <c r="L426" s="49" t="s">
        <v>84</v>
      </c>
      <c r="M426" s="49" t="s">
        <v>85</v>
      </c>
      <c r="N426" s="48" t="s">
        <v>79</v>
      </c>
      <c r="O426" s="49" t="s">
        <v>35</v>
      </c>
      <c r="P426" s="11" t="s">
        <v>80</v>
      </c>
      <c r="Q426" s="11" t="s">
        <v>81</v>
      </c>
      <c r="R426" s="11" t="s">
        <v>226</v>
      </c>
      <c r="S426" s="11" t="s">
        <v>227</v>
      </c>
      <c r="T426" s="90" t="s">
        <v>7</v>
      </c>
      <c r="U426" s="90" t="s">
        <v>3004</v>
      </c>
      <c r="V426" s="51">
        <v>45524</v>
      </c>
      <c r="W426" s="49" t="s">
        <v>1605</v>
      </c>
    </row>
    <row r="427" spans="1:23" ht="13" customHeight="1" x14ac:dyDescent="0.35">
      <c r="A427" s="11">
        <v>422</v>
      </c>
      <c r="B427" s="47">
        <v>205608629</v>
      </c>
      <c r="C427" s="94" t="s">
        <v>2680</v>
      </c>
      <c r="D427" s="11" t="s">
        <v>2681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39</v>
      </c>
      <c r="K427" s="49" t="s">
        <v>76</v>
      </c>
      <c r="L427" s="49" t="s">
        <v>77</v>
      </c>
      <c r="M427" s="49" t="s">
        <v>78</v>
      </c>
      <c r="N427" s="48" t="s">
        <v>86</v>
      </c>
      <c r="O427" s="49" t="s">
        <v>35</v>
      </c>
      <c r="P427" s="11" t="s">
        <v>80</v>
      </c>
      <c r="Q427" s="11" t="s">
        <v>90</v>
      </c>
      <c r="R427" s="11" t="s">
        <v>225</v>
      </c>
      <c r="S427" s="11" t="s">
        <v>2821</v>
      </c>
      <c r="T427" s="90" t="s">
        <v>10</v>
      </c>
      <c r="U427" s="90"/>
      <c r="V427" s="51">
        <v>45845</v>
      </c>
      <c r="W427" s="49" t="s">
        <v>1606</v>
      </c>
    </row>
    <row r="428" spans="1:23" ht="13" customHeight="1" x14ac:dyDescent="0.35">
      <c r="A428" s="11">
        <v>423</v>
      </c>
      <c r="B428" s="47">
        <v>203521131</v>
      </c>
      <c r="C428" s="94" t="s">
        <v>419</v>
      </c>
      <c r="D428" s="11" t="s">
        <v>420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77</v>
      </c>
      <c r="M428" s="49" t="s">
        <v>78</v>
      </c>
      <c r="N428" s="48" t="s">
        <v>79</v>
      </c>
      <c r="O428" s="49" t="s">
        <v>35</v>
      </c>
      <c r="P428" s="11" t="s">
        <v>80</v>
      </c>
      <c r="Q428" s="11" t="s">
        <v>81</v>
      </c>
      <c r="R428" s="11" t="s">
        <v>225</v>
      </c>
      <c r="S428" s="11" t="s">
        <v>2821</v>
      </c>
      <c r="T428" s="90" t="s">
        <v>10</v>
      </c>
      <c r="U428" s="89"/>
      <c r="V428" s="51">
        <v>45463</v>
      </c>
      <c r="W428" s="49" t="s">
        <v>1606</v>
      </c>
    </row>
    <row r="429" spans="1:23" ht="13" customHeight="1" x14ac:dyDescent="0.35">
      <c r="A429" s="11">
        <v>424</v>
      </c>
      <c r="B429" s="11">
        <v>206953801</v>
      </c>
      <c r="C429" s="94" t="s">
        <v>2290</v>
      </c>
      <c r="D429" s="11" t="s">
        <v>2291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32</v>
      </c>
      <c r="K429" s="49" t="s">
        <v>76</v>
      </c>
      <c r="L429" s="49" t="s">
        <v>78</v>
      </c>
      <c r="M429" s="49" t="s">
        <v>92</v>
      </c>
      <c r="N429" s="49" t="s">
        <v>86</v>
      </c>
      <c r="O429" s="87" t="s">
        <v>35</v>
      </c>
      <c r="P429" s="11" t="s">
        <v>80</v>
      </c>
      <c r="Q429" s="84" t="s">
        <v>90</v>
      </c>
      <c r="R429" s="11" t="s">
        <v>225</v>
      </c>
      <c r="S429" s="54" t="s">
        <v>2821</v>
      </c>
      <c r="T429" s="90" t="s">
        <v>1</v>
      </c>
      <c r="U429" s="89"/>
      <c r="V429" s="51">
        <v>46051</v>
      </c>
      <c r="W429" s="2" t="s">
        <v>1606</v>
      </c>
    </row>
    <row r="430" spans="1:23" ht="13" customHeight="1" x14ac:dyDescent="0.35">
      <c r="A430" s="11">
        <v>425</v>
      </c>
      <c r="B430" s="47">
        <v>204246608</v>
      </c>
      <c r="C430" s="94" t="s">
        <v>421</v>
      </c>
      <c r="D430" s="11" t="s">
        <v>422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39</v>
      </c>
      <c r="K430" s="49" t="s">
        <v>76</v>
      </c>
      <c r="L430" s="49" t="s">
        <v>78</v>
      </c>
      <c r="M430" s="49" t="s">
        <v>92</v>
      </c>
      <c r="N430" s="48" t="s">
        <v>86</v>
      </c>
      <c r="O430" s="49" t="s">
        <v>35</v>
      </c>
      <c r="P430" s="11" t="s">
        <v>80</v>
      </c>
      <c r="Q430" s="11" t="s">
        <v>87</v>
      </c>
      <c r="R430" s="11" t="s">
        <v>226</v>
      </c>
      <c r="S430" s="11" t="s">
        <v>227</v>
      </c>
      <c r="T430" s="90" t="s">
        <v>1</v>
      </c>
      <c r="U430" s="89"/>
      <c r="V430" s="51">
        <v>45579</v>
      </c>
      <c r="W430" s="49" t="s">
        <v>1605</v>
      </c>
    </row>
    <row r="431" spans="1:23" ht="13" customHeight="1" x14ac:dyDescent="0.35">
      <c r="A431" s="11">
        <v>426</v>
      </c>
      <c r="B431" s="47">
        <v>204869083</v>
      </c>
      <c r="C431" s="94" t="s">
        <v>423</v>
      </c>
      <c r="D431" s="11" t="s">
        <v>424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78</v>
      </c>
      <c r="M431" s="49" t="s">
        <v>92</v>
      </c>
      <c r="N431" s="48" t="s">
        <v>86</v>
      </c>
      <c r="O431" s="49" t="s">
        <v>35</v>
      </c>
      <c r="P431" s="11" t="s">
        <v>80</v>
      </c>
      <c r="Q431" s="11" t="s">
        <v>87</v>
      </c>
      <c r="R431" s="11" t="s">
        <v>226</v>
      </c>
      <c r="S431" s="11" t="s">
        <v>227</v>
      </c>
      <c r="T431" s="90" t="s">
        <v>1</v>
      </c>
      <c r="U431" s="90"/>
      <c r="V431" s="51">
        <v>45691</v>
      </c>
      <c r="W431" s="49" t="s">
        <v>1605</v>
      </c>
    </row>
    <row r="432" spans="1:23" ht="13" customHeight="1" x14ac:dyDescent="0.35">
      <c r="A432" s="11">
        <v>427</v>
      </c>
      <c r="B432" s="47">
        <v>204241393</v>
      </c>
      <c r="C432" s="94" t="s">
        <v>425</v>
      </c>
      <c r="D432" s="11" t="s">
        <v>426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32</v>
      </c>
      <c r="K432" s="49" t="s">
        <v>76</v>
      </c>
      <c r="L432" s="49" t="s">
        <v>78</v>
      </c>
      <c r="M432" s="49" t="s">
        <v>92</v>
      </c>
      <c r="N432" s="48" t="s">
        <v>86</v>
      </c>
      <c r="O432" s="49" t="s">
        <v>35</v>
      </c>
      <c r="P432" s="11" t="s">
        <v>80</v>
      </c>
      <c r="Q432" s="11" t="s">
        <v>87</v>
      </c>
      <c r="R432" s="11" t="s">
        <v>225</v>
      </c>
      <c r="S432" s="11" t="s">
        <v>2821</v>
      </c>
      <c r="T432" s="90" t="s">
        <v>4</v>
      </c>
      <c r="U432" s="89"/>
      <c r="V432" s="51">
        <v>45579</v>
      </c>
      <c r="W432" s="49" t="s">
        <v>1605</v>
      </c>
    </row>
    <row r="433" spans="1:23" ht="13" customHeight="1" x14ac:dyDescent="0.35">
      <c r="A433" s="11">
        <v>428</v>
      </c>
      <c r="B433" s="47">
        <v>204246616</v>
      </c>
      <c r="C433" s="94" t="s">
        <v>427</v>
      </c>
      <c r="D433" s="11" t="s">
        <v>428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39</v>
      </c>
      <c r="K433" s="49" t="s">
        <v>76</v>
      </c>
      <c r="L433" s="49" t="s">
        <v>78</v>
      </c>
      <c r="M433" s="49" t="s">
        <v>92</v>
      </c>
      <c r="N433" s="48" t="s">
        <v>86</v>
      </c>
      <c r="O433" s="49" t="s">
        <v>35</v>
      </c>
      <c r="P433" s="11" t="s">
        <v>80</v>
      </c>
      <c r="Q433" s="11" t="s">
        <v>87</v>
      </c>
      <c r="R433" s="11" t="s">
        <v>225</v>
      </c>
      <c r="S433" s="11" t="s">
        <v>2821</v>
      </c>
      <c r="T433" s="90" t="s">
        <v>7</v>
      </c>
      <c r="U433" s="90" t="s">
        <v>3004</v>
      </c>
      <c r="V433" s="51">
        <v>45579</v>
      </c>
      <c r="W433" s="49" t="s">
        <v>1606</v>
      </c>
    </row>
    <row r="434" spans="1:23" ht="13" customHeight="1" x14ac:dyDescent="0.35">
      <c r="A434" s="11">
        <v>429</v>
      </c>
      <c r="B434" s="47">
        <v>204246611</v>
      </c>
      <c r="C434" s="94" t="s">
        <v>429</v>
      </c>
      <c r="D434" s="11" t="s">
        <v>430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78</v>
      </c>
      <c r="M434" s="49" t="s">
        <v>92</v>
      </c>
      <c r="N434" s="48" t="s">
        <v>86</v>
      </c>
      <c r="O434" s="49" t="s">
        <v>35</v>
      </c>
      <c r="P434" s="11" t="s">
        <v>80</v>
      </c>
      <c r="Q434" s="11" t="s">
        <v>87</v>
      </c>
      <c r="R434" s="11" t="s">
        <v>226</v>
      </c>
      <c r="S434" s="11" t="s">
        <v>227</v>
      </c>
      <c r="T434" s="90" t="s">
        <v>7</v>
      </c>
      <c r="U434" s="90" t="s">
        <v>3004</v>
      </c>
      <c r="V434" s="51">
        <v>45579</v>
      </c>
      <c r="W434" s="49" t="s">
        <v>1605</v>
      </c>
    </row>
    <row r="435" spans="1:23" ht="13" customHeight="1" x14ac:dyDescent="0.35">
      <c r="A435" s="11">
        <v>430</v>
      </c>
      <c r="B435" s="47">
        <v>206004604</v>
      </c>
      <c r="C435" s="94" t="s">
        <v>431</v>
      </c>
      <c r="D435" s="11" t="s">
        <v>432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78</v>
      </c>
      <c r="M435" s="49" t="s">
        <v>92</v>
      </c>
      <c r="N435" s="48" t="s">
        <v>79</v>
      </c>
      <c r="O435" s="49" t="s">
        <v>35</v>
      </c>
      <c r="P435" s="11" t="s">
        <v>80</v>
      </c>
      <c r="Q435" s="11" t="s">
        <v>81</v>
      </c>
      <c r="R435" s="11" t="s">
        <v>226</v>
      </c>
      <c r="S435" s="11" t="s">
        <v>227</v>
      </c>
      <c r="T435" s="90" t="s">
        <v>1</v>
      </c>
      <c r="U435" s="90"/>
      <c r="V435" s="51">
        <v>45915</v>
      </c>
      <c r="W435" s="49" t="s">
        <v>1607</v>
      </c>
    </row>
    <row r="436" spans="1:23" ht="13" customHeight="1" x14ac:dyDescent="0.35">
      <c r="A436" s="11">
        <v>431</v>
      </c>
      <c r="B436" s="47">
        <v>206846703</v>
      </c>
      <c r="C436" s="94" t="s">
        <v>2682</v>
      </c>
      <c r="D436" s="47" t="s">
        <v>2683</v>
      </c>
      <c r="E436" s="47" t="s">
        <v>31</v>
      </c>
      <c r="F436" s="47" t="s">
        <v>74</v>
      </c>
      <c r="G436" s="47" t="s">
        <v>64</v>
      </c>
      <c r="H436" s="47" t="s">
        <v>75</v>
      </c>
      <c r="I436" s="47">
        <v>1299</v>
      </c>
      <c r="J436" s="49" t="s">
        <v>32</v>
      </c>
      <c r="K436" s="49" t="s">
        <v>76</v>
      </c>
      <c r="L436" s="49" t="s">
        <v>78</v>
      </c>
      <c r="M436" s="49" t="s">
        <v>92</v>
      </c>
      <c r="N436" s="49" t="s">
        <v>89</v>
      </c>
      <c r="O436" s="47" t="s">
        <v>35</v>
      </c>
      <c r="P436" s="47" t="s">
        <v>80</v>
      </c>
      <c r="Q436" s="47" t="s">
        <v>90</v>
      </c>
      <c r="R436" s="11" t="s">
        <v>232</v>
      </c>
      <c r="S436" s="47" t="s">
        <v>1797</v>
      </c>
      <c r="T436" s="90" t="s">
        <v>1</v>
      </c>
      <c r="U436" s="91"/>
      <c r="V436" s="51">
        <v>46013</v>
      </c>
      <c r="W436" s="47" t="s">
        <v>1606</v>
      </c>
    </row>
    <row r="437" spans="1:23" ht="13" customHeight="1" x14ac:dyDescent="0.35">
      <c r="A437" s="11">
        <v>432</v>
      </c>
      <c r="B437" s="47">
        <v>204882795</v>
      </c>
      <c r="C437" s="94" t="s">
        <v>433</v>
      </c>
      <c r="D437" s="11" t="s">
        <v>434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77</v>
      </c>
      <c r="M437" s="49" t="s">
        <v>78</v>
      </c>
      <c r="N437" s="48" t="s">
        <v>86</v>
      </c>
      <c r="O437" s="49" t="s">
        <v>35</v>
      </c>
      <c r="P437" s="11" t="s">
        <v>80</v>
      </c>
      <c r="Q437" s="11" t="s">
        <v>90</v>
      </c>
      <c r="R437" s="11" t="s">
        <v>225</v>
      </c>
      <c r="S437" s="11" t="s">
        <v>2821</v>
      </c>
      <c r="T437" s="90" t="s">
        <v>10</v>
      </c>
      <c r="U437" s="91"/>
      <c r="V437" s="51">
        <v>45826</v>
      </c>
      <c r="W437" s="49" t="s">
        <v>1606</v>
      </c>
    </row>
    <row r="438" spans="1:23" ht="13" customHeight="1" x14ac:dyDescent="0.35">
      <c r="A438" s="11">
        <v>433</v>
      </c>
      <c r="B438" s="47">
        <v>203737144</v>
      </c>
      <c r="C438" s="94" t="s">
        <v>436</v>
      </c>
      <c r="D438" s="11" t="s">
        <v>437</v>
      </c>
      <c r="E438" s="48" t="s">
        <v>31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85</v>
      </c>
      <c r="M438" s="49" t="s">
        <v>88</v>
      </c>
      <c r="N438" s="48" t="s">
        <v>79</v>
      </c>
      <c r="O438" s="49" t="s">
        <v>35</v>
      </c>
      <c r="P438" s="11" t="s">
        <v>80</v>
      </c>
      <c r="Q438" s="11" t="s">
        <v>81</v>
      </c>
      <c r="R438" s="11" t="s">
        <v>225</v>
      </c>
      <c r="S438" s="11" t="s">
        <v>2821</v>
      </c>
      <c r="T438" s="90" t="s">
        <v>1</v>
      </c>
      <c r="U438" s="89"/>
      <c r="V438" s="51">
        <v>45502</v>
      </c>
      <c r="W438" s="49" t="s">
        <v>1606</v>
      </c>
    </row>
    <row r="439" spans="1:23" ht="13" customHeight="1" x14ac:dyDescent="0.35">
      <c r="A439" s="11">
        <v>434</v>
      </c>
      <c r="B439" s="47">
        <v>102434104</v>
      </c>
      <c r="C439" s="94" t="s">
        <v>2564</v>
      </c>
      <c r="D439" s="11" t="s">
        <v>2565</v>
      </c>
      <c r="E439" s="48" t="s">
        <v>34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32</v>
      </c>
      <c r="K439" s="49" t="s">
        <v>76</v>
      </c>
      <c r="L439" s="49" t="s">
        <v>88</v>
      </c>
      <c r="M439" s="49" t="s">
        <v>95</v>
      </c>
      <c r="N439" s="48" t="s">
        <v>97</v>
      </c>
      <c r="O439" s="49" t="s">
        <v>35</v>
      </c>
      <c r="P439" s="11" t="s">
        <v>80</v>
      </c>
      <c r="Q439" s="11" t="s">
        <v>98</v>
      </c>
      <c r="R439" s="11" t="s">
        <v>232</v>
      </c>
      <c r="S439" s="11" t="s">
        <v>1797</v>
      </c>
      <c r="T439" s="90" t="s">
        <v>1</v>
      </c>
      <c r="U439" s="89"/>
      <c r="V439" s="51">
        <v>42883</v>
      </c>
      <c r="W439" s="49" t="s">
        <v>1608</v>
      </c>
    </row>
    <row r="440" spans="1:23" ht="13" customHeight="1" x14ac:dyDescent="0.35">
      <c r="A440" s="11">
        <v>435</v>
      </c>
      <c r="B440" s="47">
        <v>204967153</v>
      </c>
      <c r="C440" s="94" t="s">
        <v>2684</v>
      </c>
      <c r="D440" s="11" t="s">
        <v>2685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39</v>
      </c>
      <c r="K440" s="49" t="s">
        <v>76</v>
      </c>
      <c r="L440" s="49" t="s">
        <v>92</v>
      </c>
      <c r="M440" s="49" t="s">
        <v>84</v>
      </c>
      <c r="N440" s="48" t="s">
        <v>86</v>
      </c>
      <c r="O440" s="49" t="s">
        <v>35</v>
      </c>
      <c r="P440" s="11" t="s">
        <v>80</v>
      </c>
      <c r="Q440" s="11" t="s">
        <v>90</v>
      </c>
      <c r="R440" s="11" t="s">
        <v>225</v>
      </c>
      <c r="S440" s="11" t="s">
        <v>2821</v>
      </c>
      <c r="T440" s="90" t="s">
        <v>1</v>
      </c>
      <c r="U440" s="90"/>
      <c r="V440" s="51">
        <v>45826</v>
      </c>
      <c r="W440" s="49" t="s">
        <v>1606</v>
      </c>
    </row>
    <row r="441" spans="1:23" ht="13" customHeight="1" x14ac:dyDescent="0.35">
      <c r="A441" s="11">
        <v>436</v>
      </c>
      <c r="B441" s="47">
        <v>206015634</v>
      </c>
      <c r="C441" s="94" t="s">
        <v>438</v>
      </c>
      <c r="D441" s="11" t="s">
        <v>439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32</v>
      </c>
      <c r="K441" s="49" t="s">
        <v>76</v>
      </c>
      <c r="L441" s="49" t="s">
        <v>88</v>
      </c>
      <c r="M441" s="49" t="s">
        <v>95</v>
      </c>
      <c r="N441" s="48" t="s">
        <v>79</v>
      </c>
      <c r="O441" s="49" t="s">
        <v>35</v>
      </c>
      <c r="P441" s="11" t="s">
        <v>80</v>
      </c>
      <c r="Q441" s="11" t="s">
        <v>81</v>
      </c>
      <c r="R441" s="11" t="s">
        <v>232</v>
      </c>
      <c r="S441" s="11" t="s">
        <v>1797</v>
      </c>
      <c r="T441" s="90" t="s">
        <v>1</v>
      </c>
      <c r="U441" s="89"/>
      <c r="V441" s="51">
        <v>45915</v>
      </c>
      <c r="W441" s="49" t="s">
        <v>1604</v>
      </c>
    </row>
    <row r="442" spans="1:23" ht="13" customHeight="1" x14ac:dyDescent="0.35">
      <c r="A442" s="11">
        <v>437</v>
      </c>
      <c r="B442" s="47">
        <v>203736757</v>
      </c>
      <c r="C442" s="94" t="s">
        <v>441</v>
      </c>
      <c r="D442" s="11" t="s">
        <v>442</v>
      </c>
      <c r="E442" s="48" t="s">
        <v>31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88</v>
      </c>
      <c r="M442" s="49" t="s">
        <v>95</v>
      </c>
      <c r="N442" s="48" t="s">
        <v>86</v>
      </c>
      <c r="O442" s="49" t="s">
        <v>35</v>
      </c>
      <c r="P442" s="11" t="s">
        <v>80</v>
      </c>
      <c r="Q442" s="11" t="s">
        <v>99</v>
      </c>
      <c r="R442" s="11" t="s">
        <v>232</v>
      </c>
      <c r="S442" s="11" t="s">
        <v>1797</v>
      </c>
      <c r="T442" s="90" t="s">
        <v>1</v>
      </c>
      <c r="U442" s="89"/>
      <c r="V442" s="51">
        <v>45502</v>
      </c>
      <c r="W442" s="49" t="s">
        <v>1606</v>
      </c>
    </row>
    <row r="443" spans="1:23" ht="13" customHeight="1" x14ac:dyDescent="0.35">
      <c r="A443" s="11">
        <v>438</v>
      </c>
      <c r="B443" s="47">
        <v>206874057</v>
      </c>
      <c r="C443" s="94" t="s">
        <v>2686</v>
      </c>
      <c r="D443" s="11" t="s">
        <v>2687</v>
      </c>
      <c r="E443" s="48" t="s">
        <v>31</v>
      </c>
      <c r="F443" s="48" t="s">
        <v>74</v>
      </c>
      <c r="G443" s="48" t="s">
        <v>64</v>
      </c>
      <c r="H443" s="48" t="s">
        <v>75</v>
      </c>
      <c r="I443" s="11">
        <v>1299</v>
      </c>
      <c r="J443" s="49" t="s">
        <v>39</v>
      </c>
      <c r="K443" s="49" t="s">
        <v>76</v>
      </c>
      <c r="L443" s="49" t="s">
        <v>85</v>
      </c>
      <c r="M443" s="49" t="s">
        <v>88</v>
      </c>
      <c r="N443" s="49" t="s">
        <v>89</v>
      </c>
      <c r="O443" s="48" t="s">
        <v>35</v>
      </c>
      <c r="P443" s="48" t="s">
        <v>80</v>
      </c>
      <c r="Q443" s="11" t="s">
        <v>90</v>
      </c>
      <c r="R443" s="11" t="s">
        <v>232</v>
      </c>
      <c r="S443" s="11" t="s">
        <v>1797</v>
      </c>
      <c r="T443" s="90" t="s">
        <v>1</v>
      </c>
      <c r="U443" s="91"/>
      <c r="V443" s="51">
        <v>46020</v>
      </c>
      <c r="W443" s="49" t="s">
        <v>1606</v>
      </c>
    </row>
    <row r="444" spans="1:23" ht="13" customHeight="1" x14ac:dyDescent="0.35">
      <c r="A444" s="11">
        <v>439</v>
      </c>
      <c r="B444" s="47">
        <v>206874041</v>
      </c>
      <c r="C444" s="94" t="s">
        <v>2688</v>
      </c>
      <c r="D444" s="11" t="s">
        <v>2689</v>
      </c>
      <c r="E444" s="48" t="s">
        <v>31</v>
      </c>
      <c r="F444" s="48" t="s">
        <v>74</v>
      </c>
      <c r="G444" s="48" t="s">
        <v>64</v>
      </c>
      <c r="H444" s="48" t="s">
        <v>75</v>
      </c>
      <c r="I444" s="11">
        <v>1299</v>
      </c>
      <c r="J444" s="49" t="s">
        <v>32</v>
      </c>
      <c r="K444" s="49" t="s">
        <v>76</v>
      </c>
      <c r="L444" s="49" t="s">
        <v>78</v>
      </c>
      <c r="M444" s="49" t="s">
        <v>92</v>
      </c>
      <c r="N444" s="49" t="s">
        <v>89</v>
      </c>
      <c r="O444" s="48" t="s">
        <v>35</v>
      </c>
      <c r="P444" s="48" t="s">
        <v>80</v>
      </c>
      <c r="Q444" s="11" t="s">
        <v>90</v>
      </c>
      <c r="R444" s="11" t="s">
        <v>232</v>
      </c>
      <c r="S444" s="11" t="s">
        <v>1797</v>
      </c>
      <c r="T444" s="90" t="s">
        <v>1</v>
      </c>
      <c r="U444" s="89"/>
      <c r="V444" s="51">
        <v>46020</v>
      </c>
      <c r="W444" s="49" t="s">
        <v>1606</v>
      </c>
    </row>
    <row r="445" spans="1:23" ht="13" customHeight="1" x14ac:dyDescent="0.35">
      <c r="A445" s="11">
        <v>440</v>
      </c>
      <c r="B445" s="47">
        <v>203736776</v>
      </c>
      <c r="C445" s="94" t="s">
        <v>443</v>
      </c>
      <c r="D445" s="11" t="s">
        <v>444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39</v>
      </c>
      <c r="K445" s="49" t="s">
        <v>76</v>
      </c>
      <c r="L445" s="49" t="s">
        <v>88</v>
      </c>
      <c r="M445" s="49" t="s">
        <v>95</v>
      </c>
      <c r="N445" s="48" t="s">
        <v>86</v>
      </c>
      <c r="O445" s="49" t="s">
        <v>35</v>
      </c>
      <c r="P445" s="11" t="s">
        <v>80</v>
      </c>
      <c r="Q445" s="11" t="s">
        <v>99</v>
      </c>
      <c r="R445" s="11" t="s">
        <v>225</v>
      </c>
      <c r="S445" s="11" t="s">
        <v>2821</v>
      </c>
      <c r="T445" s="90" t="s">
        <v>1</v>
      </c>
      <c r="U445" s="89"/>
      <c r="V445" s="51">
        <v>45502</v>
      </c>
      <c r="W445" s="49" t="s">
        <v>1606</v>
      </c>
    </row>
    <row r="446" spans="1:23" ht="13" customHeight="1" x14ac:dyDescent="0.35">
      <c r="A446" s="11">
        <v>441</v>
      </c>
      <c r="B446" s="47">
        <v>204868850</v>
      </c>
      <c r="C446" s="94" t="s">
        <v>445</v>
      </c>
      <c r="D446" s="11" t="s">
        <v>446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32</v>
      </c>
      <c r="K446" s="49" t="s">
        <v>76</v>
      </c>
      <c r="L446" s="49" t="s">
        <v>85</v>
      </c>
      <c r="M446" s="49" t="s">
        <v>88</v>
      </c>
      <c r="N446" s="48" t="s">
        <v>86</v>
      </c>
      <c r="O446" s="49" t="s">
        <v>35</v>
      </c>
      <c r="P446" s="11" t="s">
        <v>80</v>
      </c>
      <c r="Q446" s="11" t="s">
        <v>87</v>
      </c>
      <c r="R446" s="11" t="s">
        <v>226</v>
      </c>
      <c r="S446" s="11" t="s">
        <v>227</v>
      </c>
      <c r="T446" s="90" t="s">
        <v>7</v>
      </c>
      <c r="U446" s="90" t="s">
        <v>3004</v>
      </c>
      <c r="V446" s="51">
        <v>45691</v>
      </c>
      <c r="W446" s="49" t="s">
        <v>1605</v>
      </c>
    </row>
    <row r="447" spans="1:23" ht="13" customHeight="1" x14ac:dyDescent="0.35">
      <c r="A447" s="11">
        <v>442</v>
      </c>
      <c r="B447" s="47">
        <v>204246610</v>
      </c>
      <c r="C447" s="94" t="s">
        <v>447</v>
      </c>
      <c r="D447" s="11" t="s">
        <v>448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39</v>
      </c>
      <c r="K447" s="49" t="s">
        <v>76</v>
      </c>
      <c r="L447" s="49" t="s">
        <v>78</v>
      </c>
      <c r="M447" s="49" t="s">
        <v>92</v>
      </c>
      <c r="N447" s="48" t="s">
        <v>86</v>
      </c>
      <c r="O447" s="49" t="s">
        <v>35</v>
      </c>
      <c r="P447" s="11" t="s">
        <v>80</v>
      </c>
      <c r="Q447" s="11" t="s">
        <v>87</v>
      </c>
      <c r="R447" s="11" t="s">
        <v>225</v>
      </c>
      <c r="S447" s="11" t="s">
        <v>2821</v>
      </c>
      <c r="T447" s="90" t="s">
        <v>1</v>
      </c>
      <c r="U447" s="90"/>
      <c r="V447" s="51">
        <v>45579</v>
      </c>
      <c r="W447" s="49" t="s">
        <v>1606</v>
      </c>
    </row>
    <row r="448" spans="1:23" ht="13" customHeight="1" x14ac:dyDescent="0.35">
      <c r="A448" s="11">
        <v>443</v>
      </c>
      <c r="B448" s="47">
        <v>109468376</v>
      </c>
      <c r="C448" s="94" t="s">
        <v>2301</v>
      </c>
      <c r="D448" s="11" t="s">
        <v>2302</v>
      </c>
      <c r="E448" s="48" t="s">
        <v>34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32</v>
      </c>
      <c r="K448" s="49" t="s">
        <v>76</v>
      </c>
      <c r="L448" s="49" t="s">
        <v>78</v>
      </c>
      <c r="M448" s="49" t="s">
        <v>92</v>
      </c>
      <c r="N448" s="48" t="s">
        <v>97</v>
      </c>
      <c r="O448" s="49" t="s">
        <v>35</v>
      </c>
      <c r="P448" s="11" t="s">
        <v>80</v>
      </c>
      <c r="Q448" s="11" t="s">
        <v>98</v>
      </c>
      <c r="R448" s="11" t="s">
        <v>225</v>
      </c>
      <c r="S448" s="11" t="s">
        <v>2821</v>
      </c>
      <c r="T448" s="90" t="s">
        <v>7</v>
      </c>
      <c r="U448" s="90" t="s">
        <v>3005</v>
      </c>
      <c r="V448" s="51">
        <v>44812</v>
      </c>
      <c r="W448" s="49" t="s">
        <v>1608</v>
      </c>
    </row>
    <row r="449" spans="1:23" ht="13" customHeight="1" x14ac:dyDescent="0.35">
      <c r="A449" s="11">
        <v>444</v>
      </c>
      <c r="B449" s="47">
        <v>205986151</v>
      </c>
      <c r="C449" s="94" t="s">
        <v>2690</v>
      </c>
      <c r="D449" s="11" t="s">
        <v>2691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39</v>
      </c>
      <c r="K449" s="49" t="s">
        <v>76</v>
      </c>
      <c r="L449" s="49" t="s">
        <v>88</v>
      </c>
      <c r="M449" s="49" t="s">
        <v>95</v>
      </c>
      <c r="N449" s="48" t="s">
        <v>86</v>
      </c>
      <c r="O449" s="49" t="s">
        <v>35</v>
      </c>
      <c r="P449" s="11" t="s">
        <v>80</v>
      </c>
      <c r="Q449" s="11" t="s">
        <v>90</v>
      </c>
      <c r="R449" s="11" t="s">
        <v>232</v>
      </c>
      <c r="S449" s="11" t="s">
        <v>1797</v>
      </c>
      <c r="T449" s="90" t="s">
        <v>1</v>
      </c>
      <c r="U449" s="89"/>
      <c r="V449" s="51">
        <v>45915</v>
      </c>
      <c r="W449" s="49" t="s">
        <v>1606</v>
      </c>
    </row>
    <row r="450" spans="1:23" ht="13" customHeight="1" x14ac:dyDescent="0.35">
      <c r="A450" s="11">
        <v>445</v>
      </c>
      <c r="B450" s="47">
        <v>204246607</v>
      </c>
      <c r="C450" s="94" t="s">
        <v>449</v>
      </c>
      <c r="D450" s="11" t="s">
        <v>450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39</v>
      </c>
      <c r="K450" s="49" t="s">
        <v>76</v>
      </c>
      <c r="L450" s="49" t="s">
        <v>85</v>
      </c>
      <c r="M450" s="49" t="s">
        <v>88</v>
      </c>
      <c r="N450" s="48" t="s">
        <v>86</v>
      </c>
      <c r="O450" s="49" t="s">
        <v>35</v>
      </c>
      <c r="P450" s="11" t="s">
        <v>80</v>
      </c>
      <c r="Q450" s="11" t="s">
        <v>87</v>
      </c>
      <c r="R450" s="11" t="s">
        <v>225</v>
      </c>
      <c r="S450" s="11" t="s">
        <v>2821</v>
      </c>
      <c r="T450" s="90" t="s">
        <v>1</v>
      </c>
      <c r="U450" s="89"/>
      <c r="V450" s="51">
        <v>45579</v>
      </c>
      <c r="W450" s="49" t="s">
        <v>1606</v>
      </c>
    </row>
    <row r="451" spans="1:23" ht="13" customHeight="1" x14ac:dyDescent="0.35">
      <c r="A451" s="11">
        <v>446</v>
      </c>
      <c r="B451" s="47">
        <v>205608621</v>
      </c>
      <c r="C451" s="94" t="s">
        <v>2692</v>
      </c>
      <c r="D451" s="11" t="s">
        <v>2693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8" t="s">
        <v>86</v>
      </c>
      <c r="O451" s="49" t="s">
        <v>35</v>
      </c>
      <c r="P451" s="11" t="s">
        <v>80</v>
      </c>
      <c r="Q451" s="11" t="s">
        <v>90</v>
      </c>
      <c r="R451" s="11" t="s">
        <v>225</v>
      </c>
      <c r="S451" s="11" t="s">
        <v>2821</v>
      </c>
      <c r="T451" s="90" t="s">
        <v>7</v>
      </c>
      <c r="U451" s="90" t="s">
        <v>3004</v>
      </c>
      <c r="V451" s="51">
        <v>45845</v>
      </c>
      <c r="W451" s="49" t="s">
        <v>1606</v>
      </c>
    </row>
    <row r="452" spans="1:23" ht="13" customHeight="1" x14ac:dyDescent="0.35">
      <c r="A452" s="11">
        <v>447</v>
      </c>
      <c r="B452" s="47">
        <v>205506107</v>
      </c>
      <c r="C452" s="94" t="s">
        <v>2694</v>
      </c>
      <c r="D452" s="11" t="s">
        <v>2695</v>
      </c>
      <c r="E452" s="48" t="s">
        <v>31</v>
      </c>
      <c r="F452" s="48" t="s">
        <v>74</v>
      </c>
      <c r="G452" s="11" t="s">
        <v>64</v>
      </c>
      <c r="H452" s="11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9" t="s">
        <v>89</v>
      </c>
      <c r="O452" s="49" t="s">
        <v>35</v>
      </c>
      <c r="P452" s="11" t="s">
        <v>80</v>
      </c>
      <c r="Q452" s="11" t="s">
        <v>96</v>
      </c>
      <c r="R452" s="11" t="s">
        <v>225</v>
      </c>
      <c r="S452" s="11" t="s">
        <v>2821</v>
      </c>
      <c r="T452" s="90" t="s">
        <v>1</v>
      </c>
      <c r="U452" s="90"/>
      <c r="V452" s="51">
        <v>45831</v>
      </c>
      <c r="W452" s="49" t="s">
        <v>1606</v>
      </c>
    </row>
    <row r="453" spans="1:23" ht="13" customHeight="1" x14ac:dyDescent="0.35">
      <c r="A453" s="11">
        <v>448</v>
      </c>
      <c r="B453" s="47">
        <v>203881600</v>
      </c>
      <c r="C453" s="94" t="s">
        <v>452</v>
      </c>
      <c r="D453" s="11" t="s">
        <v>453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39</v>
      </c>
      <c r="K453" s="49" t="s">
        <v>76</v>
      </c>
      <c r="L453" s="49" t="s">
        <v>84</v>
      </c>
      <c r="M453" s="49" t="s">
        <v>85</v>
      </c>
      <c r="N453" s="48" t="s">
        <v>79</v>
      </c>
      <c r="O453" s="49" t="s">
        <v>35</v>
      </c>
      <c r="P453" s="11" t="s">
        <v>80</v>
      </c>
      <c r="Q453" s="11" t="s">
        <v>81</v>
      </c>
      <c r="R453" s="11" t="s">
        <v>225</v>
      </c>
      <c r="S453" s="11" t="s">
        <v>2821</v>
      </c>
      <c r="T453" s="90" t="s">
        <v>7</v>
      </c>
      <c r="U453" s="90" t="s">
        <v>3004</v>
      </c>
      <c r="V453" s="51">
        <v>45530</v>
      </c>
      <c r="W453" s="49" t="s">
        <v>1606</v>
      </c>
    </row>
    <row r="454" spans="1:23" ht="13" customHeight="1" x14ac:dyDescent="0.35">
      <c r="A454" s="11">
        <v>449</v>
      </c>
      <c r="B454" s="47">
        <v>206073365</v>
      </c>
      <c r="C454" s="94" t="s">
        <v>454</v>
      </c>
      <c r="D454" s="11" t="s">
        <v>455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32</v>
      </c>
      <c r="K454" s="49" t="s">
        <v>76</v>
      </c>
      <c r="L454" s="49" t="s">
        <v>84</v>
      </c>
      <c r="M454" s="49" t="s">
        <v>85</v>
      </c>
      <c r="N454" s="48" t="s">
        <v>79</v>
      </c>
      <c r="O454" s="49" t="s">
        <v>35</v>
      </c>
      <c r="P454" s="11" t="s">
        <v>80</v>
      </c>
      <c r="Q454" s="11" t="s">
        <v>81</v>
      </c>
      <c r="R454" s="11" t="s">
        <v>226</v>
      </c>
      <c r="S454" s="11" t="s">
        <v>227</v>
      </c>
      <c r="T454" s="90" t="s">
        <v>1</v>
      </c>
      <c r="U454" s="90"/>
      <c r="V454" s="51">
        <v>45922</v>
      </c>
      <c r="W454" s="49" t="s">
        <v>1605</v>
      </c>
    </row>
    <row r="455" spans="1:23" ht="13" customHeight="1" x14ac:dyDescent="0.35">
      <c r="A455" s="11">
        <v>450</v>
      </c>
      <c r="B455" s="47">
        <v>206934198</v>
      </c>
      <c r="C455" s="94" t="s">
        <v>2096</v>
      </c>
      <c r="D455" s="11" t="s">
        <v>2072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32</v>
      </c>
      <c r="K455" s="49" t="s">
        <v>76</v>
      </c>
      <c r="L455" s="49" t="s">
        <v>78</v>
      </c>
      <c r="M455" s="49" t="s">
        <v>92</v>
      </c>
      <c r="N455" s="49" t="s">
        <v>89</v>
      </c>
      <c r="O455" s="49" t="s">
        <v>35</v>
      </c>
      <c r="P455" s="11" t="s">
        <v>80</v>
      </c>
      <c r="Q455" s="11" t="s">
        <v>96</v>
      </c>
      <c r="R455" s="11" t="s">
        <v>226</v>
      </c>
      <c r="S455" s="11" t="s">
        <v>227</v>
      </c>
      <c r="T455" s="90" t="s">
        <v>1</v>
      </c>
      <c r="U455" s="91"/>
      <c r="V455" s="51">
        <v>46041</v>
      </c>
      <c r="W455" s="49" t="s">
        <v>1607</v>
      </c>
    </row>
    <row r="456" spans="1:23" ht="13" customHeight="1" x14ac:dyDescent="0.35">
      <c r="A456" s="11">
        <v>451</v>
      </c>
      <c r="B456" s="47">
        <v>206874046</v>
      </c>
      <c r="C456" s="94" t="s">
        <v>2696</v>
      </c>
      <c r="D456" s="11" t="s">
        <v>2697</v>
      </c>
      <c r="E456" s="48" t="s">
        <v>31</v>
      </c>
      <c r="F456" s="48" t="s">
        <v>74</v>
      </c>
      <c r="G456" s="48" t="s">
        <v>64</v>
      </c>
      <c r="H456" s="48" t="s">
        <v>75</v>
      </c>
      <c r="I456" s="11">
        <v>1299</v>
      </c>
      <c r="J456" s="49" t="s">
        <v>32</v>
      </c>
      <c r="K456" s="49" t="s">
        <v>76</v>
      </c>
      <c r="L456" s="49" t="s">
        <v>78</v>
      </c>
      <c r="M456" s="49" t="s">
        <v>92</v>
      </c>
      <c r="N456" s="49" t="s">
        <v>89</v>
      </c>
      <c r="O456" s="48" t="s">
        <v>35</v>
      </c>
      <c r="P456" s="48" t="s">
        <v>80</v>
      </c>
      <c r="Q456" s="11" t="s">
        <v>90</v>
      </c>
      <c r="R456" s="11" t="s">
        <v>232</v>
      </c>
      <c r="S456" s="11" t="s">
        <v>1797</v>
      </c>
      <c r="T456" s="90" t="s">
        <v>1</v>
      </c>
      <c r="U456" s="89"/>
      <c r="V456" s="51">
        <v>46020</v>
      </c>
      <c r="W456" s="49" t="s">
        <v>1606</v>
      </c>
    </row>
    <row r="457" spans="1:23" ht="13" customHeight="1" x14ac:dyDescent="0.35">
      <c r="A457" s="11">
        <v>452</v>
      </c>
      <c r="B457" s="47">
        <v>206873657</v>
      </c>
      <c r="C457" s="94" t="s">
        <v>1802</v>
      </c>
      <c r="D457" s="11" t="s">
        <v>1803</v>
      </c>
      <c r="E457" s="48" t="s">
        <v>31</v>
      </c>
      <c r="F457" s="48" t="s">
        <v>74</v>
      </c>
      <c r="G457" s="48" t="s">
        <v>64</v>
      </c>
      <c r="H457" s="48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48" t="s">
        <v>35</v>
      </c>
      <c r="P457" s="48" t="s">
        <v>80</v>
      </c>
      <c r="Q457" s="11" t="s">
        <v>81</v>
      </c>
      <c r="R457" s="11" t="s">
        <v>226</v>
      </c>
      <c r="S457" s="11" t="s">
        <v>227</v>
      </c>
      <c r="T457" s="90" t="s">
        <v>1</v>
      </c>
      <c r="U457" s="89"/>
      <c r="V457" s="51">
        <v>46020</v>
      </c>
      <c r="W457" s="49" t="s">
        <v>1605</v>
      </c>
    </row>
    <row r="458" spans="1:23" ht="13" customHeight="1" x14ac:dyDescent="0.35">
      <c r="A458" s="11">
        <v>453</v>
      </c>
      <c r="B458" s="47">
        <v>206873651</v>
      </c>
      <c r="C458" s="94" t="s">
        <v>1798</v>
      </c>
      <c r="D458" s="11" t="s">
        <v>1799</v>
      </c>
      <c r="E458" s="48" t="s">
        <v>31</v>
      </c>
      <c r="F458" s="48" t="s">
        <v>74</v>
      </c>
      <c r="G458" s="48" t="s">
        <v>64</v>
      </c>
      <c r="H458" s="48" t="s">
        <v>75</v>
      </c>
      <c r="I458" s="11">
        <v>1299</v>
      </c>
      <c r="J458" s="49" t="s">
        <v>32</v>
      </c>
      <c r="K458" s="49" t="s">
        <v>76</v>
      </c>
      <c r="L458" s="49" t="s">
        <v>78</v>
      </c>
      <c r="M458" s="49" t="s">
        <v>92</v>
      </c>
      <c r="N458" s="49" t="s">
        <v>89</v>
      </c>
      <c r="O458" s="48" t="s">
        <v>35</v>
      </c>
      <c r="P458" s="48" t="s">
        <v>80</v>
      </c>
      <c r="Q458" s="11" t="s">
        <v>81</v>
      </c>
      <c r="R458" s="11" t="s">
        <v>226</v>
      </c>
      <c r="S458" s="11" t="s">
        <v>227</v>
      </c>
      <c r="T458" s="90" t="s">
        <v>1</v>
      </c>
      <c r="U458" s="89"/>
      <c r="V458" s="51">
        <v>46020</v>
      </c>
      <c r="W458" s="49" t="s">
        <v>1605</v>
      </c>
    </row>
    <row r="459" spans="1:23" ht="13" customHeight="1" x14ac:dyDescent="0.35">
      <c r="A459" s="11">
        <v>454</v>
      </c>
      <c r="B459" s="47">
        <v>205608623</v>
      </c>
      <c r="C459" s="94" t="s">
        <v>2698</v>
      </c>
      <c r="D459" s="11" t="s">
        <v>2699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39</v>
      </c>
      <c r="K459" s="49" t="s">
        <v>76</v>
      </c>
      <c r="L459" s="49" t="s">
        <v>78</v>
      </c>
      <c r="M459" s="49" t="s">
        <v>92</v>
      </c>
      <c r="N459" s="48" t="s">
        <v>86</v>
      </c>
      <c r="O459" s="49" t="s">
        <v>35</v>
      </c>
      <c r="P459" s="11" t="s">
        <v>80</v>
      </c>
      <c r="Q459" s="11" t="s">
        <v>90</v>
      </c>
      <c r="R459" s="11" t="s">
        <v>232</v>
      </c>
      <c r="S459" s="11" t="s">
        <v>1797</v>
      </c>
      <c r="T459" s="90" t="s">
        <v>7</v>
      </c>
      <c r="U459" s="90" t="s">
        <v>3004</v>
      </c>
      <c r="V459" s="51">
        <v>45845</v>
      </c>
      <c r="W459" s="49" t="s">
        <v>1606</v>
      </c>
    </row>
    <row r="460" spans="1:23" ht="13" customHeight="1" x14ac:dyDescent="0.35">
      <c r="A460" s="11">
        <v>455</v>
      </c>
      <c r="B460" s="47">
        <v>204883236</v>
      </c>
      <c r="C460" s="94" t="s">
        <v>457</v>
      </c>
      <c r="D460" s="11" t="s">
        <v>458</v>
      </c>
      <c r="E460" s="48" t="s">
        <v>31</v>
      </c>
      <c r="F460" s="48" t="s">
        <v>74</v>
      </c>
      <c r="G460" s="11" t="s">
        <v>64</v>
      </c>
      <c r="H460" s="11" t="s">
        <v>75</v>
      </c>
      <c r="I460" s="11">
        <v>1299</v>
      </c>
      <c r="J460" s="49" t="s">
        <v>39</v>
      </c>
      <c r="K460" s="49" t="s">
        <v>76</v>
      </c>
      <c r="L460" s="49" t="s">
        <v>95</v>
      </c>
      <c r="M460" s="49" t="s">
        <v>77</v>
      </c>
      <c r="N460" s="49" t="s">
        <v>89</v>
      </c>
      <c r="O460" s="49" t="s">
        <v>35</v>
      </c>
      <c r="P460" s="11" t="s">
        <v>80</v>
      </c>
      <c r="Q460" s="11" t="s">
        <v>87</v>
      </c>
      <c r="R460" s="11" t="s">
        <v>226</v>
      </c>
      <c r="S460" s="11" t="s">
        <v>227</v>
      </c>
      <c r="T460" s="90" t="s">
        <v>10</v>
      </c>
      <c r="U460" s="90"/>
      <c r="V460" s="51">
        <v>45691</v>
      </c>
      <c r="W460" s="49" t="s">
        <v>1605</v>
      </c>
    </row>
    <row r="461" spans="1:23" ht="13" customHeight="1" x14ac:dyDescent="0.35">
      <c r="A461" s="11">
        <v>456</v>
      </c>
      <c r="B461" s="47">
        <v>206915008</v>
      </c>
      <c r="C461" s="94" t="s">
        <v>2700</v>
      </c>
      <c r="D461" s="11" t="s">
        <v>2701</v>
      </c>
      <c r="E461" s="11" t="s">
        <v>31</v>
      </c>
      <c r="F461" s="11" t="s">
        <v>74</v>
      </c>
      <c r="G461" s="11" t="s">
        <v>64</v>
      </c>
      <c r="H461" s="11" t="s">
        <v>75</v>
      </c>
      <c r="I461" s="11">
        <v>1299</v>
      </c>
      <c r="J461" s="49" t="s">
        <v>32</v>
      </c>
      <c r="K461" s="49" t="s">
        <v>76</v>
      </c>
      <c r="L461" s="49" t="s">
        <v>78</v>
      </c>
      <c r="M461" s="49" t="s">
        <v>92</v>
      </c>
      <c r="N461" s="49" t="s">
        <v>89</v>
      </c>
      <c r="O461" s="11" t="s">
        <v>35</v>
      </c>
      <c r="P461" s="11" t="s">
        <v>80</v>
      </c>
      <c r="Q461" s="11" t="s">
        <v>90</v>
      </c>
      <c r="R461" s="11" t="s">
        <v>226</v>
      </c>
      <c r="S461" s="11" t="s">
        <v>227</v>
      </c>
      <c r="T461" s="90" t="s">
        <v>1</v>
      </c>
      <c r="U461" s="89"/>
      <c r="V461" s="51">
        <v>46034</v>
      </c>
      <c r="W461" s="11" t="s">
        <v>1605</v>
      </c>
    </row>
    <row r="462" spans="1:23" ht="13" customHeight="1" x14ac:dyDescent="0.35">
      <c r="A462" s="11">
        <v>457</v>
      </c>
      <c r="B462" s="47">
        <v>109749061</v>
      </c>
      <c r="C462" s="94" t="s">
        <v>459</v>
      </c>
      <c r="D462" s="11" t="s">
        <v>460</v>
      </c>
      <c r="E462" s="48" t="s">
        <v>34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32</v>
      </c>
      <c r="K462" s="49" t="s">
        <v>76</v>
      </c>
      <c r="L462" s="49" t="s">
        <v>95</v>
      </c>
      <c r="M462" s="49" t="s">
        <v>77</v>
      </c>
      <c r="N462" s="48" t="s">
        <v>108</v>
      </c>
      <c r="O462" s="49" t="s">
        <v>35</v>
      </c>
      <c r="P462" s="11" t="s">
        <v>80</v>
      </c>
      <c r="Q462" s="11" t="s">
        <v>98</v>
      </c>
      <c r="R462" s="11" t="s">
        <v>226</v>
      </c>
      <c r="S462" s="11" t="s">
        <v>227</v>
      </c>
      <c r="T462" s="90" t="s">
        <v>10</v>
      </c>
      <c r="U462" s="90"/>
      <c r="V462" s="51">
        <v>44831</v>
      </c>
      <c r="W462" s="49" t="s">
        <v>1607</v>
      </c>
    </row>
    <row r="463" spans="1:23" ht="13" customHeight="1" x14ac:dyDescent="0.35">
      <c r="A463" s="11">
        <v>458</v>
      </c>
      <c r="B463" s="47">
        <v>204883085</v>
      </c>
      <c r="C463" s="94" t="s">
        <v>461</v>
      </c>
      <c r="D463" s="11" t="s">
        <v>462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77</v>
      </c>
      <c r="M463" s="49" t="s">
        <v>78</v>
      </c>
      <c r="N463" s="48" t="s">
        <v>86</v>
      </c>
      <c r="O463" s="49" t="s">
        <v>35</v>
      </c>
      <c r="P463" s="11" t="s">
        <v>80</v>
      </c>
      <c r="Q463" s="11" t="s">
        <v>87</v>
      </c>
      <c r="R463" s="11" t="s">
        <v>232</v>
      </c>
      <c r="S463" s="11" t="s">
        <v>1797</v>
      </c>
      <c r="T463" s="90" t="s">
        <v>10</v>
      </c>
      <c r="U463" s="90"/>
      <c r="V463" s="51">
        <v>45691</v>
      </c>
      <c r="W463" s="49" t="s">
        <v>1606</v>
      </c>
    </row>
    <row r="464" spans="1:23" ht="13" customHeight="1" x14ac:dyDescent="0.35">
      <c r="A464" s="11">
        <v>459</v>
      </c>
      <c r="B464" s="47">
        <v>102207617</v>
      </c>
      <c r="C464" s="94" t="s">
        <v>464</v>
      </c>
      <c r="D464" s="11" t="s">
        <v>465</v>
      </c>
      <c r="E464" s="48" t="s">
        <v>34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78</v>
      </c>
      <c r="M464" s="49" t="s">
        <v>92</v>
      </c>
      <c r="N464" s="48" t="s">
        <v>97</v>
      </c>
      <c r="O464" s="49" t="s">
        <v>35</v>
      </c>
      <c r="P464" s="11" t="s">
        <v>80</v>
      </c>
      <c r="Q464" s="11" t="s">
        <v>98</v>
      </c>
      <c r="R464" s="11" t="s">
        <v>226</v>
      </c>
      <c r="S464" s="11" t="s">
        <v>227</v>
      </c>
      <c r="T464" s="90" t="s">
        <v>1</v>
      </c>
      <c r="U464" s="89"/>
      <c r="V464" s="51">
        <v>42868</v>
      </c>
      <c r="W464" s="49" t="s">
        <v>1608</v>
      </c>
    </row>
    <row r="465" spans="1:23" ht="13" customHeight="1" x14ac:dyDescent="0.35">
      <c r="A465" s="11">
        <v>460</v>
      </c>
      <c r="B465" s="47">
        <v>204967049</v>
      </c>
      <c r="C465" s="94" t="s">
        <v>466</v>
      </c>
      <c r="D465" s="11" t="s">
        <v>467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78</v>
      </c>
      <c r="M465" s="49" t="s">
        <v>92</v>
      </c>
      <c r="N465" s="48" t="s">
        <v>86</v>
      </c>
      <c r="O465" s="49" t="s">
        <v>35</v>
      </c>
      <c r="P465" s="11" t="s">
        <v>80</v>
      </c>
      <c r="Q465" s="11" t="s">
        <v>90</v>
      </c>
      <c r="R465" s="11" t="s">
        <v>232</v>
      </c>
      <c r="S465" s="11" t="s">
        <v>1797</v>
      </c>
      <c r="T465" s="90" t="s">
        <v>1</v>
      </c>
      <c r="U465" s="89"/>
      <c r="V465" s="51">
        <v>45826</v>
      </c>
      <c r="W465" s="49" t="s">
        <v>1606</v>
      </c>
    </row>
    <row r="466" spans="1:23" ht="13" customHeight="1" x14ac:dyDescent="0.35">
      <c r="A466" s="11">
        <v>461</v>
      </c>
      <c r="B466" s="47">
        <v>203881597</v>
      </c>
      <c r="C466" s="94" t="s">
        <v>468</v>
      </c>
      <c r="D466" s="11" t="s">
        <v>469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39</v>
      </c>
      <c r="K466" s="49" t="s">
        <v>76</v>
      </c>
      <c r="L466" s="49" t="s">
        <v>84</v>
      </c>
      <c r="M466" s="49" t="s">
        <v>85</v>
      </c>
      <c r="N466" s="48" t="s">
        <v>79</v>
      </c>
      <c r="O466" s="49" t="s">
        <v>35</v>
      </c>
      <c r="P466" s="11" t="s">
        <v>80</v>
      </c>
      <c r="Q466" s="11" t="s">
        <v>81</v>
      </c>
      <c r="R466" s="11" t="s">
        <v>232</v>
      </c>
      <c r="S466" s="11" t="s">
        <v>1797</v>
      </c>
      <c r="T466" s="90" t="s">
        <v>7</v>
      </c>
      <c r="U466" s="90" t="s">
        <v>3004</v>
      </c>
      <c r="V466" s="51">
        <v>45530</v>
      </c>
      <c r="W466" s="49" t="s">
        <v>1606</v>
      </c>
    </row>
    <row r="467" spans="1:23" ht="13" customHeight="1" x14ac:dyDescent="0.35">
      <c r="A467" s="11">
        <v>462</v>
      </c>
      <c r="B467" s="47">
        <v>203881599</v>
      </c>
      <c r="C467" s="94" t="s">
        <v>470</v>
      </c>
      <c r="D467" s="11" t="s">
        <v>471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39</v>
      </c>
      <c r="K467" s="49" t="s">
        <v>76</v>
      </c>
      <c r="L467" s="49" t="s">
        <v>95</v>
      </c>
      <c r="M467" s="49" t="s">
        <v>77</v>
      </c>
      <c r="N467" s="48" t="s">
        <v>79</v>
      </c>
      <c r="O467" s="49" t="s">
        <v>35</v>
      </c>
      <c r="P467" s="11" t="s">
        <v>80</v>
      </c>
      <c r="Q467" s="11" t="s">
        <v>81</v>
      </c>
      <c r="R467" s="11" t="s">
        <v>232</v>
      </c>
      <c r="S467" s="11" t="s">
        <v>1797</v>
      </c>
      <c r="T467" s="90" t="s">
        <v>10</v>
      </c>
      <c r="U467" s="90"/>
      <c r="V467" s="51">
        <v>45530</v>
      </c>
      <c r="W467" s="49" t="s">
        <v>1606</v>
      </c>
    </row>
    <row r="468" spans="1:23" ht="13" customHeight="1" x14ac:dyDescent="0.35">
      <c r="A468" s="11">
        <v>463</v>
      </c>
      <c r="B468" s="47">
        <v>204869096</v>
      </c>
      <c r="C468" s="94" t="s">
        <v>472</v>
      </c>
      <c r="D468" s="11" t="s">
        <v>473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77</v>
      </c>
      <c r="M468" s="49" t="s">
        <v>78</v>
      </c>
      <c r="N468" s="48" t="s">
        <v>86</v>
      </c>
      <c r="O468" s="49" t="s">
        <v>35</v>
      </c>
      <c r="P468" s="11" t="s">
        <v>80</v>
      </c>
      <c r="Q468" s="11" t="s">
        <v>87</v>
      </c>
      <c r="R468" s="11" t="s">
        <v>232</v>
      </c>
      <c r="S468" s="11" t="s">
        <v>1797</v>
      </c>
      <c r="T468" s="90" t="s">
        <v>10</v>
      </c>
      <c r="U468" s="89"/>
      <c r="V468" s="51">
        <v>45691</v>
      </c>
      <c r="W468" s="49" t="s">
        <v>1606</v>
      </c>
    </row>
    <row r="469" spans="1:23" ht="13" customHeight="1" x14ac:dyDescent="0.35">
      <c r="A469" s="11">
        <v>464</v>
      </c>
      <c r="B469" s="47">
        <v>204869088</v>
      </c>
      <c r="C469" s="94" t="s">
        <v>474</v>
      </c>
      <c r="D469" s="11" t="s">
        <v>475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88</v>
      </c>
      <c r="M469" s="49" t="s">
        <v>95</v>
      </c>
      <c r="N469" s="48" t="s">
        <v>86</v>
      </c>
      <c r="O469" s="49" t="s">
        <v>35</v>
      </c>
      <c r="P469" s="11" t="s">
        <v>80</v>
      </c>
      <c r="Q469" s="11" t="s">
        <v>87</v>
      </c>
      <c r="R469" s="11" t="s">
        <v>226</v>
      </c>
      <c r="S469" s="11" t="s">
        <v>227</v>
      </c>
      <c r="T469" s="90" t="s">
        <v>3</v>
      </c>
      <c r="U469" s="89"/>
      <c r="V469" s="51">
        <v>45691</v>
      </c>
      <c r="W469" s="49" t="s">
        <v>1605</v>
      </c>
    </row>
    <row r="470" spans="1:23" ht="13" customHeight="1" x14ac:dyDescent="0.35">
      <c r="A470" s="11">
        <v>465</v>
      </c>
      <c r="B470" s="47">
        <v>203521523</v>
      </c>
      <c r="C470" s="94" t="s">
        <v>476</v>
      </c>
      <c r="D470" s="11" t="s">
        <v>477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78</v>
      </c>
      <c r="M470" s="49" t="s">
        <v>92</v>
      </c>
      <c r="N470" s="48" t="s">
        <v>79</v>
      </c>
      <c r="O470" s="49" t="s">
        <v>35</v>
      </c>
      <c r="P470" s="11" t="s">
        <v>80</v>
      </c>
      <c r="Q470" s="11" t="s">
        <v>81</v>
      </c>
      <c r="R470" s="11" t="s">
        <v>226</v>
      </c>
      <c r="S470" s="11" t="s">
        <v>227</v>
      </c>
      <c r="T470" s="90" t="s">
        <v>1</v>
      </c>
      <c r="U470" s="90"/>
      <c r="V470" s="51">
        <v>45463</v>
      </c>
      <c r="W470" s="49" t="s">
        <v>1603</v>
      </c>
    </row>
    <row r="471" spans="1:23" ht="13" customHeight="1" x14ac:dyDescent="0.35">
      <c r="A471" s="11">
        <v>466</v>
      </c>
      <c r="B471" s="47">
        <v>206874059</v>
      </c>
      <c r="C471" s="94" t="s">
        <v>2702</v>
      </c>
      <c r="D471" s="11" t="s">
        <v>2703</v>
      </c>
      <c r="E471" s="48" t="s">
        <v>31</v>
      </c>
      <c r="F471" s="48" t="s">
        <v>74</v>
      </c>
      <c r="G471" s="48" t="s">
        <v>64</v>
      </c>
      <c r="H471" s="48" t="s">
        <v>75</v>
      </c>
      <c r="I471" s="11">
        <v>1299</v>
      </c>
      <c r="J471" s="49" t="s">
        <v>32</v>
      </c>
      <c r="K471" s="49" t="s">
        <v>76</v>
      </c>
      <c r="L471" s="49" t="s">
        <v>78</v>
      </c>
      <c r="M471" s="49" t="s">
        <v>92</v>
      </c>
      <c r="N471" s="49" t="s">
        <v>89</v>
      </c>
      <c r="O471" s="48" t="s">
        <v>35</v>
      </c>
      <c r="P471" s="48" t="s">
        <v>80</v>
      </c>
      <c r="Q471" s="11" t="s">
        <v>90</v>
      </c>
      <c r="R471" s="11" t="s">
        <v>232</v>
      </c>
      <c r="S471" s="11" t="s">
        <v>1797</v>
      </c>
      <c r="T471" s="90" t="s">
        <v>1</v>
      </c>
      <c r="U471" s="90"/>
      <c r="V471" s="51">
        <v>46020</v>
      </c>
      <c r="W471" s="49" t="s">
        <v>1606</v>
      </c>
    </row>
    <row r="472" spans="1:23" ht="13" customHeight="1" x14ac:dyDescent="0.35">
      <c r="A472" s="11">
        <v>467</v>
      </c>
      <c r="B472" s="47">
        <v>204252239</v>
      </c>
      <c r="C472" s="94" t="s">
        <v>478</v>
      </c>
      <c r="D472" s="11" t="s">
        <v>479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85</v>
      </c>
      <c r="M472" s="49" t="s">
        <v>88</v>
      </c>
      <c r="N472" s="48" t="s">
        <v>86</v>
      </c>
      <c r="O472" s="49" t="s">
        <v>35</v>
      </c>
      <c r="P472" s="11" t="s">
        <v>80</v>
      </c>
      <c r="Q472" s="11" t="s">
        <v>87</v>
      </c>
      <c r="R472" s="11" t="s">
        <v>226</v>
      </c>
      <c r="S472" s="11" t="s">
        <v>227</v>
      </c>
      <c r="T472" s="90" t="s">
        <v>1</v>
      </c>
      <c r="U472" s="89"/>
      <c r="V472" s="51">
        <v>45579</v>
      </c>
      <c r="W472" s="49" t="s">
        <v>1606</v>
      </c>
    </row>
    <row r="473" spans="1:23" ht="13" customHeight="1" x14ac:dyDescent="0.35">
      <c r="A473" s="11">
        <v>468</v>
      </c>
      <c r="B473" s="47">
        <v>206934437</v>
      </c>
      <c r="C473" s="94" t="s">
        <v>2097</v>
      </c>
      <c r="D473" s="11" t="s">
        <v>2073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9" t="s">
        <v>89</v>
      </c>
      <c r="O473" s="49" t="s">
        <v>35</v>
      </c>
      <c r="P473" s="11" t="s">
        <v>80</v>
      </c>
      <c r="Q473" s="11" t="s">
        <v>96</v>
      </c>
      <c r="R473" s="11" t="s">
        <v>225</v>
      </c>
      <c r="S473" s="11" t="s">
        <v>2821</v>
      </c>
      <c r="T473" s="90" t="s">
        <v>4</v>
      </c>
      <c r="U473" s="91"/>
      <c r="V473" s="51">
        <v>46041</v>
      </c>
      <c r="W473" s="49" t="s">
        <v>1606</v>
      </c>
    </row>
    <row r="474" spans="1:23" ht="13" customHeight="1" x14ac:dyDescent="0.35">
      <c r="A474" s="11">
        <v>469</v>
      </c>
      <c r="B474" s="47">
        <v>203881596</v>
      </c>
      <c r="C474" s="94" t="s">
        <v>480</v>
      </c>
      <c r="D474" s="11" t="s">
        <v>481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77</v>
      </c>
      <c r="M474" s="49" t="s">
        <v>78</v>
      </c>
      <c r="N474" s="48" t="s">
        <v>79</v>
      </c>
      <c r="O474" s="49" t="s">
        <v>35</v>
      </c>
      <c r="P474" s="11" t="s">
        <v>80</v>
      </c>
      <c r="Q474" s="11" t="s">
        <v>81</v>
      </c>
      <c r="R474" s="11" t="s">
        <v>232</v>
      </c>
      <c r="S474" s="11" t="s">
        <v>1797</v>
      </c>
      <c r="T474" s="90" t="s">
        <v>10</v>
      </c>
      <c r="U474" s="90"/>
      <c r="V474" s="51">
        <v>45530</v>
      </c>
      <c r="W474" s="49" t="s">
        <v>1606</v>
      </c>
    </row>
    <row r="475" spans="1:23" ht="13" customHeight="1" x14ac:dyDescent="0.35">
      <c r="A475" s="11">
        <v>470</v>
      </c>
      <c r="B475" s="47">
        <v>204869092</v>
      </c>
      <c r="C475" s="94" t="s">
        <v>482</v>
      </c>
      <c r="D475" s="11" t="s">
        <v>483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88</v>
      </c>
      <c r="M475" s="49" t="s">
        <v>95</v>
      </c>
      <c r="N475" s="48" t="s">
        <v>86</v>
      </c>
      <c r="O475" s="49" t="s">
        <v>35</v>
      </c>
      <c r="P475" s="11" t="s">
        <v>80</v>
      </c>
      <c r="Q475" s="11" t="s">
        <v>87</v>
      </c>
      <c r="R475" s="11" t="s">
        <v>226</v>
      </c>
      <c r="S475" s="11" t="s">
        <v>227</v>
      </c>
      <c r="T475" s="90" t="s">
        <v>1</v>
      </c>
      <c r="U475" s="90"/>
      <c r="V475" s="51">
        <v>45691</v>
      </c>
      <c r="W475" s="49" t="s">
        <v>1605</v>
      </c>
    </row>
    <row r="476" spans="1:23" ht="13" customHeight="1" x14ac:dyDescent="0.35">
      <c r="A476" s="11">
        <v>471</v>
      </c>
      <c r="B476" s="47">
        <v>204883247</v>
      </c>
      <c r="C476" s="94" t="s">
        <v>484</v>
      </c>
      <c r="D476" s="11" t="s">
        <v>485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49" t="s">
        <v>35</v>
      </c>
      <c r="P476" s="11" t="s">
        <v>80</v>
      </c>
      <c r="Q476" s="11" t="s">
        <v>87</v>
      </c>
      <c r="R476" s="11" t="s">
        <v>226</v>
      </c>
      <c r="S476" s="11" t="s">
        <v>227</v>
      </c>
      <c r="T476" s="90" t="s">
        <v>1</v>
      </c>
      <c r="U476" s="89"/>
      <c r="V476" s="51">
        <v>45691</v>
      </c>
      <c r="W476" s="49" t="s">
        <v>1605</v>
      </c>
    </row>
    <row r="477" spans="1:23" ht="13" customHeight="1" x14ac:dyDescent="0.35">
      <c r="A477" s="11">
        <v>472</v>
      </c>
      <c r="B477" s="47">
        <v>204868854</v>
      </c>
      <c r="C477" s="94" t="s">
        <v>486</v>
      </c>
      <c r="D477" s="11" t="s">
        <v>487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32</v>
      </c>
      <c r="K477" s="49" t="s">
        <v>76</v>
      </c>
      <c r="L477" s="49" t="s">
        <v>78</v>
      </c>
      <c r="M477" s="49" t="s">
        <v>92</v>
      </c>
      <c r="N477" s="48" t="s">
        <v>86</v>
      </c>
      <c r="O477" s="49" t="s">
        <v>35</v>
      </c>
      <c r="P477" s="11" t="s">
        <v>80</v>
      </c>
      <c r="Q477" s="11" t="s">
        <v>87</v>
      </c>
      <c r="R477" s="11" t="s">
        <v>232</v>
      </c>
      <c r="S477" s="11" t="s">
        <v>1797</v>
      </c>
      <c r="T477" s="90" t="s">
        <v>1</v>
      </c>
      <c r="U477" s="89"/>
      <c r="V477" s="51">
        <v>45691</v>
      </c>
      <c r="W477" s="49" t="s">
        <v>1606</v>
      </c>
    </row>
    <row r="478" spans="1:23" ht="13" customHeight="1" x14ac:dyDescent="0.35">
      <c r="A478" s="11">
        <v>473</v>
      </c>
      <c r="B478" s="47">
        <v>203521526</v>
      </c>
      <c r="C478" s="94" t="s">
        <v>488</v>
      </c>
      <c r="D478" s="11" t="s">
        <v>489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79</v>
      </c>
      <c r="O478" s="49" t="s">
        <v>35</v>
      </c>
      <c r="P478" s="11" t="s">
        <v>80</v>
      </c>
      <c r="Q478" s="11" t="s">
        <v>81</v>
      </c>
      <c r="R478" s="11" t="s">
        <v>226</v>
      </c>
      <c r="S478" s="11" t="s">
        <v>227</v>
      </c>
      <c r="T478" s="90" t="s">
        <v>1</v>
      </c>
      <c r="U478" s="90"/>
      <c r="V478" s="51">
        <v>45463</v>
      </c>
      <c r="W478" s="49" t="s">
        <v>1603</v>
      </c>
    </row>
    <row r="479" spans="1:23" ht="13" customHeight="1" x14ac:dyDescent="0.35">
      <c r="A479" s="11">
        <v>474</v>
      </c>
      <c r="B479" s="47">
        <v>203521132</v>
      </c>
      <c r="C479" s="94" t="s">
        <v>490</v>
      </c>
      <c r="D479" s="11" t="s">
        <v>491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79</v>
      </c>
      <c r="O479" s="49" t="s">
        <v>35</v>
      </c>
      <c r="P479" s="11" t="s">
        <v>80</v>
      </c>
      <c r="Q479" s="11" t="s">
        <v>81</v>
      </c>
      <c r="R479" s="11" t="s">
        <v>226</v>
      </c>
      <c r="S479" s="11" t="s">
        <v>227</v>
      </c>
      <c r="T479" s="90" t="s">
        <v>1</v>
      </c>
      <c r="U479" s="89"/>
      <c r="V479" s="51">
        <v>45463</v>
      </c>
      <c r="W479" s="49" t="s">
        <v>1606</v>
      </c>
    </row>
    <row r="480" spans="1:23" ht="13" customHeight="1" x14ac:dyDescent="0.35">
      <c r="A480" s="11">
        <v>475</v>
      </c>
      <c r="B480" s="47">
        <v>203800381</v>
      </c>
      <c r="C480" s="94" t="s">
        <v>2704</v>
      </c>
      <c r="D480" s="11" t="s">
        <v>2705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78</v>
      </c>
      <c r="M480" s="49" t="s">
        <v>92</v>
      </c>
      <c r="N480" s="48" t="s">
        <v>86</v>
      </c>
      <c r="O480" s="49" t="s">
        <v>35</v>
      </c>
      <c r="P480" s="11" t="s">
        <v>80</v>
      </c>
      <c r="Q480" s="11" t="s">
        <v>90</v>
      </c>
      <c r="R480" s="11" t="s">
        <v>226</v>
      </c>
      <c r="S480" s="11" t="s">
        <v>227</v>
      </c>
      <c r="T480" s="90" t="s">
        <v>1</v>
      </c>
      <c r="U480" s="89"/>
      <c r="V480" s="51">
        <v>45516</v>
      </c>
      <c r="W480" s="49" t="s">
        <v>1607</v>
      </c>
    </row>
    <row r="481" spans="1:23" ht="13" customHeight="1" x14ac:dyDescent="0.35">
      <c r="A481" s="11">
        <v>476</v>
      </c>
      <c r="B481" s="47">
        <v>203736777</v>
      </c>
      <c r="C481" s="94" t="s">
        <v>492</v>
      </c>
      <c r="D481" s="11" t="s">
        <v>493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39</v>
      </c>
      <c r="K481" s="49" t="s">
        <v>76</v>
      </c>
      <c r="L481" s="49" t="s">
        <v>92</v>
      </c>
      <c r="M481" s="49" t="s">
        <v>84</v>
      </c>
      <c r="N481" s="48" t="s">
        <v>86</v>
      </c>
      <c r="O481" s="49" t="s">
        <v>35</v>
      </c>
      <c r="P481" s="11" t="s">
        <v>80</v>
      </c>
      <c r="Q481" s="11" t="s">
        <v>99</v>
      </c>
      <c r="R481" s="11" t="s">
        <v>225</v>
      </c>
      <c r="S481" s="11" t="s">
        <v>2821</v>
      </c>
      <c r="T481" s="90" t="s">
        <v>1</v>
      </c>
      <c r="U481" s="91"/>
      <c r="V481" s="51">
        <v>45502</v>
      </c>
      <c r="W481" s="49" t="s">
        <v>1606</v>
      </c>
    </row>
    <row r="482" spans="1:23" ht="13" customHeight="1" x14ac:dyDescent="0.35">
      <c r="A482" s="11">
        <v>477</v>
      </c>
      <c r="B482" s="11">
        <v>206953970</v>
      </c>
      <c r="C482" s="94" t="s">
        <v>2706</v>
      </c>
      <c r="D482" s="11" t="s">
        <v>2707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39</v>
      </c>
      <c r="K482" s="49" t="s">
        <v>76</v>
      </c>
      <c r="L482" s="49" t="s">
        <v>78</v>
      </c>
      <c r="M482" s="49" t="s">
        <v>92</v>
      </c>
      <c r="N482" s="48" t="s">
        <v>86</v>
      </c>
      <c r="O482" s="87" t="s">
        <v>35</v>
      </c>
      <c r="P482" s="11" t="s">
        <v>80</v>
      </c>
      <c r="Q482" s="83" t="s">
        <v>90</v>
      </c>
      <c r="R482" s="11" t="s">
        <v>225</v>
      </c>
      <c r="S482" s="54" t="s">
        <v>2821</v>
      </c>
      <c r="T482" s="90" t="s">
        <v>1</v>
      </c>
      <c r="U482" s="90"/>
      <c r="V482" s="51">
        <v>46051</v>
      </c>
      <c r="W482" s="2" t="s">
        <v>1606</v>
      </c>
    </row>
    <row r="483" spans="1:23" ht="13" customHeight="1" x14ac:dyDescent="0.35">
      <c r="A483" s="11">
        <v>478</v>
      </c>
      <c r="B483" s="47">
        <v>206873867</v>
      </c>
      <c r="C483" s="94" t="s">
        <v>2708</v>
      </c>
      <c r="D483" s="11" t="s">
        <v>2709</v>
      </c>
      <c r="E483" s="48" t="s">
        <v>31</v>
      </c>
      <c r="F483" s="48" t="s">
        <v>74</v>
      </c>
      <c r="G483" s="48" t="s">
        <v>64</v>
      </c>
      <c r="H483" s="48" t="s">
        <v>75</v>
      </c>
      <c r="I483" s="11">
        <v>1299</v>
      </c>
      <c r="J483" s="49" t="s">
        <v>39</v>
      </c>
      <c r="K483" s="49" t="s">
        <v>76</v>
      </c>
      <c r="L483" s="49" t="s">
        <v>77</v>
      </c>
      <c r="M483" s="49" t="s">
        <v>78</v>
      </c>
      <c r="N483" s="49" t="s">
        <v>89</v>
      </c>
      <c r="O483" s="48" t="s">
        <v>35</v>
      </c>
      <c r="P483" s="48" t="s">
        <v>80</v>
      </c>
      <c r="Q483" s="11" t="s">
        <v>90</v>
      </c>
      <c r="R483" s="11" t="s">
        <v>232</v>
      </c>
      <c r="S483" s="11" t="s">
        <v>1797</v>
      </c>
      <c r="T483" s="90" t="s">
        <v>10</v>
      </c>
      <c r="U483" s="89"/>
      <c r="V483" s="51">
        <v>46020</v>
      </c>
      <c r="W483" s="49" t="s">
        <v>1606</v>
      </c>
    </row>
    <row r="484" spans="1:23" ht="13" customHeight="1" x14ac:dyDescent="0.35">
      <c r="A484" s="11">
        <v>479</v>
      </c>
      <c r="B484" s="47">
        <v>203468399</v>
      </c>
      <c r="C484" s="94" t="s">
        <v>494</v>
      </c>
      <c r="D484" s="11" t="s">
        <v>495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78</v>
      </c>
      <c r="M484" s="49" t="s">
        <v>92</v>
      </c>
      <c r="N484" s="48" t="s">
        <v>79</v>
      </c>
      <c r="O484" s="49" t="s">
        <v>35</v>
      </c>
      <c r="P484" s="11" t="s">
        <v>80</v>
      </c>
      <c r="Q484" s="11" t="s">
        <v>81</v>
      </c>
      <c r="R484" s="11" t="s">
        <v>225</v>
      </c>
      <c r="S484" s="11" t="s">
        <v>2821</v>
      </c>
      <c r="T484" s="90" t="s">
        <v>7</v>
      </c>
      <c r="U484" s="90" t="s">
        <v>3004</v>
      </c>
      <c r="V484" s="51">
        <v>45456</v>
      </c>
      <c r="W484" s="49" t="s">
        <v>1603</v>
      </c>
    </row>
    <row r="485" spans="1:23" ht="13" customHeight="1" x14ac:dyDescent="0.35">
      <c r="A485" s="11">
        <v>480</v>
      </c>
      <c r="B485" s="47">
        <v>203736772</v>
      </c>
      <c r="C485" s="94" t="s">
        <v>496</v>
      </c>
      <c r="D485" s="11" t="s">
        <v>497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88</v>
      </c>
      <c r="M485" s="49" t="s">
        <v>95</v>
      </c>
      <c r="N485" s="48" t="s">
        <v>86</v>
      </c>
      <c r="O485" s="49" t="s">
        <v>35</v>
      </c>
      <c r="P485" s="11" t="s">
        <v>80</v>
      </c>
      <c r="Q485" s="11" t="s">
        <v>99</v>
      </c>
      <c r="R485" s="11" t="s">
        <v>232</v>
      </c>
      <c r="S485" s="11" t="s">
        <v>1797</v>
      </c>
      <c r="T485" s="90" t="s">
        <v>1</v>
      </c>
      <c r="U485" s="90"/>
      <c r="V485" s="51">
        <v>45502</v>
      </c>
      <c r="W485" s="49" t="s">
        <v>1606</v>
      </c>
    </row>
    <row r="486" spans="1:23" ht="13" customHeight="1" x14ac:dyDescent="0.35">
      <c r="A486" s="11">
        <v>481</v>
      </c>
      <c r="B486" s="47">
        <v>204246604</v>
      </c>
      <c r="C486" s="94" t="s">
        <v>498</v>
      </c>
      <c r="D486" s="11" t="s">
        <v>499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78</v>
      </c>
      <c r="M486" s="49" t="s">
        <v>92</v>
      </c>
      <c r="N486" s="48" t="s">
        <v>86</v>
      </c>
      <c r="O486" s="49" t="s">
        <v>35</v>
      </c>
      <c r="P486" s="11" t="s">
        <v>80</v>
      </c>
      <c r="Q486" s="11" t="s">
        <v>87</v>
      </c>
      <c r="R486" s="11" t="s">
        <v>232</v>
      </c>
      <c r="S486" s="11" t="s">
        <v>1797</v>
      </c>
      <c r="T486" s="90" t="s">
        <v>7</v>
      </c>
      <c r="U486" s="89" t="s">
        <v>3004</v>
      </c>
      <c r="V486" s="51">
        <v>45579</v>
      </c>
      <c r="W486" s="49" t="s">
        <v>1606</v>
      </c>
    </row>
    <row r="487" spans="1:23" ht="13" customHeight="1" x14ac:dyDescent="0.35">
      <c r="A487" s="11">
        <v>482</v>
      </c>
      <c r="B487" s="47">
        <v>203709595</v>
      </c>
      <c r="C487" s="94" t="s">
        <v>500</v>
      </c>
      <c r="D487" s="11" t="s">
        <v>501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39</v>
      </c>
      <c r="K487" s="49" t="s">
        <v>76</v>
      </c>
      <c r="L487" s="49" t="s">
        <v>78</v>
      </c>
      <c r="M487" s="49" t="s">
        <v>92</v>
      </c>
      <c r="N487" s="48" t="s">
        <v>86</v>
      </c>
      <c r="O487" s="49" t="s">
        <v>35</v>
      </c>
      <c r="P487" s="11" t="s">
        <v>80</v>
      </c>
      <c r="Q487" s="11" t="s">
        <v>99</v>
      </c>
      <c r="R487" s="11" t="s">
        <v>232</v>
      </c>
      <c r="S487" s="11" t="s">
        <v>1797</v>
      </c>
      <c r="T487" s="90" t="s">
        <v>1</v>
      </c>
      <c r="U487" s="90"/>
      <c r="V487" s="51">
        <v>45495</v>
      </c>
      <c r="W487" s="49" t="s">
        <v>1606</v>
      </c>
    </row>
    <row r="488" spans="1:23" ht="13" customHeight="1" x14ac:dyDescent="0.35">
      <c r="A488" s="11">
        <v>483</v>
      </c>
      <c r="B488" s="47">
        <v>204882806</v>
      </c>
      <c r="C488" s="94" t="s">
        <v>2710</v>
      </c>
      <c r="D488" s="11" t="s">
        <v>2711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77</v>
      </c>
      <c r="M488" s="49" t="s">
        <v>78</v>
      </c>
      <c r="N488" s="48" t="s">
        <v>86</v>
      </c>
      <c r="O488" s="49" t="s">
        <v>35</v>
      </c>
      <c r="P488" s="11" t="s">
        <v>80</v>
      </c>
      <c r="Q488" s="11" t="s">
        <v>90</v>
      </c>
      <c r="R488" s="11" t="s">
        <v>232</v>
      </c>
      <c r="S488" s="11" t="s">
        <v>1797</v>
      </c>
      <c r="T488" s="90" t="s">
        <v>10</v>
      </c>
      <c r="U488" s="90"/>
      <c r="V488" s="51">
        <v>45691</v>
      </c>
      <c r="W488" s="49" t="s">
        <v>1606</v>
      </c>
    </row>
    <row r="489" spans="1:23" ht="13" customHeight="1" x14ac:dyDescent="0.35">
      <c r="A489" s="11">
        <v>484</v>
      </c>
      <c r="B489" s="47">
        <v>204967150</v>
      </c>
      <c r="C489" s="94" t="s">
        <v>2712</v>
      </c>
      <c r="D489" s="11" t="s">
        <v>2713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78</v>
      </c>
      <c r="M489" s="49" t="s">
        <v>92</v>
      </c>
      <c r="N489" s="48" t="s">
        <v>86</v>
      </c>
      <c r="O489" s="49" t="s">
        <v>35</v>
      </c>
      <c r="P489" s="11" t="s">
        <v>80</v>
      </c>
      <c r="Q489" s="11" t="s">
        <v>90</v>
      </c>
      <c r="R489" s="11" t="s">
        <v>232</v>
      </c>
      <c r="S489" s="11" t="s">
        <v>1797</v>
      </c>
      <c r="T489" s="90" t="s">
        <v>1</v>
      </c>
      <c r="U489" s="91"/>
      <c r="V489" s="51">
        <v>45826</v>
      </c>
      <c r="W489" s="49" t="s">
        <v>1606</v>
      </c>
    </row>
    <row r="490" spans="1:23" ht="13" customHeight="1" x14ac:dyDescent="0.35">
      <c r="A490" s="11">
        <v>485</v>
      </c>
      <c r="B490" s="47">
        <v>203816300</v>
      </c>
      <c r="C490" s="94" t="s">
        <v>2714</v>
      </c>
      <c r="D490" s="11" t="s">
        <v>2715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39</v>
      </c>
      <c r="K490" s="49" t="s">
        <v>76</v>
      </c>
      <c r="L490" s="49" t="s">
        <v>78</v>
      </c>
      <c r="M490" s="49" t="s">
        <v>92</v>
      </c>
      <c r="N490" s="49" t="s">
        <v>89</v>
      </c>
      <c r="O490" s="49" t="s">
        <v>35</v>
      </c>
      <c r="P490" s="11" t="s">
        <v>80</v>
      </c>
      <c r="Q490" s="11" t="s">
        <v>90</v>
      </c>
      <c r="R490" s="11" t="s">
        <v>226</v>
      </c>
      <c r="S490" s="11" t="s">
        <v>227</v>
      </c>
      <c r="T490" s="90" t="s">
        <v>1</v>
      </c>
      <c r="U490" s="89"/>
      <c r="V490" s="51">
        <v>45524</v>
      </c>
      <c r="W490" s="49" t="s">
        <v>1605</v>
      </c>
    </row>
    <row r="491" spans="1:23" ht="13" customHeight="1" x14ac:dyDescent="0.35">
      <c r="A491" s="11">
        <v>486</v>
      </c>
      <c r="B491" s="47">
        <v>203735944</v>
      </c>
      <c r="C491" s="94" t="s">
        <v>2716</v>
      </c>
      <c r="D491" s="11" t="s">
        <v>2717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95</v>
      </c>
      <c r="M491" s="49" t="s">
        <v>77</v>
      </c>
      <c r="N491" s="48" t="s">
        <v>86</v>
      </c>
      <c r="O491" s="49" t="s">
        <v>35</v>
      </c>
      <c r="P491" s="11" t="s">
        <v>80</v>
      </c>
      <c r="Q491" s="11" t="s">
        <v>90</v>
      </c>
      <c r="R491" s="11" t="s">
        <v>232</v>
      </c>
      <c r="S491" s="11" t="s">
        <v>1797</v>
      </c>
      <c r="T491" s="90" t="s">
        <v>10</v>
      </c>
      <c r="U491" s="89"/>
      <c r="V491" s="51">
        <v>45502</v>
      </c>
      <c r="W491" s="49" t="s">
        <v>1606</v>
      </c>
    </row>
    <row r="492" spans="1:23" ht="13" customHeight="1" x14ac:dyDescent="0.35">
      <c r="A492" s="11">
        <v>487</v>
      </c>
      <c r="B492" s="47">
        <v>203736755</v>
      </c>
      <c r="C492" s="94" t="s">
        <v>502</v>
      </c>
      <c r="D492" s="11" t="s">
        <v>503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32</v>
      </c>
      <c r="K492" s="49" t="s">
        <v>76</v>
      </c>
      <c r="L492" s="49" t="s">
        <v>77</v>
      </c>
      <c r="M492" s="49" t="s">
        <v>78</v>
      </c>
      <c r="N492" s="48" t="s">
        <v>86</v>
      </c>
      <c r="O492" s="49" t="s">
        <v>35</v>
      </c>
      <c r="P492" s="11" t="s">
        <v>80</v>
      </c>
      <c r="Q492" s="11" t="s">
        <v>99</v>
      </c>
      <c r="R492" s="11" t="s">
        <v>232</v>
      </c>
      <c r="S492" s="11" t="s">
        <v>1797</v>
      </c>
      <c r="T492" s="90" t="s">
        <v>10</v>
      </c>
      <c r="U492" s="89"/>
      <c r="V492" s="51">
        <v>45502</v>
      </c>
      <c r="W492" s="49" t="s">
        <v>1606</v>
      </c>
    </row>
    <row r="493" spans="1:23" ht="13" customHeight="1" x14ac:dyDescent="0.35">
      <c r="A493" s="11">
        <v>488</v>
      </c>
      <c r="B493" s="47">
        <v>206873871</v>
      </c>
      <c r="C493" s="94" t="s">
        <v>1814</v>
      </c>
      <c r="D493" s="11" t="s">
        <v>1815</v>
      </c>
      <c r="E493" s="48" t="s">
        <v>31</v>
      </c>
      <c r="F493" s="48" t="s">
        <v>74</v>
      </c>
      <c r="G493" s="48" t="s">
        <v>64</v>
      </c>
      <c r="H493" s="48" t="s">
        <v>75</v>
      </c>
      <c r="I493" s="11">
        <v>1299</v>
      </c>
      <c r="J493" s="49" t="s">
        <v>32</v>
      </c>
      <c r="K493" s="49" t="s">
        <v>76</v>
      </c>
      <c r="L493" s="49" t="s">
        <v>78</v>
      </c>
      <c r="M493" s="49" t="s">
        <v>92</v>
      </c>
      <c r="N493" s="49" t="s">
        <v>89</v>
      </c>
      <c r="O493" s="48" t="s">
        <v>35</v>
      </c>
      <c r="P493" s="48" t="s">
        <v>80</v>
      </c>
      <c r="Q493" s="11" t="s">
        <v>90</v>
      </c>
      <c r="R493" s="11" t="s">
        <v>232</v>
      </c>
      <c r="S493" s="11" t="s">
        <v>1797</v>
      </c>
      <c r="T493" s="90" t="s">
        <v>7</v>
      </c>
      <c r="U493" s="90" t="s">
        <v>3004</v>
      </c>
      <c r="V493" s="51">
        <v>46020</v>
      </c>
      <c r="W493" s="49" t="s">
        <v>1606</v>
      </c>
    </row>
    <row r="494" spans="1:23" ht="13" customHeight="1" x14ac:dyDescent="0.35">
      <c r="A494" s="11">
        <v>489</v>
      </c>
      <c r="B494" s="47">
        <v>204890367</v>
      </c>
      <c r="C494" s="94" t="s">
        <v>504</v>
      </c>
      <c r="D494" s="11" t="s">
        <v>505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32</v>
      </c>
      <c r="K494" s="49" t="s">
        <v>76</v>
      </c>
      <c r="L494" s="49" t="s">
        <v>85</v>
      </c>
      <c r="M494" s="49" t="s">
        <v>88</v>
      </c>
      <c r="N494" s="48" t="s">
        <v>86</v>
      </c>
      <c r="O494" s="49" t="s">
        <v>35</v>
      </c>
      <c r="P494" s="11" t="s">
        <v>80</v>
      </c>
      <c r="Q494" s="11" t="s">
        <v>90</v>
      </c>
      <c r="R494" s="11" t="s">
        <v>232</v>
      </c>
      <c r="S494" s="11" t="s">
        <v>1797</v>
      </c>
      <c r="T494" s="90" t="s">
        <v>1</v>
      </c>
      <c r="U494" s="90"/>
      <c r="V494" s="51">
        <v>45826</v>
      </c>
      <c r="W494" s="49" t="s">
        <v>1606</v>
      </c>
    </row>
    <row r="495" spans="1:23" ht="13" customHeight="1" x14ac:dyDescent="0.35">
      <c r="A495" s="11">
        <v>490</v>
      </c>
      <c r="B495" s="47">
        <v>201633155</v>
      </c>
      <c r="C495" s="94" t="s">
        <v>506</v>
      </c>
      <c r="D495" s="11" t="s">
        <v>507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32</v>
      </c>
      <c r="K495" s="49" t="s">
        <v>76</v>
      </c>
      <c r="L495" s="49" t="s">
        <v>84</v>
      </c>
      <c r="M495" s="49" t="s">
        <v>85</v>
      </c>
      <c r="N495" s="48" t="s">
        <v>86</v>
      </c>
      <c r="O495" s="49" t="s">
        <v>35</v>
      </c>
      <c r="P495" s="11" t="s">
        <v>80</v>
      </c>
      <c r="Q495" s="11" t="s">
        <v>87</v>
      </c>
      <c r="R495" s="11" t="s">
        <v>226</v>
      </c>
      <c r="S495" s="11" t="s">
        <v>227</v>
      </c>
      <c r="T495" s="90" t="s">
        <v>1</v>
      </c>
      <c r="U495" s="90"/>
      <c r="V495" s="51">
        <v>45581</v>
      </c>
      <c r="W495" s="49" t="s">
        <v>1606</v>
      </c>
    </row>
    <row r="496" spans="1:23" ht="13" customHeight="1" x14ac:dyDescent="0.35">
      <c r="A496" s="11">
        <v>491</v>
      </c>
      <c r="B496" s="47">
        <v>103986189</v>
      </c>
      <c r="C496" s="94" t="s">
        <v>508</v>
      </c>
      <c r="D496" s="11" t="s">
        <v>509</v>
      </c>
      <c r="E496" s="48" t="s">
        <v>34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39</v>
      </c>
      <c r="K496" s="49" t="s">
        <v>76</v>
      </c>
      <c r="L496" s="49" t="s">
        <v>95</v>
      </c>
      <c r="M496" s="49" t="s">
        <v>77</v>
      </c>
      <c r="N496" s="48" t="s">
        <v>97</v>
      </c>
      <c r="O496" s="49" t="s">
        <v>35</v>
      </c>
      <c r="P496" s="11" t="s">
        <v>80</v>
      </c>
      <c r="Q496" s="11" t="s">
        <v>98</v>
      </c>
      <c r="R496" s="11" t="s">
        <v>232</v>
      </c>
      <c r="S496" s="11" t="s">
        <v>1797</v>
      </c>
      <c r="T496" s="90" t="s">
        <v>10</v>
      </c>
      <c r="U496" s="90"/>
      <c r="V496" s="51">
        <v>44782</v>
      </c>
      <c r="W496" s="49" t="s">
        <v>1603</v>
      </c>
    </row>
    <row r="497" spans="1:23" ht="13" customHeight="1" x14ac:dyDescent="0.35">
      <c r="A497" s="11">
        <v>492</v>
      </c>
      <c r="B497" s="47">
        <v>204403653</v>
      </c>
      <c r="C497" s="94" t="s">
        <v>510</v>
      </c>
      <c r="D497" s="11" t="s">
        <v>511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77</v>
      </c>
      <c r="M497" s="49" t="s">
        <v>78</v>
      </c>
      <c r="N497" s="48" t="s">
        <v>86</v>
      </c>
      <c r="O497" s="49" t="s">
        <v>35</v>
      </c>
      <c r="P497" s="11" t="s">
        <v>80</v>
      </c>
      <c r="Q497" s="11" t="s">
        <v>99</v>
      </c>
      <c r="R497" s="11" t="s">
        <v>232</v>
      </c>
      <c r="S497" s="11" t="s">
        <v>1797</v>
      </c>
      <c r="T497" s="90" t="s">
        <v>10</v>
      </c>
      <c r="U497" s="90"/>
      <c r="V497" s="51">
        <v>45596</v>
      </c>
      <c r="W497" s="49" t="s">
        <v>1606</v>
      </c>
    </row>
    <row r="498" spans="1:23" ht="13" customHeight="1" x14ac:dyDescent="0.35">
      <c r="A498" s="11">
        <v>493</v>
      </c>
      <c r="B498" s="47">
        <v>204967148</v>
      </c>
      <c r="C498" s="94" t="s">
        <v>2718</v>
      </c>
      <c r="D498" s="11" t="s">
        <v>2719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39</v>
      </c>
      <c r="K498" s="49" t="s">
        <v>76</v>
      </c>
      <c r="L498" s="49" t="s">
        <v>92</v>
      </c>
      <c r="M498" s="49" t="s">
        <v>84</v>
      </c>
      <c r="N498" s="49" t="s">
        <v>89</v>
      </c>
      <c r="O498" s="49" t="s">
        <v>35</v>
      </c>
      <c r="P498" s="11" t="s">
        <v>80</v>
      </c>
      <c r="Q498" s="11" t="s">
        <v>90</v>
      </c>
      <c r="R498" s="11" t="s">
        <v>232</v>
      </c>
      <c r="S498" s="11" t="s">
        <v>1797</v>
      </c>
      <c r="T498" s="90" t="s">
        <v>1</v>
      </c>
      <c r="U498" s="89"/>
      <c r="V498" s="51">
        <v>45826</v>
      </c>
      <c r="W498" s="49" t="s">
        <v>1606</v>
      </c>
    </row>
    <row r="499" spans="1:23" ht="13" customHeight="1" x14ac:dyDescent="0.35">
      <c r="A499" s="11">
        <v>494</v>
      </c>
      <c r="B499" s="47">
        <v>203813080</v>
      </c>
      <c r="C499" s="94" t="s">
        <v>512</v>
      </c>
      <c r="D499" s="11" t="s">
        <v>513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39</v>
      </c>
      <c r="K499" s="49" t="s">
        <v>76</v>
      </c>
      <c r="L499" s="49" t="s">
        <v>78</v>
      </c>
      <c r="M499" s="49" t="s">
        <v>92</v>
      </c>
      <c r="N499" s="48" t="s">
        <v>86</v>
      </c>
      <c r="O499" s="49" t="s">
        <v>35</v>
      </c>
      <c r="P499" s="11" t="s">
        <v>80</v>
      </c>
      <c r="Q499" s="11" t="s">
        <v>99</v>
      </c>
      <c r="R499" s="11" t="s">
        <v>232</v>
      </c>
      <c r="S499" s="11" t="s">
        <v>1797</v>
      </c>
      <c r="T499" s="90" t="s">
        <v>1</v>
      </c>
      <c r="U499" s="91"/>
      <c r="V499" s="51">
        <v>45517</v>
      </c>
      <c r="W499" s="49" t="s">
        <v>1606</v>
      </c>
    </row>
    <row r="500" spans="1:23" ht="13" customHeight="1" x14ac:dyDescent="0.35">
      <c r="A500" s="11">
        <v>495</v>
      </c>
      <c r="B500" s="47">
        <v>206846697</v>
      </c>
      <c r="C500" s="94" t="s">
        <v>2720</v>
      </c>
      <c r="D500" s="47" t="s">
        <v>2721</v>
      </c>
      <c r="E500" s="47" t="s">
        <v>31</v>
      </c>
      <c r="F500" s="47" t="s">
        <v>74</v>
      </c>
      <c r="G500" s="47" t="s">
        <v>64</v>
      </c>
      <c r="H500" s="47" t="s">
        <v>75</v>
      </c>
      <c r="I500" s="47">
        <v>1299</v>
      </c>
      <c r="J500" s="49" t="s">
        <v>32</v>
      </c>
      <c r="K500" s="49" t="s">
        <v>76</v>
      </c>
      <c r="L500" s="49" t="s">
        <v>78</v>
      </c>
      <c r="M500" s="49" t="s">
        <v>92</v>
      </c>
      <c r="N500" s="49" t="s">
        <v>89</v>
      </c>
      <c r="O500" s="47" t="s">
        <v>35</v>
      </c>
      <c r="P500" s="47" t="s">
        <v>80</v>
      </c>
      <c r="Q500" s="47" t="s">
        <v>90</v>
      </c>
      <c r="R500" s="11" t="s">
        <v>232</v>
      </c>
      <c r="S500" s="47" t="s">
        <v>1797</v>
      </c>
      <c r="T500" s="90" t="s">
        <v>1</v>
      </c>
      <c r="U500" s="90"/>
      <c r="V500" s="51">
        <v>46013</v>
      </c>
      <c r="W500" s="47" t="s">
        <v>1606</v>
      </c>
    </row>
    <row r="501" spans="1:23" ht="13" customHeight="1" x14ac:dyDescent="0.35">
      <c r="A501" s="11">
        <v>496</v>
      </c>
      <c r="B501" s="47">
        <v>204883234</v>
      </c>
      <c r="C501" s="94" t="s">
        <v>514</v>
      </c>
      <c r="D501" s="11" t="s">
        <v>515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78</v>
      </c>
      <c r="M501" s="49" t="s">
        <v>92</v>
      </c>
      <c r="N501" s="48" t="s">
        <v>86</v>
      </c>
      <c r="O501" s="49" t="s">
        <v>35</v>
      </c>
      <c r="P501" s="11" t="s">
        <v>80</v>
      </c>
      <c r="Q501" s="11" t="s">
        <v>87</v>
      </c>
      <c r="R501" s="11" t="s">
        <v>226</v>
      </c>
      <c r="S501" s="11" t="s">
        <v>227</v>
      </c>
      <c r="T501" s="90" t="s">
        <v>1</v>
      </c>
      <c r="U501" s="89"/>
      <c r="V501" s="51">
        <v>45691</v>
      </c>
      <c r="W501" s="49" t="s">
        <v>1605</v>
      </c>
    </row>
    <row r="502" spans="1:23" ht="13" customHeight="1" x14ac:dyDescent="0.35">
      <c r="A502" s="11">
        <v>497</v>
      </c>
      <c r="B502" s="47">
        <v>203851274</v>
      </c>
      <c r="C502" s="94" t="s">
        <v>516</v>
      </c>
      <c r="D502" s="11" t="s">
        <v>517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8" t="s">
        <v>518</v>
      </c>
      <c r="O502" s="49" t="s">
        <v>35</v>
      </c>
      <c r="P502" s="11" t="s">
        <v>80</v>
      </c>
      <c r="Q502" s="11" t="s">
        <v>99</v>
      </c>
      <c r="R502" s="11" t="s">
        <v>226</v>
      </c>
      <c r="S502" s="11" t="s">
        <v>227</v>
      </c>
      <c r="T502" s="90" t="s">
        <v>1</v>
      </c>
      <c r="U502" s="91"/>
      <c r="V502" s="51">
        <v>45524</v>
      </c>
      <c r="W502" s="49" t="s">
        <v>1606</v>
      </c>
    </row>
    <row r="503" spans="1:23" ht="13" customHeight="1" x14ac:dyDescent="0.35">
      <c r="A503" s="11">
        <v>498</v>
      </c>
      <c r="B503" s="47">
        <v>205495599</v>
      </c>
      <c r="C503" s="94" t="s">
        <v>519</v>
      </c>
      <c r="D503" s="11" t="s">
        <v>520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32</v>
      </c>
      <c r="K503" s="49" t="s">
        <v>76</v>
      </c>
      <c r="L503" s="49" t="s">
        <v>78</v>
      </c>
      <c r="M503" s="49" t="s">
        <v>92</v>
      </c>
      <c r="N503" s="49" t="s">
        <v>89</v>
      </c>
      <c r="O503" s="49" t="s">
        <v>35</v>
      </c>
      <c r="P503" s="11" t="s">
        <v>80</v>
      </c>
      <c r="Q503" s="11" t="s">
        <v>96</v>
      </c>
      <c r="R503" s="11" t="s">
        <v>226</v>
      </c>
      <c r="S503" s="11" t="s">
        <v>227</v>
      </c>
      <c r="T503" s="90" t="s">
        <v>1</v>
      </c>
      <c r="U503" s="89"/>
      <c r="V503" s="51">
        <v>45831</v>
      </c>
      <c r="W503" s="49" t="s">
        <v>1607</v>
      </c>
    </row>
    <row r="504" spans="1:23" ht="13" customHeight="1" x14ac:dyDescent="0.35">
      <c r="A504" s="11">
        <v>499</v>
      </c>
      <c r="B504" s="47">
        <v>203737250</v>
      </c>
      <c r="C504" s="94" t="s">
        <v>2722</v>
      </c>
      <c r="D504" s="11" t="s">
        <v>2723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39</v>
      </c>
      <c r="K504" s="49" t="s">
        <v>76</v>
      </c>
      <c r="L504" s="49" t="s">
        <v>84</v>
      </c>
      <c r="M504" s="49" t="s">
        <v>85</v>
      </c>
      <c r="N504" s="48" t="s">
        <v>86</v>
      </c>
      <c r="O504" s="49" t="s">
        <v>35</v>
      </c>
      <c r="P504" s="11" t="s">
        <v>80</v>
      </c>
      <c r="Q504" s="11" t="s">
        <v>90</v>
      </c>
      <c r="R504" s="11" t="s">
        <v>232</v>
      </c>
      <c r="S504" s="11" t="s">
        <v>1797</v>
      </c>
      <c r="T504" s="90" t="s">
        <v>1</v>
      </c>
      <c r="U504" s="90"/>
      <c r="V504" s="51">
        <v>45502</v>
      </c>
      <c r="W504" s="49" t="s">
        <v>1606</v>
      </c>
    </row>
    <row r="505" spans="1:23" ht="13" customHeight="1" x14ac:dyDescent="0.35">
      <c r="A505" s="11">
        <v>500</v>
      </c>
      <c r="B505" s="47">
        <v>204967146</v>
      </c>
      <c r="C505" s="94" t="s">
        <v>2724</v>
      </c>
      <c r="D505" s="11" t="s">
        <v>2725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39</v>
      </c>
      <c r="K505" s="49" t="s">
        <v>76</v>
      </c>
      <c r="L505" s="49" t="s">
        <v>95</v>
      </c>
      <c r="M505" s="49" t="s">
        <v>77</v>
      </c>
      <c r="N505" s="49" t="s">
        <v>89</v>
      </c>
      <c r="O505" s="49" t="s">
        <v>35</v>
      </c>
      <c r="P505" s="11" t="s">
        <v>80</v>
      </c>
      <c r="Q505" s="11" t="s">
        <v>90</v>
      </c>
      <c r="R505" s="11" t="s">
        <v>232</v>
      </c>
      <c r="S505" s="11" t="s">
        <v>1797</v>
      </c>
      <c r="T505" s="90" t="s">
        <v>10</v>
      </c>
      <c r="U505" s="90"/>
      <c r="V505" s="51">
        <v>45826</v>
      </c>
      <c r="W505" s="49" t="s">
        <v>1606</v>
      </c>
    </row>
    <row r="506" spans="1:23" ht="13" customHeight="1" x14ac:dyDescent="0.35">
      <c r="A506" s="11">
        <v>501</v>
      </c>
      <c r="B506" s="47">
        <v>206791444</v>
      </c>
      <c r="C506" s="94" t="s">
        <v>2726</v>
      </c>
      <c r="D506" s="11" t="s">
        <v>2727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78</v>
      </c>
      <c r="M506" s="49" t="s">
        <v>92</v>
      </c>
      <c r="N506" s="49" t="s">
        <v>89</v>
      </c>
      <c r="O506" s="49" t="s">
        <v>35</v>
      </c>
      <c r="P506" s="11" t="s">
        <v>80</v>
      </c>
      <c r="Q506" s="11" t="s">
        <v>90</v>
      </c>
      <c r="R506" s="11" t="s">
        <v>225</v>
      </c>
      <c r="S506" s="11" t="s">
        <v>2821</v>
      </c>
      <c r="T506" s="90" t="s">
        <v>1</v>
      </c>
      <c r="U506" s="89"/>
      <c r="V506" s="51">
        <v>45999</v>
      </c>
      <c r="W506" s="49" t="s">
        <v>1606</v>
      </c>
    </row>
    <row r="507" spans="1:23" ht="13" customHeight="1" x14ac:dyDescent="0.35">
      <c r="A507" s="11">
        <v>502</v>
      </c>
      <c r="B507" s="11">
        <v>206953813</v>
      </c>
      <c r="C507" s="94" t="s">
        <v>2728</v>
      </c>
      <c r="D507" s="11" t="s">
        <v>2729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39</v>
      </c>
      <c r="K507" s="49" t="s">
        <v>76</v>
      </c>
      <c r="L507" s="49" t="s">
        <v>78</v>
      </c>
      <c r="M507" s="49" t="s">
        <v>92</v>
      </c>
      <c r="N507" s="48" t="s">
        <v>86</v>
      </c>
      <c r="O507" s="87" t="s">
        <v>35</v>
      </c>
      <c r="P507" s="11" t="s">
        <v>80</v>
      </c>
      <c r="Q507" s="83" t="s">
        <v>90</v>
      </c>
      <c r="R507" s="11" t="s">
        <v>225</v>
      </c>
      <c r="S507" s="54" t="s">
        <v>2821</v>
      </c>
      <c r="T507" s="90" t="s">
        <v>1</v>
      </c>
      <c r="U507" s="90"/>
      <c r="V507" s="51">
        <v>46051</v>
      </c>
      <c r="W507" s="2" t="s">
        <v>1606</v>
      </c>
    </row>
    <row r="508" spans="1:23" ht="13" customHeight="1" x14ac:dyDescent="0.35">
      <c r="A508" s="11">
        <v>503</v>
      </c>
      <c r="B508" s="47">
        <v>206873780</v>
      </c>
      <c r="C508" s="94" t="s">
        <v>2730</v>
      </c>
      <c r="D508" s="11" t="s">
        <v>2731</v>
      </c>
      <c r="E508" s="48" t="s">
        <v>31</v>
      </c>
      <c r="F508" s="48" t="s">
        <v>74</v>
      </c>
      <c r="G508" s="48" t="s">
        <v>64</v>
      </c>
      <c r="H508" s="48" t="s">
        <v>75</v>
      </c>
      <c r="I508" s="11">
        <v>1299</v>
      </c>
      <c r="J508" s="49" t="s">
        <v>39</v>
      </c>
      <c r="K508" s="49" t="s">
        <v>76</v>
      </c>
      <c r="L508" s="49" t="s">
        <v>78</v>
      </c>
      <c r="M508" s="49" t="s">
        <v>92</v>
      </c>
      <c r="N508" s="49" t="s">
        <v>89</v>
      </c>
      <c r="O508" s="48" t="s">
        <v>35</v>
      </c>
      <c r="P508" s="48" t="s">
        <v>80</v>
      </c>
      <c r="Q508" s="11" t="s">
        <v>90</v>
      </c>
      <c r="R508" s="11" t="s">
        <v>232</v>
      </c>
      <c r="S508" s="11" t="s">
        <v>1797</v>
      </c>
      <c r="T508" s="90" t="s">
        <v>1</v>
      </c>
      <c r="U508" s="90"/>
      <c r="V508" s="51">
        <v>46020</v>
      </c>
      <c r="W508" s="49" t="s">
        <v>1606</v>
      </c>
    </row>
    <row r="509" spans="1:23" ht="13" customHeight="1" x14ac:dyDescent="0.35">
      <c r="A509" s="11">
        <v>504</v>
      </c>
      <c r="B509" s="47">
        <v>203800374</v>
      </c>
      <c r="C509" s="94" t="s">
        <v>2732</v>
      </c>
      <c r="D509" s="11" t="s">
        <v>2733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39</v>
      </c>
      <c r="K509" s="49" t="s">
        <v>76</v>
      </c>
      <c r="L509" s="49" t="s">
        <v>95</v>
      </c>
      <c r="M509" s="49" t="s">
        <v>77</v>
      </c>
      <c r="N509" s="49" t="s">
        <v>89</v>
      </c>
      <c r="O509" s="49" t="s">
        <v>35</v>
      </c>
      <c r="P509" s="11" t="s">
        <v>80</v>
      </c>
      <c r="Q509" s="11" t="s">
        <v>90</v>
      </c>
      <c r="R509" s="11" t="s">
        <v>232</v>
      </c>
      <c r="S509" s="11" t="s">
        <v>1797</v>
      </c>
      <c r="T509" s="90" t="s">
        <v>10</v>
      </c>
      <c r="U509" s="89"/>
      <c r="V509" s="51">
        <v>45516</v>
      </c>
      <c r="W509" s="49" t="s">
        <v>1606</v>
      </c>
    </row>
    <row r="510" spans="1:23" ht="13" customHeight="1" x14ac:dyDescent="0.35">
      <c r="A510" s="11">
        <v>505</v>
      </c>
      <c r="B510" s="47">
        <v>204883245</v>
      </c>
      <c r="C510" s="94" t="s">
        <v>521</v>
      </c>
      <c r="D510" s="11" t="s">
        <v>522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78</v>
      </c>
      <c r="M510" s="49" t="s">
        <v>92</v>
      </c>
      <c r="N510" s="48" t="s">
        <v>86</v>
      </c>
      <c r="O510" s="49" t="s">
        <v>35</v>
      </c>
      <c r="P510" s="11" t="s">
        <v>80</v>
      </c>
      <c r="Q510" s="11" t="s">
        <v>87</v>
      </c>
      <c r="R510" s="11" t="s">
        <v>226</v>
      </c>
      <c r="S510" s="11" t="s">
        <v>227</v>
      </c>
      <c r="T510" s="90" t="s">
        <v>1</v>
      </c>
      <c r="U510" s="89"/>
      <c r="V510" s="51">
        <v>45691</v>
      </c>
      <c r="W510" s="49" t="s">
        <v>1605</v>
      </c>
    </row>
    <row r="511" spans="1:23" ht="13" customHeight="1" x14ac:dyDescent="0.35">
      <c r="A511" s="11">
        <v>506</v>
      </c>
      <c r="B511" s="47">
        <v>205506476</v>
      </c>
      <c r="C511" s="94" t="s">
        <v>2734</v>
      </c>
      <c r="D511" s="11" t="s">
        <v>2735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78</v>
      </c>
      <c r="M511" s="49" t="s">
        <v>92</v>
      </c>
      <c r="N511" s="49" t="s">
        <v>89</v>
      </c>
      <c r="O511" s="49" t="s">
        <v>35</v>
      </c>
      <c r="P511" s="11" t="s">
        <v>80</v>
      </c>
      <c r="Q511" s="11" t="s">
        <v>96</v>
      </c>
      <c r="R511" s="11" t="s">
        <v>232</v>
      </c>
      <c r="S511" s="11" t="s">
        <v>1797</v>
      </c>
      <c r="T511" s="90" t="s">
        <v>1</v>
      </c>
      <c r="U511" s="89"/>
      <c r="V511" s="51">
        <v>45831</v>
      </c>
      <c r="W511" s="49" t="s">
        <v>1606</v>
      </c>
    </row>
    <row r="512" spans="1:23" ht="13" customHeight="1" x14ac:dyDescent="0.35">
      <c r="A512" s="11">
        <v>507</v>
      </c>
      <c r="B512" s="47">
        <v>204405779</v>
      </c>
      <c r="C512" s="94" t="s">
        <v>523</v>
      </c>
      <c r="D512" s="11" t="s">
        <v>524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95</v>
      </c>
      <c r="M512" s="49" t="s">
        <v>77</v>
      </c>
      <c r="N512" s="48" t="s">
        <v>86</v>
      </c>
      <c r="O512" s="49" t="s">
        <v>35</v>
      </c>
      <c r="P512" s="11" t="s">
        <v>80</v>
      </c>
      <c r="Q512" s="11" t="s">
        <v>87</v>
      </c>
      <c r="R512" s="11" t="s">
        <v>226</v>
      </c>
      <c r="S512" s="11" t="s">
        <v>227</v>
      </c>
      <c r="T512" s="90" t="s">
        <v>10</v>
      </c>
      <c r="U512" s="89"/>
      <c r="V512" s="51">
        <v>45596</v>
      </c>
      <c r="W512" s="49" t="s">
        <v>1607</v>
      </c>
    </row>
    <row r="513" spans="1:23" ht="13" customHeight="1" x14ac:dyDescent="0.35">
      <c r="A513" s="11">
        <v>508</v>
      </c>
      <c r="B513" s="47">
        <v>205495595</v>
      </c>
      <c r="C513" s="94" t="s">
        <v>525</v>
      </c>
      <c r="D513" s="11" t="s">
        <v>526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9" t="s">
        <v>89</v>
      </c>
      <c r="O513" s="49" t="s">
        <v>35</v>
      </c>
      <c r="P513" s="11" t="s">
        <v>80</v>
      </c>
      <c r="Q513" s="11" t="s">
        <v>96</v>
      </c>
      <c r="R513" s="11" t="s">
        <v>232</v>
      </c>
      <c r="S513" s="11" t="s">
        <v>1797</v>
      </c>
      <c r="T513" s="90" t="s">
        <v>1</v>
      </c>
      <c r="U513" s="91"/>
      <c r="V513" s="51">
        <v>45831</v>
      </c>
      <c r="W513" s="49" t="s">
        <v>1606</v>
      </c>
    </row>
    <row r="514" spans="1:23" ht="13" customHeight="1" x14ac:dyDescent="0.35">
      <c r="A514" s="11">
        <v>509</v>
      </c>
      <c r="B514" s="47">
        <v>203850937</v>
      </c>
      <c r="C514" s="94" t="s">
        <v>528</v>
      </c>
      <c r="D514" s="11" t="s">
        <v>529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78</v>
      </c>
      <c r="M514" s="49" t="s">
        <v>92</v>
      </c>
      <c r="N514" s="48" t="s">
        <v>79</v>
      </c>
      <c r="O514" s="49" t="s">
        <v>35</v>
      </c>
      <c r="P514" s="11" t="s">
        <v>80</v>
      </c>
      <c r="Q514" s="11" t="s">
        <v>81</v>
      </c>
      <c r="R514" s="11" t="s">
        <v>226</v>
      </c>
      <c r="S514" s="11" t="s">
        <v>227</v>
      </c>
      <c r="T514" s="90" t="s">
        <v>1</v>
      </c>
      <c r="U514" s="91"/>
      <c r="V514" s="51">
        <v>45524</v>
      </c>
      <c r="W514" s="49" t="s">
        <v>1605</v>
      </c>
    </row>
    <row r="515" spans="1:23" ht="13" customHeight="1" x14ac:dyDescent="0.35">
      <c r="A515" s="11">
        <v>510</v>
      </c>
      <c r="B515" s="47">
        <v>203736774</v>
      </c>
      <c r="C515" s="94" t="s">
        <v>530</v>
      </c>
      <c r="D515" s="11" t="s">
        <v>531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32</v>
      </c>
      <c r="K515" s="49" t="s">
        <v>76</v>
      </c>
      <c r="L515" s="49" t="s">
        <v>78</v>
      </c>
      <c r="M515" s="49" t="s">
        <v>92</v>
      </c>
      <c r="N515" s="48" t="s">
        <v>86</v>
      </c>
      <c r="O515" s="49" t="s">
        <v>35</v>
      </c>
      <c r="P515" s="11" t="s">
        <v>80</v>
      </c>
      <c r="Q515" s="11" t="s">
        <v>99</v>
      </c>
      <c r="R515" s="11" t="s">
        <v>232</v>
      </c>
      <c r="S515" s="11" t="s">
        <v>1797</v>
      </c>
      <c r="T515" s="90" t="s">
        <v>1</v>
      </c>
      <c r="U515" s="89"/>
      <c r="V515" s="51">
        <v>45502</v>
      </c>
      <c r="W515" s="49" t="s">
        <v>1606</v>
      </c>
    </row>
    <row r="516" spans="1:23" ht="13" customHeight="1" x14ac:dyDescent="0.35">
      <c r="A516" s="11">
        <v>511</v>
      </c>
      <c r="B516" s="47">
        <v>204869089</v>
      </c>
      <c r="C516" s="94" t="s">
        <v>532</v>
      </c>
      <c r="D516" s="11" t="s">
        <v>533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32</v>
      </c>
      <c r="K516" s="49" t="s">
        <v>76</v>
      </c>
      <c r="L516" s="49" t="s">
        <v>85</v>
      </c>
      <c r="M516" s="49" t="s">
        <v>88</v>
      </c>
      <c r="N516" s="48" t="s">
        <v>86</v>
      </c>
      <c r="O516" s="49" t="s">
        <v>35</v>
      </c>
      <c r="P516" s="11" t="s">
        <v>80</v>
      </c>
      <c r="Q516" s="11" t="s">
        <v>87</v>
      </c>
      <c r="R516" s="11" t="s">
        <v>232</v>
      </c>
      <c r="S516" s="11" t="s">
        <v>1797</v>
      </c>
      <c r="T516" s="90" t="s">
        <v>1</v>
      </c>
      <c r="U516" s="89"/>
      <c r="V516" s="51">
        <v>45691</v>
      </c>
      <c r="W516" s="49" t="s">
        <v>1606</v>
      </c>
    </row>
    <row r="517" spans="1:23" ht="13" customHeight="1" x14ac:dyDescent="0.35">
      <c r="A517" s="11">
        <v>512</v>
      </c>
      <c r="B517" s="47">
        <v>206873793</v>
      </c>
      <c r="C517" s="94" t="s">
        <v>2736</v>
      </c>
      <c r="D517" s="11" t="s">
        <v>2737</v>
      </c>
      <c r="E517" s="48" t="s">
        <v>31</v>
      </c>
      <c r="F517" s="48" t="s">
        <v>74</v>
      </c>
      <c r="G517" s="48" t="s">
        <v>64</v>
      </c>
      <c r="H517" s="48" t="s">
        <v>75</v>
      </c>
      <c r="I517" s="11">
        <v>1299</v>
      </c>
      <c r="J517" s="49" t="s">
        <v>32</v>
      </c>
      <c r="K517" s="49" t="s">
        <v>76</v>
      </c>
      <c r="L517" s="49" t="s">
        <v>78</v>
      </c>
      <c r="M517" s="49" t="s">
        <v>92</v>
      </c>
      <c r="N517" s="49" t="s">
        <v>89</v>
      </c>
      <c r="O517" s="48" t="s">
        <v>35</v>
      </c>
      <c r="P517" s="48" t="s">
        <v>80</v>
      </c>
      <c r="Q517" s="11" t="s">
        <v>90</v>
      </c>
      <c r="R517" s="11" t="s">
        <v>232</v>
      </c>
      <c r="S517" s="11" t="s">
        <v>1797</v>
      </c>
      <c r="T517" s="90" t="s">
        <v>1</v>
      </c>
      <c r="U517" s="89"/>
      <c r="V517" s="51">
        <v>46020</v>
      </c>
      <c r="W517" s="49" t="s">
        <v>1606</v>
      </c>
    </row>
    <row r="518" spans="1:23" ht="13" customHeight="1" x14ac:dyDescent="0.35">
      <c r="A518" s="11">
        <v>513</v>
      </c>
      <c r="B518" s="47">
        <v>204883081</v>
      </c>
      <c r="C518" s="94" t="s">
        <v>534</v>
      </c>
      <c r="D518" s="11" t="s">
        <v>535</v>
      </c>
      <c r="E518" s="48" t="s">
        <v>31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32</v>
      </c>
      <c r="K518" s="49" t="s">
        <v>76</v>
      </c>
      <c r="L518" s="49" t="s">
        <v>78</v>
      </c>
      <c r="M518" s="49" t="s">
        <v>92</v>
      </c>
      <c r="N518" s="48" t="s">
        <v>86</v>
      </c>
      <c r="O518" s="49" t="s">
        <v>35</v>
      </c>
      <c r="P518" s="11" t="s">
        <v>80</v>
      </c>
      <c r="Q518" s="11" t="s">
        <v>87</v>
      </c>
      <c r="R518" s="11" t="s">
        <v>226</v>
      </c>
      <c r="S518" s="11" t="s">
        <v>227</v>
      </c>
      <c r="T518" s="90" t="s">
        <v>1</v>
      </c>
      <c r="U518" s="89"/>
      <c r="V518" s="51">
        <v>45691</v>
      </c>
      <c r="W518" s="49" t="s">
        <v>1605</v>
      </c>
    </row>
    <row r="519" spans="1:23" ht="13" customHeight="1" x14ac:dyDescent="0.35">
      <c r="A519" s="11">
        <v>514</v>
      </c>
      <c r="B519" s="47">
        <v>102718052</v>
      </c>
      <c r="C519" s="94" t="s">
        <v>536</v>
      </c>
      <c r="D519" s="11" t="s">
        <v>537</v>
      </c>
      <c r="E519" s="48" t="s">
        <v>34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39</v>
      </c>
      <c r="K519" s="49" t="s">
        <v>76</v>
      </c>
      <c r="L519" s="49" t="s">
        <v>95</v>
      </c>
      <c r="M519" s="49" t="s">
        <v>77</v>
      </c>
      <c r="N519" s="48" t="s">
        <v>108</v>
      </c>
      <c r="O519" s="49" t="s">
        <v>35</v>
      </c>
      <c r="P519" s="11" t="s">
        <v>80</v>
      </c>
      <c r="Q519" s="11" t="s">
        <v>98</v>
      </c>
      <c r="R519" s="11" t="s">
        <v>226</v>
      </c>
      <c r="S519" s="11" t="s">
        <v>227</v>
      </c>
      <c r="T519" s="90" t="s">
        <v>10</v>
      </c>
      <c r="U519" s="89"/>
      <c r="V519" s="51">
        <v>42990</v>
      </c>
      <c r="W519" s="49" t="s">
        <v>1607</v>
      </c>
    </row>
    <row r="520" spans="1:23" ht="13" customHeight="1" x14ac:dyDescent="0.35">
      <c r="A520" s="11">
        <v>515</v>
      </c>
      <c r="B520" s="47">
        <v>204882798</v>
      </c>
      <c r="C520" s="94" t="s">
        <v>538</v>
      </c>
      <c r="D520" s="11" t="s">
        <v>539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39</v>
      </c>
      <c r="K520" s="49" t="s">
        <v>76</v>
      </c>
      <c r="L520" s="49" t="s">
        <v>95</v>
      </c>
      <c r="M520" s="49" t="s">
        <v>77</v>
      </c>
      <c r="N520" s="48" t="s">
        <v>86</v>
      </c>
      <c r="O520" s="49" t="s">
        <v>35</v>
      </c>
      <c r="P520" s="11" t="s">
        <v>80</v>
      </c>
      <c r="Q520" s="11" t="s">
        <v>90</v>
      </c>
      <c r="R520" s="11" t="s">
        <v>232</v>
      </c>
      <c r="S520" s="11" t="s">
        <v>1797</v>
      </c>
      <c r="T520" s="90" t="s">
        <v>10</v>
      </c>
      <c r="U520" s="89"/>
      <c r="V520" s="51">
        <v>45691</v>
      </c>
      <c r="W520" s="49" t="s">
        <v>1606</v>
      </c>
    </row>
    <row r="521" spans="1:23" ht="13" customHeight="1" x14ac:dyDescent="0.35">
      <c r="A521" s="11">
        <v>516</v>
      </c>
      <c r="B521" s="47">
        <v>204883239</v>
      </c>
      <c r="C521" s="94" t="s">
        <v>540</v>
      </c>
      <c r="D521" s="11" t="s">
        <v>541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8" t="s">
        <v>86</v>
      </c>
      <c r="O521" s="49" t="s">
        <v>35</v>
      </c>
      <c r="P521" s="11" t="s">
        <v>80</v>
      </c>
      <c r="Q521" s="11" t="s">
        <v>87</v>
      </c>
      <c r="R521" s="11" t="s">
        <v>226</v>
      </c>
      <c r="S521" s="11" t="s">
        <v>227</v>
      </c>
      <c r="T521" s="90" t="s">
        <v>10</v>
      </c>
      <c r="U521" s="89"/>
      <c r="V521" s="51">
        <v>45691</v>
      </c>
      <c r="W521" s="49" t="s">
        <v>1605</v>
      </c>
    </row>
    <row r="522" spans="1:23" ht="13" customHeight="1" x14ac:dyDescent="0.35">
      <c r="A522" s="11">
        <v>517</v>
      </c>
      <c r="B522" s="47">
        <v>203965493</v>
      </c>
      <c r="C522" s="94" t="s">
        <v>542</v>
      </c>
      <c r="D522" s="11" t="s">
        <v>543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77</v>
      </c>
      <c r="M522" s="49" t="s">
        <v>78</v>
      </c>
      <c r="N522" s="48" t="s">
        <v>79</v>
      </c>
      <c r="O522" s="49" t="s">
        <v>35</v>
      </c>
      <c r="P522" s="11" t="s">
        <v>80</v>
      </c>
      <c r="Q522" s="11" t="s">
        <v>81</v>
      </c>
      <c r="R522" s="11" t="s">
        <v>226</v>
      </c>
      <c r="S522" s="11" t="s">
        <v>227</v>
      </c>
      <c r="T522" s="90" t="s">
        <v>10</v>
      </c>
      <c r="U522" s="90"/>
      <c r="V522" s="51">
        <v>45544</v>
      </c>
      <c r="W522" s="49" t="s">
        <v>1606</v>
      </c>
    </row>
    <row r="523" spans="1:23" ht="13" customHeight="1" x14ac:dyDescent="0.35">
      <c r="A523" s="11">
        <v>518</v>
      </c>
      <c r="B523" s="47">
        <v>204882810</v>
      </c>
      <c r="C523" s="94" t="s">
        <v>544</v>
      </c>
      <c r="D523" s="11" t="s">
        <v>545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78</v>
      </c>
      <c r="M523" s="49" t="s">
        <v>92</v>
      </c>
      <c r="N523" s="48" t="s">
        <v>86</v>
      </c>
      <c r="O523" s="49" t="s">
        <v>35</v>
      </c>
      <c r="P523" s="11" t="s">
        <v>80</v>
      </c>
      <c r="Q523" s="11" t="s">
        <v>90</v>
      </c>
      <c r="R523" s="11" t="s">
        <v>225</v>
      </c>
      <c r="S523" s="11" t="s">
        <v>2821</v>
      </c>
      <c r="T523" s="90" t="s">
        <v>1</v>
      </c>
      <c r="U523" s="90"/>
      <c r="V523" s="51">
        <v>45691</v>
      </c>
      <c r="W523" s="49" t="s">
        <v>1606</v>
      </c>
    </row>
    <row r="524" spans="1:23" ht="13" customHeight="1" x14ac:dyDescent="0.35">
      <c r="A524" s="11">
        <v>519</v>
      </c>
      <c r="B524" s="11">
        <v>206873650</v>
      </c>
      <c r="C524" s="94" t="s">
        <v>1824</v>
      </c>
      <c r="D524" s="11" t="s">
        <v>1825</v>
      </c>
      <c r="E524" s="48" t="s">
        <v>31</v>
      </c>
      <c r="F524" s="48" t="s">
        <v>74</v>
      </c>
      <c r="G524" s="48" t="s">
        <v>64</v>
      </c>
      <c r="H524" s="48" t="s">
        <v>75</v>
      </c>
      <c r="I524" s="11">
        <v>1299</v>
      </c>
      <c r="J524" s="49" t="s">
        <v>32</v>
      </c>
      <c r="K524" s="49" t="s">
        <v>76</v>
      </c>
      <c r="L524" s="49" t="s">
        <v>78</v>
      </c>
      <c r="M524" s="49" t="s">
        <v>92</v>
      </c>
      <c r="N524" s="49" t="s">
        <v>89</v>
      </c>
      <c r="O524" s="48" t="s">
        <v>35</v>
      </c>
      <c r="P524" s="48" t="s">
        <v>80</v>
      </c>
      <c r="Q524" s="11" t="s">
        <v>81</v>
      </c>
      <c r="R524" s="11" t="s">
        <v>232</v>
      </c>
      <c r="S524" s="11" t="s">
        <v>1797</v>
      </c>
      <c r="T524" s="90" t="s">
        <v>1</v>
      </c>
      <c r="U524" s="89"/>
      <c r="V524" s="51">
        <v>46020</v>
      </c>
      <c r="W524" s="11" t="s">
        <v>1606</v>
      </c>
    </row>
    <row r="525" spans="1:23" ht="13" customHeight="1" x14ac:dyDescent="0.35">
      <c r="A525" s="11">
        <v>520</v>
      </c>
      <c r="B525" s="47">
        <v>203800486</v>
      </c>
      <c r="C525" s="94" t="s">
        <v>2738</v>
      </c>
      <c r="D525" s="11" t="s">
        <v>2739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32</v>
      </c>
      <c r="K525" s="49" t="s">
        <v>76</v>
      </c>
      <c r="L525" s="49" t="s">
        <v>77</v>
      </c>
      <c r="M525" s="49" t="s">
        <v>78</v>
      </c>
      <c r="N525" s="48" t="s">
        <v>86</v>
      </c>
      <c r="O525" s="49" t="s">
        <v>35</v>
      </c>
      <c r="P525" s="11" t="s">
        <v>80</v>
      </c>
      <c r="Q525" s="11" t="s">
        <v>90</v>
      </c>
      <c r="R525" s="11" t="s">
        <v>232</v>
      </c>
      <c r="S525" s="11" t="s">
        <v>1797</v>
      </c>
      <c r="T525" s="90" t="s">
        <v>10</v>
      </c>
      <c r="U525" s="89"/>
      <c r="V525" s="51">
        <v>45516</v>
      </c>
      <c r="W525" s="49" t="s">
        <v>1606</v>
      </c>
    </row>
    <row r="526" spans="1:23" ht="13" customHeight="1" x14ac:dyDescent="0.35">
      <c r="A526" s="11">
        <v>521</v>
      </c>
      <c r="B526" s="47">
        <v>205977126</v>
      </c>
      <c r="C526" s="94" t="s">
        <v>2740</v>
      </c>
      <c r="D526" s="11" t="s">
        <v>2741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78</v>
      </c>
      <c r="M526" s="49" t="s">
        <v>92</v>
      </c>
      <c r="N526" s="48" t="s">
        <v>86</v>
      </c>
      <c r="O526" s="49" t="s">
        <v>35</v>
      </c>
      <c r="P526" s="11" t="s">
        <v>80</v>
      </c>
      <c r="Q526" s="11" t="s">
        <v>90</v>
      </c>
      <c r="R526" s="11" t="s">
        <v>225</v>
      </c>
      <c r="S526" s="11" t="s">
        <v>2821</v>
      </c>
      <c r="T526" s="90" t="s">
        <v>7</v>
      </c>
      <c r="U526" s="90" t="s">
        <v>3004</v>
      </c>
      <c r="V526" s="51">
        <v>45915</v>
      </c>
      <c r="W526" s="49" t="s">
        <v>1606</v>
      </c>
    </row>
    <row r="527" spans="1:23" ht="13" customHeight="1" x14ac:dyDescent="0.35">
      <c r="A527" s="11">
        <v>522</v>
      </c>
      <c r="B527" s="47">
        <v>203816295</v>
      </c>
      <c r="C527" s="94" t="s">
        <v>2742</v>
      </c>
      <c r="D527" s="11" t="s">
        <v>2743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95</v>
      </c>
      <c r="M527" s="49" t="s">
        <v>77</v>
      </c>
      <c r="N527" s="48" t="s">
        <v>86</v>
      </c>
      <c r="O527" s="49" t="s">
        <v>35</v>
      </c>
      <c r="P527" s="11" t="s">
        <v>80</v>
      </c>
      <c r="Q527" s="11" t="s">
        <v>90</v>
      </c>
      <c r="R527" s="11" t="s">
        <v>226</v>
      </c>
      <c r="S527" s="11" t="s">
        <v>227</v>
      </c>
      <c r="T527" s="90" t="s">
        <v>10</v>
      </c>
      <c r="U527" s="90"/>
      <c r="V527" s="51">
        <v>45524</v>
      </c>
      <c r="W527" s="49" t="s">
        <v>1605</v>
      </c>
    </row>
    <row r="528" spans="1:23" ht="13" customHeight="1" x14ac:dyDescent="0.35">
      <c r="A528" s="11">
        <v>523</v>
      </c>
      <c r="B528" s="47">
        <v>205608627</v>
      </c>
      <c r="C528" s="94" t="s">
        <v>2744</v>
      </c>
      <c r="D528" s="11" t="s">
        <v>2745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88</v>
      </c>
      <c r="M528" s="49" t="s">
        <v>95</v>
      </c>
      <c r="N528" s="48" t="s">
        <v>86</v>
      </c>
      <c r="O528" s="49" t="s">
        <v>35</v>
      </c>
      <c r="P528" s="11" t="s">
        <v>80</v>
      </c>
      <c r="Q528" s="11" t="s">
        <v>90</v>
      </c>
      <c r="R528" s="11" t="s">
        <v>232</v>
      </c>
      <c r="S528" s="11" t="s">
        <v>1797</v>
      </c>
      <c r="T528" s="90" t="s">
        <v>1</v>
      </c>
      <c r="U528" s="89"/>
      <c r="V528" s="51">
        <v>45845</v>
      </c>
      <c r="W528" s="49" t="s">
        <v>1606</v>
      </c>
    </row>
    <row r="529" spans="1:23" ht="13" customHeight="1" x14ac:dyDescent="0.35">
      <c r="A529" s="11">
        <v>524</v>
      </c>
      <c r="B529" s="47">
        <v>203813082</v>
      </c>
      <c r="C529" s="94" t="s">
        <v>547</v>
      </c>
      <c r="D529" s="11" t="s">
        <v>548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39</v>
      </c>
      <c r="K529" s="49" t="s">
        <v>76</v>
      </c>
      <c r="L529" s="49" t="s">
        <v>77</v>
      </c>
      <c r="M529" s="49" t="s">
        <v>78</v>
      </c>
      <c r="N529" s="48" t="s">
        <v>86</v>
      </c>
      <c r="O529" s="49" t="s">
        <v>35</v>
      </c>
      <c r="P529" s="11" t="s">
        <v>80</v>
      </c>
      <c r="Q529" s="11" t="s">
        <v>99</v>
      </c>
      <c r="R529" s="11" t="s">
        <v>232</v>
      </c>
      <c r="S529" s="11" t="s">
        <v>1797</v>
      </c>
      <c r="T529" s="90" t="s">
        <v>10</v>
      </c>
      <c r="U529" s="89"/>
      <c r="V529" s="51">
        <v>45517</v>
      </c>
      <c r="W529" s="49" t="s">
        <v>1606</v>
      </c>
    </row>
    <row r="530" spans="1:23" ht="13" customHeight="1" x14ac:dyDescent="0.35">
      <c r="A530" s="11">
        <v>525</v>
      </c>
      <c r="B530" s="11">
        <v>206873561</v>
      </c>
      <c r="C530" s="94" t="s">
        <v>1818</v>
      </c>
      <c r="D530" s="11" t="s">
        <v>1819</v>
      </c>
      <c r="E530" s="48" t="s">
        <v>31</v>
      </c>
      <c r="F530" s="48" t="s">
        <v>74</v>
      </c>
      <c r="G530" s="48" t="s">
        <v>64</v>
      </c>
      <c r="H530" s="48" t="s">
        <v>75</v>
      </c>
      <c r="I530" s="11">
        <v>1299</v>
      </c>
      <c r="J530" s="49" t="s">
        <v>32</v>
      </c>
      <c r="K530" s="49" t="s">
        <v>76</v>
      </c>
      <c r="L530" s="49" t="s">
        <v>78</v>
      </c>
      <c r="M530" s="49" t="s">
        <v>92</v>
      </c>
      <c r="N530" s="49" t="s">
        <v>89</v>
      </c>
      <c r="O530" s="48" t="s">
        <v>35</v>
      </c>
      <c r="P530" s="48" t="s">
        <v>80</v>
      </c>
      <c r="Q530" s="11" t="s">
        <v>81</v>
      </c>
      <c r="R530" s="11" t="s">
        <v>226</v>
      </c>
      <c r="S530" s="11" t="s">
        <v>227</v>
      </c>
      <c r="T530" s="90" t="s">
        <v>1</v>
      </c>
      <c r="U530" s="91"/>
      <c r="V530" s="51">
        <v>46020</v>
      </c>
      <c r="W530" s="49" t="s">
        <v>1605</v>
      </c>
    </row>
    <row r="531" spans="1:23" ht="13" customHeight="1" x14ac:dyDescent="0.35">
      <c r="A531" s="11">
        <v>526</v>
      </c>
      <c r="B531" s="47">
        <v>204246169</v>
      </c>
      <c r="C531" s="94" t="s">
        <v>549</v>
      </c>
      <c r="D531" s="11" t="s">
        <v>550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85</v>
      </c>
      <c r="M531" s="49" t="s">
        <v>88</v>
      </c>
      <c r="N531" s="48" t="s">
        <v>86</v>
      </c>
      <c r="O531" s="49" t="s">
        <v>35</v>
      </c>
      <c r="P531" s="11" t="s">
        <v>80</v>
      </c>
      <c r="Q531" s="11" t="s">
        <v>87</v>
      </c>
      <c r="R531" s="11" t="s">
        <v>232</v>
      </c>
      <c r="S531" s="11" t="s">
        <v>1797</v>
      </c>
      <c r="T531" s="90" t="s">
        <v>1</v>
      </c>
      <c r="U531" s="89"/>
      <c r="V531" s="51">
        <v>45579</v>
      </c>
      <c r="W531" s="49" t="s">
        <v>1606</v>
      </c>
    </row>
    <row r="532" spans="1:23" ht="13" customHeight="1" x14ac:dyDescent="0.35">
      <c r="A532" s="11">
        <v>527</v>
      </c>
      <c r="B532" s="47">
        <v>204967046</v>
      </c>
      <c r="C532" s="94" t="s">
        <v>551</v>
      </c>
      <c r="D532" s="11" t="s">
        <v>552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78</v>
      </c>
      <c r="M532" s="49" t="s">
        <v>92</v>
      </c>
      <c r="N532" s="49" t="s">
        <v>89</v>
      </c>
      <c r="O532" s="49" t="s">
        <v>35</v>
      </c>
      <c r="P532" s="11" t="s">
        <v>80</v>
      </c>
      <c r="Q532" s="11" t="s">
        <v>90</v>
      </c>
      <c r="R532" s="11" t="s">
        <v>232</v>
      </c>
      <c r="S532" s="11" t="s">
        <v>1797</v>
      </c>
      <c r="T532" s="90" t="s">
        <v>1</v>
      </c>
      <c r="U532" s="89"/>
      <c r="V532" s="51">
        <v>45826</v>
      </c>
      <c r="W532" s="49" t="s">
        <v>1606</v>
      </c>
    </row>
    <row r="533" spans="1:23" ht="13" customHeight="1" x14ac:dyDescent="0.35">
      <c r="A533" s="11">
        <v>528</v>
      </c>
      <c r="B533" s="47">
        <v>204246605</v>
      </c>
      <c r="C533" s="94" t="s">
        <v>553</v>
      </c>
      <c r="D533" s="11" t="s">
        <v>554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92</v>
      </c>
      <c r="M533" s="49" t="s">
        <v>84</v>
      </c>
      <c r="N533" s="48" t="s">
        <v>86</v>
      </c>
      <c r="O533" s="49" t="s">
        <v>35</v>
      </c>
      <c r="P533" s="11" t="s">
        <v>80</v>
      </c>
      <c r="Q533" s="11" t="s">
        <v>87</v>
      </c>
      <c r="R533" s="11" t="s">
        <v>232</v>
      </c>
      <c r="S533" s="11" t="s">
        <v>1797</v>
      </c>
      <c r="T533" s="90" t="s">
        <v>1</v>
      </c>
      <c r="U533" s="89"/>
      <c r="V533" s="51">
        <v>45579</v>
      </c>
      <c r="W533" s="49" t="s">
        <v>1606</v>
      </c>
    </row>
    <row r="534" spans="1:23" ht="13" customHeight="1" x14ac:dyDescent="0.35">
      <c r="A534" s="11">
        <v>529</v>
      </c>
      <c r="B534" s="47">
        <v>203965523</v>
      </c>
      <c r="C534" s="94" t="s">
        <v>555</v>
      </c>
      <c r="D534" s="11" t="s">
        <v>556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77</v>
      </c>
      <c r="M534" s="49" t="s">
        <v>78</v>
      </c>
      <c r="N534" s="48" t="s">
        <v>79</v>
      </c>
      <c r="O534" s="49" t="s">
        <v>35</v>
      </c>
      <c r="P534" s="11" t="s">
        <v>80</v>
      </c>
      <c r="Q534" s="11" t="s">
        <v>81</v>
      </c>
      <c r="R534" s="11" t="s">
        <v>232</v>
      </c>
      <c r="S534" s="11" t="s">
        <v>1797</v>
      </c>
      <c r="T534" s="90" t="s">
        <v>10</v>
      </c>
      <c r="U534" s="90"/>
      <c r="V534" s="51">
        <v>45544</v>
      </c>
      <c r="W534" s="49" t="s">
        <v>1606</v>
      </c>
    </row>
    <row r="535" spans="1:23" ht="13" customHeight="1" x14ac:dyDescent="0.35">
      <c r="A535" s="11">
        <v>530</v>
      </c>
      <c r="B535" s="47">
        <v>206513281</v>
      </c>
      <c r="C535" s="94" t="s">
        <v>2746</v>
      </c>
      <c r="D535" s="11" t="s">
        <v>2747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78</v>
      </c>
      <c r="M535" s="49" t="s">
        <v>92</v>
      </c>
      <c r="N535" s="49" t="s">
        <v>89</v>
      </c>
      <c r="O535" s="49" t="s">
        <v>35</v>
      </c>
      <c r="P535" s="11" t="s">
        <v>80</v>
      </c>
      <c r="Q535" s="11" t="s">
        <v>90</v>
      </c>
      <c r="R535" s="11" t="s">
        <v>232</v>
      </c>
      <c r="S535" s="11" t="s">
        <v>1797</v>
      </c>
      <c r="T535" s="90" t="s">
        <v>1</v>
      </c>
      <c r="U535" s="90"/>
      <c r="V535" s="51">
        <v>45971</v>
      </c>
      <c r="W535" s="49" t="s">
        <v>1606</v>
      </c>
    </row>
    <row r="536" spans="1:23" ht="13" customHeight="1" x14ac:dyDescent="0.35">
      <c r="A536" s="11">
        <v>531</v>
      </c>
      <c r="B536" s="47">
        <v>203796750</v>
      </c>
      <c r="C536" s="94" t="s">
        <v>557</v>
      </c>
      <c r="D536" s="11" t="s">
        <v>558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95</v>
      </c>
      <c r="M536" s="49" t="s">
        <v>77</v>
      </c>
      <c r="N536" s="48" t="s">
        <v>79</v>
      </c>
      <c r="O536" s="49" t="s">
        <v>35</v>
      </c>
      <c r="P536" s="11" t="s">
        <v>80</v>
      </c>
      <c r="Q536" s="11" t="s">
        <v>81</v>
      </c>
      <c r="R536" s="11" t="s">
        <v>232</v>
      </c>
      <c r="S536" s="11" t="s">
        <v>1797</v>
      </c>
      <c r="T536" s="90" t="s">
        <v>10</v>
      </c>
      <c r="U536" s="90"/>
      <c r="V536" s="51">
        <v>45516</v>
      </c>
      <c r="W536" s="49" t="s">
        <v>1606</v>
      </c>
    </row>
    <row r="537" spans="1:23" ht="13" customHeight="1" x14ac:dyDescent="0.35">
      <c r="A537" s="11">
        <v>532</v>
      </c>
      <c r="B537" s="47">
        <v>206073367</v>
      </c>
      <c r="C537" s="94" t="s">
        <v>559</v>
      </c>
      <c r="D537" s="11" t="s">
        <v>560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8" t="s">
        <v>79</v>
      </c>
      <c r="O537" s="49" t="s">
        <v>35</v>
      </c>
      <c r="P537" s="11" t="s">
        <v>80</v>
      </c>
      <c r="Q537" s="11" t="s">
        <v>81</v>
      </c>
      <c r="R537" s="11" t="s">
        <v>232</v>
      </c>
      <c r="S537" s="11" t="s">
        <v>1797</v>
      </c>
      <c r="T537" s="90" t="s">
        <v>1</v>
      </c>
      <c r="U537" s="90"/>
      <c r="V537" s="51">
        <v>45922</v>
      </c>
      <c r="W537" s="49" t="s">
        <v>1606</v>
      </c>
    </row>
    <row r="538" spans="1:23" ht="13" customHeight="1" x14ac:dyDescent="0.35">
      <c r="A538" s="11">
        <v>533</v>
      </c>
      <c r="B538" s="47">
        <v>203816757</v>
      </c>
      <c r="C538" s="94" t="s">
        <v>2748</v>
      </c>
      <c r="D538" s="11" t="s">
        <v>2749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8" t="s">
        <v>86</v>
      </c>
      <c r="O538" s="49" t="s">
        <v>35</v>
      </c>
      <c r="P538" s="11" t="s">
        <v>80</v>
      </c>
      <c r="Q538" s="11" t="s">
        <v>90</v>
      </c>
      <c r="R538" s="11" t="s">
        <v>226</v>
      </c>
      <c r="S538" s="11" t="s">
        <v>227</v>
      </c>
      <c r="T538" s="90" t="s">
        <v>1</v>
      </c>
      <c r="U538" s="89"/>
      <c r="V538" s="51">
        <v>45518</v>
      </c>
      <c r="W538" s="49" t="s">
        <v>1605</v>
      </c>
    </row>
    <row r="539" spans="1:23" ht="13" customHeight="1" x14ac:dyDescent="0.35">
      <c r="A539" s="11">
        <v>534</v>
      </c>
      <c r="B539" s="47">
        <v>205496019</v>
      </c>
      <c r="C539" s="94" t="s">
        <v>561</v>
      </c>
      <c r="D539" s="11" t="s">
        <v>562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78</v>
      </c>
      <c r="M539" s="49" t="s">
        <v>92</v>
      </c>
      <c r="N539" s="49" t="s">
        <v>89</v>
      </c>
      <c r="O539" s="49" t="s">
        <v>35</v>
      </c>
      <c r="P539" s="11" t="s">
        <v>80</v>
      </c>
      <c r="Q539" s="11" t="s">
        <v>96</v>
      </c>
      <c r="R539" s="11" t="s">
        <v>232</v>
      </c>
      <c r="S539" s="11" t="s">
        <v>1797</v>
      </c>
      <c r="T539" s="90" t="s">
        <v>1</v>
      </c>
      <c r="U539" s="89"/>
      <c r="V539" s="51">
        <v>45831</v>
      </c>
      <c r="W539" s="49" t="s">
        <v>1606</v>
      </c>
    </row>
    <row r="540" spans="1:23" ht="13" customHeight="1" x14ac:dyDescent="0.35">
      <c r="A540" s="11">
        <v>535</v>
      </c>
      <c r="B540" s="47">
        <v>206513285</v>
      </c>
      <c r="C540" s="94" t="s">
        <v>2750</v>
      </c>
      <c r="D540" s="11" t="s">
        <v>2751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39</v>
      </c>
      <c r="K540" s="49" t="s">
        <v>76</v>
      </c>
      <c r="L540" s="49" t="s">
        <v>84</v>
      </c>
      <c r="M540" s="49" t="s">
        <v>85</v>
      </c>
      <c r="N540" s="49" t="s">
        <v>89</v>
      </c>
      <c r="O540" s="49" t="s">
        <v>35</v>
      </c>
      <c r="P540" s="11" t="s">
        <v>80</v>
      </c>
      <c r="Q540" s="11" t="s">
        <v>90</v>
      </c>
      <c r="R540" s="11" t="s">
        <v>225</v>
      </c>
      <c r="S540" s="11" t="s">
        <v>2821</v>
      </c>
      <c r="T540" s="90" t="s">
        <v>1</v>
      </c>
      <c r="U540" s="89"/>
      <c r="V540" s="51">
        <v>45971</v>
      </c>
      <c r="W540" s="49" t="s">
        <v>1606</v>
      </c>
    </row>
    <row r="541" spans="1:23" ht="13" customHeight="1" x14ac:dyDescent="0.35">
      <c r="A541" s="11">
        <v>536</v>
      </c>
      <c r="B541" s="47">
        <v>206004608</v>
      </c>
      <c r="C541" s="94" t="s">
        <v>563</v>
      </c>
      <c r="D541" s="11" t="s">
        <v>564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32</v>
      </c>
      <c r="K541" s="49" t="s">
        <v>76</v>
      </c>
      <c r="L541" s="49" t="s">
        <v>78</v>
      </c>
      <c r="M541" s="49" t="s">
        <v>92</v>
      </c>
      <c r="N541" s="49" t="s">
        <v>89</v>
      </c>
      <c r="O541" s="49" t="s">
        <v>35</v>
      </c>
      <c r="P541" s="11" t="s">
        <v>80</v>
      </c>
      <c r="Q541" s="11" t="s">
        <v>81</v>
      </c>
      <c r="R541" s="11" t="s">
        <v>226</v>
      </c>
      <c r="S541" s="11" t="s">
        <v>227</v>
      </c>
      <c r="T541" s="90" t="s">
        <v>1</v>
      </c>
      <c r="U541" s="89"/>
      <c r="V541" s="51">
        <v>45915</v>
      </c>
      <c r="W541" s="49" t="s">
        <v>1607</v>
      </c>
    </row>
    <row r="542" spans="1:23" ht="13" customHeight="1" x14ac:dyDescent="0.35">
      <c r="A542" s="11">
        <v>537</v>
      </c>
      <c r="B542" s="47">
        <v>206873879</v>
      </c>
      <c r="C542" s="94" t="s">
        <v>1812</v>
      </c>
      <c r="D542" s="11" t="s">
        <v>1813</v>
      </c>
      <c r="E542" s="48" t="s">
        <v>31</v>
      </c>
      <c r="F542" s="48" t="s">
        <v>74</v>
      </c>
      <c r="G542" s="48" t="s">
        <v>64</v>
      </c>
      <c r="H542" s="48" t="s">
        <v>75</v>
      </c>
      <c r="I542" s="11">
        <v>1299</v>
      </c>
      <c r="J542" s="49" t="s">
        <v>32</v>
      </c>
      <c r="K542" s="49" t="s">
        <v>76</v>
      </c>
      <c r="L542" s="49" t="s">
        <v>78</v>
      </c>
      <c r="M542" s="49" t="s">
        <v>92</v>
      </c>
      <c r="N542" s="49" t="s">
        <v>89</v>
      </c>
      <c r="O542" s="48" t="s">
        <v>35</v>
      </c>
      <c r="P542" s="48" t="s">
        <v>80</v>
      </c>
      <c r="Q542" s="11" t="s">
        <v>90</v>
      </c>
      <c r="R542" s="11" t="s">
        <v>232</v>
      </c>
      <c r="S542" s="11" t="s">
        <v>1797</v>
      </c>
      <c r="T542" s="90" t="s">
        <v>1</v>
      </c>
      <c r="U542" s="89"/>
      <c r="V542" s="51">
        <v>46020</v>
      </c>
      <c r="W542" s="49" t="s">
        <v>1606</v>
      </c>
    </row>
    <row r="543" spans="1:23" ht="13" customHeight="1" x14ac:dyDescent="0.35">
      <c r="A543" s="11">
        <v>538</v>
      </c>
      <c r="B543" s="47">
        <v>203736258</v>
      </c>
      <c r="C543" s="94" t="s">
        <v>2752</v>
      </c>
      <c r="D543" s="11" t="s">
        <v>2753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39</v>
      </c>
      <c r="K543" s="49" t="s">
        <v>76</v>
      </c>
      <c r="L543" s="49" t="s">
        <v>77</v>
      </c>
      <c r="M543" s="49" t="s">
        <v>78</v>
      </c>
      <c r="N543" s="48" t="s">
        <v>86</v>
      </c>
      <c r="O543" s="49" t="s">
        <v>35</v>
      </c>
      <c r="P543" s="11" t="s">
        <v>80</v>
      </c>
      <c r="Q543" s="11" t="s">
        <v>90</v>
      </c>
      <c r="R543" s="11" t="s">
        <v>232</v>
      </c>
      <c r="S543" s="11" t="s">
        <v>1797</v>
      </c>
      <c r="T543" s="90" t="s">
        <v>10</v>
      </c>
      <c r="U543" s="89"/>
      <c r="V543" s="51">
        <v>45502</v>
      </c>
      <c r="W543" s="49" t="s">
        <v>1606</v>
      </c>
    </row>
    <row r="544" spans="1:23" ht="13" customHeight="1" x14ac:dyDescent="0.35">
      <c r="A544" s="11">
        <v>539</v>
      </c>
      <c r="B544" s="47">
        <v>203468402</v>
      </c>
      <c r="C544" s="94" t="s">
        <v>565</v>
      </c>
      <c r="D544" s="11" t="s">
        <v>566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32</v>
      </c>
      <c r="K544" s="49" t="s">
        <v>76</v>
      </c>
      <c r="L544" s="49" t="s">
        <v>88</v>
      </c>
      <c r="M544" s="49" t="s">
        <v>95</v>
      </c>
      <c r="N544" s="48" t="s">
        <v>79</v>
      </c>
      <c r="O544" s="49" t="s">
        <v>35</v>
      </c>
      <c r="P544" s="11" t="s">
        <v>80</v>
      </c>
      <c r="Q544" s="11" t="s">
        <v>81</v>
      </c>
      <c r="R544" s="11" t="s">
        <v>232</v>
      </c>
      <c r="S544" s="11" t="s">
        <v>1797</v>
      </c>
      <c r="T544" s="90" t="s">
        <v>1</v>
      </c>
      <c r="U544" s="90"/>
      <c r="V544" s="51">
        <v>45456</v>
      </c>
      <c r="W544" s="49" t="s">
        <v>1603</v>
      </c>
    </row>
    <row r="545" spans="1:23" ht="13" customHeight="1" x14ac:dyDescent="0.35">
      <c r="A545" s="11">
        <v>540</v>
      </c>
      <c r="B545" s="47">
        <v>204013737</v>
      </c>
      <c r="C545" s="94" t="s">
        <v>567</v>
      </c>
      <c r="D545" s="11" t="s">
        <v>568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32</v>
      </c>
      <c r="K545" s="49" t="s">
        <v>76</v>
      </c>
      <c r="L545" s="49" t="s">
        <v>78</v>
      </c>
      <c r="M545" s="49" t="s">
        <v>92</v>
      </c>
      <c r="N545" s="48" t="s">
        <v>79</v>
      </c>
      <c r="O545" s="49" t="s">
        <v>35</v>
      </c>
      <c r="P545" s="11" t="s">
        <v>80</v>
      </c>
      <c r="Q545" s="11" t="s">
        <v>81</v>
      </c>
      <c r="R545" s="11" t="s">
        <v>226</v>
      </c>
      <c r="S545" s="11" t="s">
        <v>227</v>
      </c>
      <c r="T545" s="90" t="s">
        <v>7</v>
      </c>
      <c r="U545" s="90" t="s">
        <v>3004</v>
      </c>
      <c r="V545" s="51">
        <v>45551</v>
      </c>
      <c r="W545" s="49" t="s">
        <v>1606</v>
      </c>
    </row>
    <row r="546" spans="1:23" ht="13" customHeight="1" x14ac:dyDescent="0.35">
      <c r="A546" s="11">
        <v>541</v>
      </c>
      <c r="B546" s="47">
        <v>202444409</v>
      </c>
      <c r="C546" s="94" t="s">
        <v>569</v>
      </c>
      <c r="D546" s="11" t="s">
        <v>570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78</v>
      </c>
      <c r="M546" s="49" t="s">
        <v>92</v>
      </c>
      <c r="N546" s="48" t="s">
        <v>86</v>
      </c>
      <c r="O546" s="49" t="s">
        <v>35</v>
      </c>
      <c r="P546" s="11" t="s">
        <v>80</v>
      </c>
      <c r="Q546" s="11" t="s">
        <v>87</v>
      </c>
      <c r="R546" s="11" t="s">
        <v>232</v>
      </c>
      <c r="S546" s="11" t="s">
        <v>1797</v>
      </c>
      <c r="T546" s="90" t="s">
        <v>1</v>
      </c>
      <c r="U546" s="90"/>
      <c r="V546" s="51">
        <v>45579</v>
      </c>
      <c r="W546" s="49" t="s">
        <v>1606</v>
      </c>
    </row>
    <row r="547" spans="1:23" ht="13" customHeight="1" x14ac:dyDescent="0.35">
      <c r="A547" s="11">
        <v>542</v>
      </c>
      <c r="B547" s="47">
        <v>204246606</v>
      </c>
      <c r="C547" s="94" t="s">
        <v>571</v>
      </c>
      <c r="D547" s="11" t="s">
        <v>572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32</v>
      </c>
      <c r="K547" s="49" t="s">
        <v>76</v>
      </c>
      <c r="L547" s="49" t="s">
        <v>77</v>
      </c>
      <c r="M547" s="49" t="s">
        <v>78</v>
      </c>
      <c r="N547" s="48" t="s">
        <v>86</v>
      </c>
      <c r="O547" s="49" t="s">
        <v>35</v>
      </c>
      <c r="P547" s="11" t="s">
        <v>80</v>
      </c>
      <c r="Q547" s="11" t="s">
        <v>87</v>
      </c>
      <c r="R547" s="11" t="s">
        <v>232</v>
      </c>
      <c r="S547" s="11" t="s">
        <v>1797</v>
      </c>
      <c r="T547" s="90" t="s">
        <v>10</v>
      </c>
      <c r="U547" s="89"/>
      <c r="V547" s="51">
        <v>45579</v>
      </c>
      <c r="W547" s="49" t="s">
        <v>1605</v>
      </c>
    </row>
    <row r="548" spans="1:23" ht="13" customHeight="1" x14ac:dyDescent="0.35">
      <c r="A548" s="11">
        <v>543</v>
      </c>
      <c r="B548" s="47">
        <v>203521426</v>
      </c>
      <c r="C548" s="94" t="s">
        <v>573</v>
      </c>
      <c r="D548" s="11" t="s">
        <v>574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32</v>
      </c>
      <c r="K548" s="49" t="s">
        <v>76</v>
      </c>
      <c r="L548" s="49" t="s">
        <v>78</v>
      </c>
      <c r="M548" s="49" t="s">
        <v>92</v>
      </c>
      <c r="N548" s="48" t="s">
        <v>79</v>
      </c>
      <c r="O548" s="49" t="s">
        <v>35</v>
      </c>
      <c r="P548" s="11" t="s">
        <v>80</v>
      </c>
      <c r="Q548" s="11" t="s">
        <v>81</v>
      </c>
      <c r="R548" s="11" t="s">
        <v>226</v>
      </c>
      <c r="S548" s="11" t="s">
        <v>227</v>
      </c>
      <c r="T548" s="90" t="s">
        <v>4</v>
      </c>
      <c r="U548" s="89"/>
      <c r="V548" s="51">
        <v>45463</v>
      </c>
      <c r="W548" s="49" t="s">
        <v>1607</v>
      </c>
    </row>
    <row r="549" spans="1:23" ht="13" customHeight="1" x14ac:dyDescent="0.35">
      <c r="A549" s="11">
        <v>544</v>
      </c>
      <c r="B549" s="47">
        <v>203736781</v>
      </c>
      <c r="C549" s="94" t="s">
        <v>575</v>
      </c>
      <c r="D549" s="11" t="s">
        <v>576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39</v>
      </c>
      <c r="K549" s="49" t="s">
        <v>76</v>
      </c>
      <c r="L549" s="49" t="s">
        <v>92</v>
      </c>
      <c r="M549" s="49" t="s">
        <v>84</v>
      </c>
      <c r="N549" s="48" t="s">
        <v>86</v>
      </c>
      <c r="O549" s="49" t="s">
        <v>35</v>
      </c>
      <c r="P549" s="11" t="s">
        <v>80</v>
      </c>
      <c r="Q549" s="11" t="s">
        <v>99</v>
      </c>
      <c r="R549" s="11" t="s">
        <v>232</v>
      </c>
      <c r="S549" s="11" t="s">
        <v>1797</v>
      </c>
      <c r="T549" s="90" t="s">
        <v>1</v>
      </c>
      <c r="U549" s="89"/>
      <c r="V549" s="51">
        <v>45502</v>
      </c>
      <c r="W549" s="49" t="s">
        <v>1606</v>
      </c>
    </row>
    <row r="550" spans="1:23" ht="13" customHeight="1" x14ac:dyDescent="0.35">
      <c r="A550" s="11">
        <v>545</v>
      </c>
      <c r="B550" s="47">
        <v>203965521</v>
      </c>
      <c r="C550" s="94" t="s">
        <v>577</v>
      </c>
      <c r="D550" s="11" t="s">
        <v>578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78</v>
      </c>
      <c r="M550" s="49" t="s">
        <v>92</v>
      </c>
      <c r="N550" s="48" t="s">
        <v>79</v>
      </c>
      <c r="O550" s="49" t="s">
        <v>35</v>
      </c>
      <c r="P550" s="11" t="s">
        <v>80</v>
      </c>
      <c r="Q550" s="11" t="s">
        <v>81</v>
      </c>
      <c r="R550" s="11" t="s">
        <v>232</v>
      </c>
      <c r="S550" s="11" t="s">
        <v>1797</v>
      </c>
      <c r="T550" s="90" t="s">
        <v>1</v>
      </c>
      <c r="U550" s="89"/>
      <c r="V550" s="51">
        <v>45544</v>
      </c>
      <c r="W550" s="49" t="s">
        <v>1606</v>
      </c>
    </row>
    <row r="551" spans="1:23" ht="13" customHeight="1" x14ac:dyDescent="0.35">
      <c r="A551" s="11">
        <v>546</v>
      </c>
      <c r="B551" s="47">
        <v>204864420</v>
      </c>
      <c r="C551" s="94" t="s">
        <v>2754</v>
      </c>
      <c r="D551" s="11" t="s">
        <v>2755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39</v>
      </c>
      <c r="K551" s="49" t="s">
        <v>76</v>
      </c>
      <c r="L551" s="49" t="s">
        <v>77</v>
      </c>
      <c r="M551" s="49" t="s">
        <v>78</v>
      </c>
      <c r="N551" s="49" t="s">
        <v>89</v>
      </c>
      <c r="O551" s="49" t="s">
        <v>35</v>
      </c>
      <c r="P551" s="11" t="s">
        <v>80</v>
      </c>
      <c r="Q551" s="11" t="s">
        <v>90</v>
      </c>
      <c r="R551" s="11" t="s">
        <v>232</v>
      </c>
      <c r="S551" s="11" t="s">
        <v>1797</v>
      </c>
      <c r="T551" s="90" t="s">
        <v>10</v>
      </c>
      <c r="U551" s="89"/>
      <c r="V551" s="51">
        <v>45684</v>
      </c>
      <c r="W551" s="49" t="s">
        <v>1606</v>
      </c>
    </row>
    <row r="552" spans="1:23" ht="13" customHeight="1" x14ac:dyDescent="0.35">
      <c r="A552" s="11">
        <v>547</v>
      </c>
      <c r="B552" s="47">
        <v>206873658</v>
      </c>
      <c r="C552" s="94" t="s">
        <v>1808</v>
      </c>
      <c r="D552" s="11" t="s">
        <v>1809</v>
      </c>
      <c r="E552" s="48" t="s">
        <v>31</v>
      </c>
      <c r="F552" s="48" t="s">
        <v>74</v>
      </c>
      <c r="G552" s="48" t="s">
        <v>64</v>
      </c>
      <c r="H552" s="48" t="s">
        <v>75</v>
      </c>
      <c r="I552" s="11">
        <v>1299</v>
      </c>
      <c r="J552" s="49" t="s">
        <v>32</v>
      </c>
      <c r="K552" s="49" t="s">
        <v>76</v>
      </c>
      <c r="L552" s="49" t="s">
        <v>95</v>
      </c>
      <c r="M552" s="49" t="s">
        <v>77</v>
      </c>
      <c r="N552" s="49" t="s">
        <v>89</v>
      </c>
      <c r="O552" s="48" t="s">
        <v>35</v>
      </c>
      <c r="P552" s="48" t="s">
        <v>80</v>
      </c>
      <c r="Q552" s="11" t="s">
        <v>81</v>
      </c>
      <c r="R552" s="11" t="s">
        <v>232</v>
      </c>
      <c r="S552" s="11" t="s">
        <v>1797</v>
      </c>
      <c r="T552" s="90" t="s">
        <v>10</v>
      </c>
      <c r="U552" s="91"/>
      <c r="V552" s="51">
        <v>46020</v>
      </c>
      <c r="W552" s="49" t="s">
        <v>1606</v>
      </c>
    </row>
    <row r="553" spans="1:23" ht="13" customHeight="1" x14ac:dyDescent="0.35">
      <c r="A553" s="11">
        <v>548</v>
      </c>
      <c r="B553" s="47">
        <v>203736780</v>
      </c>
      <c r="C553" s="94" t="s">
        <v>579</v>
      </c>
      <c r="D553" s="11" t="s">
        <v>580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39</v>
      </c>
      <c r="K553" s="49" t="s">
        <v>76</v>
      </c>
      <c r="L553" s="49" t="s">
        <v>85</v>
      </c>
      <c r="M553" s="49" t="s">
        <v>88</v>
      </c>
      <c r="N553" s="48" t="s">
        <v>86</v>
      </c>
      <c r="O553" s="49" t="s">
        <v>35</v>
      </c>
      <c r="P553" s="11" t="s">
        <v>80</v>
      </c>
      <c r="Q553" s="11" t="s">
        <v>99</v>
      </c>
      <c r="R553" s="11" t="s">
        <v>232</v>
      </c>
      <c r="S553" s="11" t="s">
        <v>1797</v>
      </c>
      <c r="T553" s="90" t="s">
        <v>7</v>
      </c>
      <c r="U553" s="90" t="s">
        <v>3004</v>
      </c>
      <c r="V553" s="51">
        <v>45502</v>
      </c>
      <c r="W553" s="49" t="s">
        <v>1606</v>
      </c>
    </row>
    <row r="554" spans="1:23" ht="13" customHeight="1" x14ac:dyDescent="0.35">
      <c r="A554" s="11">
        <v>549</v>
      </c>
      <c r="B554" s="47">
        <v>206873654</v>
      </c>
      <c r="C554" s="94" t="s">
        <v>1800</v>
      </c>
      <c r="D554" s="11" t="s">
        <v>1801</v>
      </c>
      <c r="E554" s="48" t="s">
        <v>31</v>
      </c>
      <c r="F554" s="48" t="s">
        <v>74</v>
      </c>
      <c r="G554" s="48" t="s">
        <v>64</v>
      </c>
      <c r="H554" s="48" t="s">
        <v>75</v>
      </c>
      <c r="I554" s="11">
        <v>1299</v>
      </c>
      <c r="J554" s="49" t="s">
        <v>32</v>
      </c>
      <c r="K554" s="49" t="s">
        <v>76</v>
      </c>
      <c r="L554" s="49" t="s">
        <v>78</v>
      </c>
      <c r="M554" s="49" t="s">
        <v>92</v>
      </c>
      <c r="N554" s="49" t="s">
        <v>89</v>
      </c>
      <c r="O554" s="48" t="s">
        <v>35</v>
      </c>
      <c r="P554" s="48" t="s">
        <v>80</v>
      </c>
      <c r="Q554" s="11" t="s">
        <v>81</v>
      </c>
      <c r="R554" s="11" t="s">
        <v>226</v>
      </c>
      <c r="S554" s="11" t="s">
        <v>227</v>
      </c>
      <c r="T554" s="90" t="s">
        <v>1</v>
      </c>
      <c r="U554" s="89"/>
      <c r="V554" s="51">
        <v>46020</v>
      </c>
      <c r="W554" s="49" t="s">
        <v>1605</v>
      </c>
    </row>
    <row r="555" spans="1:23" ht="13" customHeight="1" x14ac:dyDescent="0.35">
      <c r="A555" s="11">
        <v>550</v>
      </c>
      <c r="B555" s="47">
        <v>206016554</v>
      </c>
      <c r="C555" s="94" t="s">
        <v>581</v>
      </c>
      <c r="D555" s="11" t="s">
        <v>582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77</v>
      </c>
      <c r="M555" s="49" t="s">
        <v>78</v>
      </c>
      <c r="N555" s="48" t="s">
        <v>79</v>
      </c>
      <c r="O555" s="49" t="s">
        <v>35</v>
      </c>
      <c r="P555" s="11" t="s">
        <v>80</v>
      </c>
      <c r="Q555" s="11" t="s">
        <v>81</v>
      </c>
      <c r="R555" s="11" t="s">
        <v>226</v>
      </c>
      <c r="S555" s="11" t="s">
        <v>227</v>
      </c>
      <c r="T555" s="90" t="s">
        <v>10</v>
      </c>
      <c r="U555" s="90"/>
      <c r="V555" s="51">
        <v>45915</v>
      </c>
      <c r="W555" s="49" t="s">
        <v>1607</v>
      </c>
    </row>
    <row r="556" spans="1:23" ht="13" customHeight="1" x14ac:dyDescent="0.35">
      <c r="A556" s="11">
        <v>551</v>
      </c>
      <c r="B556" s="47">
        <v>203709743</v>
      </c>
      <c r="C556" s="94" t="s">
        <v>583</v>
      </c>
      <c r="D556" s="11" t="s">
        <v>584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78</v>
      </c>
      <c r="M556" s="49" t="s">
        <v>92</v>
      </c>
      <c r="N556" s="48" t="s">
        <v>86</v>
      </c>
      <c r="O556" s="49" t="s">
        <v>35</v>
      </c>
      <c r="P556" s="11" t="s">
        <v>80</v>
      </c>
      <c r="Q556" s="11" t="s">
        <v>99</v>
      </c>
      <c r="R556" s="11" t="s">
        <v>232</v>
      </c>
      <c r="S556" s="11" t="s">
        <v>1797</v>
      </c>
      <c r="T556" s="90" t="s">
        <v>7</v>
      </c>
      <c r="U556" s="90" t="s">
        <v>3004</v>
      </c>
      <c r="V556" s="51">
        <v>45495</v>
      </c>
      <c r="W556" s="49" t="s">
        <v>1606</v>
      </c>
    </row>
    <row r="557" spans="1:23" ht="13" customHeight="1" x14ac:dyDescent="0.35">
      <c r="A557" s="11">
        <v>552</v>
      </c>
      <c r="B557" s="47">
        <v>206008709</v>
      </c>
      <c r="C557" s="94" t="s">
        <v>585</v>
      </c>
      <c r="D557" s="11" t="s">
        <v>586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78</v>
      </c>
      <c r="M557" s="49" t="s">
        <v>92</v>
      </c>
      <c r="N557" s="48" t="s">
        <v>79</v>
      </c>
      <c r="O557" s="49" t="s">
        <v>35</v>
      </c>
      <c r="P557" s="11" t="s">
        <v>80</v>
      </c>
      <c r="Q557" s="11" t="s">
        <v>81</v>
      </c>
      <c r="R557" s="11" t="s">
        <v>232</v>
      </c>
      <c r="S557" s="11" t="s">
        <v>1797</v>
      </c>
      <c r="T557" s="90" t="s">
        <v>1</v>
      </c>
      <c r="U557" s="90"/>
      <c r="V557" s="51">
        <v>45915</v>
      </c>
      <c r="W557" s="49" t="s">
        <v>1606</v>
      </c>
    </row>
    <row r="558" spans="1:23" ht="13" customHeight="1" x14ac:dyDescent="0.35">
      <c r="A558" s="11">
        <v>553</v>
      </c>
      <c r="B558" s="47">
        <v>206015636</v>
      </c>
      <c r="C558" s="94" t="s">
        <v>587</v>
      </c>
      <c r="D558" s="11" t="s">
        <v>588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8" t="s">
        <v>79</v>
      </c>
      <c r="O558" s="49" t="s">
        <v>35</v>
      </c>
      <c r="P558" s="11" t="s">
        <v>80</v>
      </c>
      <c r="Q558" s="11" t="s">
        <v>81</v>
      </c>
      <c r="R558" s="11" t="s">
        <v>225</v>
      </c>
      <c r="S558" s="11" t="s">
        <v>2821</v>
      </c>
      <c r="T558" s="90" t="s">
        <v>1</v>
      </c>
      <c r="U558" s="89"/>
      <c r="V558" s="51">
        <v>45915</v>
      </c>
      <c r="W558" s="49" t="s">
        <v>1606</v>
      </c>
    </row>
    <row r="559" spans="1:23" ht="13" customHeight="1" x14ac:dyDescent="0.35">
      <c r="A559" s="11">
        <v>554</v>
      </c>
      <c r="B559" s="47">
        <v>204869087</v>
      </c>
      <c r="C559" s="94" t="s">
        <v>589</v>
      </c>
      <c r="D559" s="11" t="s">
        <v>590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78</v>
      </c>
      <c r="M559" s="49" t="s">
        <v>92</v>
      </c>
      <c r="N559" s="48" t="s">
        <v>86</v>
      </c>
      <c r="O559" s="49" t="s">
        <v>35</v>
      </c>
      <c r="P559" s="11" t="s">
        <v>80</v>
      </c>
      <c r="Q559" s="11" t="s">
        <v>87</v>
      </c>
      <c r="R559" s="11" t="s">
        <v>232</v>
      </c>
      <c r="S559" s="11" t="s">
        <v>1797</v>
      </c>
      <c r="T559" s="90" t="s">
        <v>1</v>
      </c>
      <c r="U559" s="91"/>
      <c r="V559" s="51">
        <v>45691</v>
      </c>
      <c r="W559" s="49" t="s">
        <v>1606</v>
      </c>
    </row>
    <row r="560" spans="1:23" ht="13" customHeight="1" x14ac:dyDescent="0.35">
      <c r="A560" s="11">
        <v>555</v>
      </c>
      <c r="B560" s="47">
        <v>204967051</v>
      </c>
      <c r="C560" s="94" t="s">
        <v>2756</v>
      </c>
      <c r="D560" s="11" t="s">
        <v>2757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39</v>
      </c>
      <c r="K560" s="49" t="s">
        <v>76</v>
      </c>
      <c r="L560" s="49" t="s">
        <v>78</v>
      </c>
      <c r="M560" s="49" t="s">
        <v>92</v>
      </c>
      <c r="N560" s="49" t="s">
        <v>89</v>
      </c>
      <c r="O560" s="49" t="s">
        <v>35</v>
      </c>
      <c r="P560" s="11" t="s">
        <v>80</v>
      </c>
      <c r="Q560" s="11" t="s">
        <v>90</v>
      </c>
      <c r="R560" s="11" t="s">
        <v>232</v>
      </c>
      <c r="S560" s="11" t="s">
        <v>1797</v>
      </c>
      <c r="T560" s="90" t="s">
        <v>1</v>
      </c>
      <c r="U560" s="89"/>
      <c r="V560" s="51">
        <v>45826</v>
      </c>
      <c r="W560" s="49" t="s">
        <v>1606</v>
      </c>
    </row>
    <row r="561" spans="1:23" ht="13" customHeight="1" x14ac:dyDescent="0.35">
      <c r="A561" s="11">
        <v>556</v>
      </c>
      <c r="B561" s="47">
        <v>203737252</v>
      </c>
      <c r="C561" s="94" t="s">
        <v>2758</v>
      </c>
      <c r="D561" s="11" t="s">
        <v>2759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88</v>
      </c>
      <c r="M561" s="49" t="s">
        <v>95</v>
      </c>
      <c r="N561" s="48" t="s">
        <v>86</v>
      </c>
      <c r="O561" s="49" t="s">
        <v>35</v>
      </c>
      <c r="P561" s="11" t="s">
        <v>80</v>
      </c>
      <c r="Q561" s="11" t="s">
        <v>90</v>
      </c>
      <c r="R561" s="11" t="s">
        <v>232</v>
      </c>
      <c r="S561" s="11" t="s">
        <v>1797</v>
      </c>
      <c r="T561" s="90" t="s">
        <v>1</v>
      </c>
      <c r="U561" s="89"/>
      <c r="V561" s="51">
        <v>45502</v>
      </c>
      <c r="W561" s="49" t="s">
        <v>1606</v>
      </c>
    </row>
    <row r="562" spans="1:23" ht="13" customHeight="1" x14ac:dyDescent="0.35">
      <c r="A562" s="11">
        <v>557</v>
      </c>
      <c r="B562" s="47">
        <v>203737015</v>
      </c>
      <c r="C562" s="94" t="s">
        <v>591</v>
      </c>
      <c r="D562" s="11" t="s">
        <v>592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92</v>
      </c>
      <c r="M562" s="49" t="s">
        <v>84</v>
      </c>
      <c r="N562" s="48" t="s">
        <v>79</v>
      </c>
      <c r="O562" s="49" t="s">
        <v>35</v>
      </c>
      <c r="P562" s="11" t="s">
        <v>80</v>
      </c>
      <c r="Q562" s="11" t="s">
        <v>81</v>
      </c>
      <c r="R562" s="11" t="s">
        <v>232</v>
      </c>
      <c r="S562" s="11" t="s">
        <v>1797</v>
      </c>
      <c r="T562" s="90" t="s">
        <v>1</v>
      </c>
      <c r="U562" s="89"/>
      <c r="V562" s="51">
        <v>45502</v>
      </c>
      <c r="W562" s="49" t="s">
        <v>1606</v>
      </c>
    </row>
    <row r="563" spans="1:23" ht="13" customHeight="1" x14ac:dyDescent="0.35">
      <c r="A563" s="11">
        <v>558</v>
      </c>
      <c r="B563" s="47">
        <v>204883095</v>
      </c>
      <c r="C563" s="94" t="s">
        <v>2760</v>
      </c>
      <c r="D563" s="11" t="s">
        <v>2761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78</v>
      </c>
      <c r="M563" s="49" t="s">
        <v>92</v>
      </c>
      <c r="N563" s="49" t="s">
        <v>89</v>
      </c>
      <c r="O563" s="49" t="s">
        <v>35</v>
      </c>
      <c r="P563" s="11" t="s">
        <v>80</v>
      </c>
      <c r="Q563" s="11" t="s">
        <v>90</v>
      </c>
      <c r="R563" s="11" t="s">
        <v>232</v>
      </c>
      <c r="S563" s="11" t="s">
        <v>1797</v>
      </c>
      <c r="T563" s="90" t="s">
        <v>1</v>
      </c>
      <c r="U563" s="89"/>
      <c r="V563" s="51">
        <v>45826</v>
      </c>
      <c r="W563" s="49" t="s">
        <v>1606</v>
      </c>
    </row>
    <row r="564" spans="1:23" ht="13" customHeight="1" x14ac:dyDescent="0.35">
      <c r="A564" s="11">
        <v>559</v>
      </c>
      <c r="B564" s="47">
        <v>204967558</v>
      </c>
      <c r="C564" s="94" t="s">
        <v>2762</v>
      </c>
      <c r="D564" s="11" t="s">
        <v>2763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39</v>
      </c>
      <c r="K564" s="49" t="s">
        <v>76</v>
      </c>
      <c r="L564" s="49" t="s">
        <v>78</v>
      </c>
      <c r="M564" s="49" t="s">
        <v>92</v>
      </c>
      <c r="N564" s="48" t="s">
        <v>86</v>
      </c>
      <c r="O564" s="49" t="s">
        <v>35</v>
      </c>
      <c r="P564" s="11" t="s">
        <v>80</v>
      </c>
      <c r="Q564" s="11" t="s">
        <v>90</v>
      </c>
      <c r="R564" s="11" t="s">
        <v>232</v>
      </c>
      <c r="S564" s="11" t="s">
        <v>1797</v>
      </c>
      <c r="T564" s="90" t="s">
        <v>1</v>
      </c>
      <c r="U564" s="89"/>
      <c r="V564" s="51">
        <v>45826</v>
      </c>
      <c r="W564" s="49" t="s">
        <v>1606</v>
      </c>
    </row>
    <row r="565" spans="1:23" ht="13" customHeight="1" x14ac:dyDescent="0.35">
      <c r="A565" s="11">
        <v>560</v>
      </c>
      <c r="B565" s="47">
        <v>112648320</v>
      </c>
      <c r="C565" s="94" t="s">
        <v>2306</v>
      </c>
      <c r="D565" s="11" t="s">
        <v>2459</v>
      </c>
      <c r="E565" s="48" t="s">
        <v>34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32</v>
      </c>
      <c r="K565" s="49" t="s">
        <v>76</v>
      </c>
      <c r="L565" s="49" t="s">
        <v>95</v>
      </c>
      <c r="M565" s="49" t="s">
        <v>77</v>
      </c>
      <c r="N565" s="48" t="s">
        <v>97</v>
      </c>
      <c r="O565" s="47" t="s">
        <v>35</v>
      </c>
      <c r="P565" s="47" t="s">
        <v>80</v>
      </c>
      <c r="Q565" s="47" t="s">
        <v>98</v>
      </c>
      <c r="R565" s="11" t="s">
        <v>226</v>
      </c>
      <c r="S565" s="11" t="s">
        <v>227</v>
      </c>
      <c r="T565" s="90" t="s">
        <v>10</v>
      </c>
      <c r="U565" s="89"/>
      <c r="V565" s="51">
        <v>46132</v>
      </c>
      <c r="W565" s="49" t="s">
        <v>1608</v>
      </c>
    </row>
    <row r="566" spans="1:23" ht="13" customHeight="1" x14ac:dyDescent="0.35">
      <c r="A566" s="11">
        <v>561</v>
      </c>
      <c r="B566" s="47">
        <v>203813083</v>
      </c>
      <c r="C566" s="94" t="s">
        <v>593</v>
      </c>
      <c r="D566" s="11" t="s">
        <v>594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39</v>
      </c>
      <c r="K566" s="49" t="s">
        <v>76</v>
      </c>
      <c r="L566" s="49" t="s">
        <v>78</v>
      </c>
      <c r="M566" s="49" t="s">
        <v>92</v>
      </c>
      <c r="N566" s="48" t="s">
        <v>86</v>
      </c>
      <c r="O566" s="49" t="s">
        <v>35</v>
      </c>
      <c r="P566" s="11" t="s">
        <v>80</v>
      </c>
      <c r="Q566" s="11" t="s">
        <v>99</v>
      </c>
      <c r="R566" s="11" t="s">
        <v>232</v>
      </c>
      <c r="S566" s="11" t="s">
        <v>1797</v>
      </c>
      <c r="T566" s="90" t="s">
        <v>1</v>
      </c>
      <c r="U566" s="89"/>
      <c r="V566" s="51">
        <v>45517</v>
      </c>
      <c r="W566" s="49" t="s">
        <v>1606</v>
      </c>
    </row>
    <row r="567" spans="1:23" ht="13" customHeight="1" x14ac:dyDescent="0.35">
      <c r="A567" s="11">
        <v>562</v>
      </c>
      <c r="B567" s="47">
        <v>206791445</v>
      </c>
      <c r="C567" s="94" t="s">
        <v>2764</v>
      </c>
      <c r="D567" s="11" t="s">
        <v>2765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9" t="s">
        <v>89</v>
      </c>
      <c r="O567" s="49" t="s">
        <v>35</v>
      </c>
      <c r="P567" s="11" t="s">
        <v>80</v>
      </c>
      <c r="Q567" s="11" t="s">
        <v>90</v>
      </c>
      <c r="R567" s="11" t="s">
        <v>232</v>
      </c>
      <c r="S567" s="11" t="s">
        <v>1797</v>
      </c>
      <c r="T567" s="90" t="s">
        <v>1</v>
      </c>
      <c r="U567" s="89"/>
      <c r="V567" s="51">
        <v>45999</v>
      </c>
      <c r="W567" s="49" t="s">
        <v>1606</v>
      </c>
    </row>
    <row r="568" spans="1:23" ht="13" customHeight="1" x14ac:dyDescent="0.35">
      <c r="A568" s="11">
        <v>563</v>
      </c>
      <c r="B568" s="47">
        <v>206072878</v>
      </c>
      <c r="C568" s="94" t="s">
        <v>596</v>
      </c>
      <c r="D568" s="11" t="s">
        <v>597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32</v>
      </c>
      <c r="K568" s="49" t="s">
        <v>76</v>
      </c>
      <c r="L568" s="49" t="s">
        <v>78</v>
      </c>
      <c r="M568" s="49" t="s">
        <v>92</v>
      </c>
      <c r="N568" s="48" t="s">
        <v>79</v>
      </c>
      <c r="O568" s="49" t="s">
        <v>35</v>
      </c>
      <c r="P568" s="11" t="s">
        <v>80</v>
      </c>
      <c r="Q568" s="11" t="s">
        <v>81</v>
      </c>
      <c r="R568" s="11" t="s">
        <v>232</v>
      </c>
      <c r="S568" s="11" t="s">
        <v>1797</v>
      </c>
      <c r="T568" s="90" t="s">
        <v>1</v>
      </c>
      <c r="U568" s="90"/>
      <c r="V568" s="51">
        <v>45922</v>
      </c>
      <c r="W568" s="49" t="s">
        <v>1606</v>
      </c>
    </row>
    <row r="569" spans="1:23" ht="13" customHeight="1" x14ac:dyDescent="0.35">
      <c r="A569" s="11">
        <v>564</v>
      </c>
      <c r="B569" s="47">
        <v>206915156</v>
      </c>
      <c r="C569" s="94" t="s">
        <v>1976</v>
      </c>
      <c r="D569" s="11" t="s">
        <v>1983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39</v>
      </c>
      <c r="K569" s="49" t="s">
        <v>76</v>
      </c>
      <c r="L569" s="49" t="s">
        <v>77</v>
      </c>
      <c r="M569" s="49" t="s">
        <v>78</v>
      </c>
      <c r="N569" s="49" t="s">
        <v>89</v>
      </c>
      <c r="O569" s="49" t="s">
        <v>35</v>
      </c>
      <c r="P569" s="49" t="s">
        <v>80</v>
      </c>
      <c r="Q569" s="49" t="s">
        <v>90</v>
      </c>
      <c r="R569" s="11" t="s">
        <v>226</v>
      </c>
      <c r="S569" s="49" t="s">
        <v>227</v>
      </c>
      <c r="T569" s="90" t="s">
        <v>10</v>
      </c>
      <c r="U569" s="91"/>
      <c r="V569" s="51">
        <v>46034</v>
      </c>
      <c r="W569" s="49" t="s">
        <v>1606</v>
      </c>
    </row>
    <row r="570" spans="1:23" ht="13" customHeight="1" x14ac:dyDescent="0.35">
      <c r="A570" s="11">
        <v>565</v>
      </c>
      <c r="B570" s="47">
        <v>203816396</v>
      </c>
      <c r="C570" s="94" t="s">
        <v>2766</v>
      </c>
      <c r="D570" s="11" t="s">
        <v>2767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32</v>
      </c>
      <c r="K570" s="49" t="s">
        <v>76</v>
      </c>
      <c r="L570" s="49" t="s">
        <v>78</v>
      </c>
      <c r="M570" s="49" t="s">
        <v>92</v>
      </c>
      <c r="N570" s="49" t="s">
        <v>89</v>
      </c>
      <c r="O570" s="49" t="s">
        <v>35</v>
      </c>
      <c r="P570" s="11" t="s">
        <v>80</v>
      </c>
      <c r="Q570" s="11" t="s">
        <v>90</v>
      </c>
      <c r="R570" s="11" t="s">
        <v>226</v>
      </c>
      <c r="S570" s="11" t="s">
        <v>227</v>
      </c>
      <c r="T570" s="90" t="s">
        <v>1</v>
      </c>
      <c r="U570" s="91"/>
      <c r="V570" s="51">
        <v>45518</v>
      </c>
      <c r="W570" s="49" t="s">
        <v>1605</v>
      </c>
    </row>
    <row r="571" spans="1:23" ht="13" customHeight="1" x14ac:dyDescent="0.35">
      <c r="A571" s="11">
        <v>566</v>
      </c>
      <c r="B571" s="47">
        <v>206873878</v>
      </c>
      <c r="C571" s="94" t="s">
        <v>2768</v>
      </c>
      <c r="D571" s="11" t="s">
        <v>2769</v>
      </c>
      <c r="E571" s="48" t="s">
        <v>31</v>
      </c>
      <c r="F571" s="48" t="s">
        <v>74</v>
      </c>
      <c r="G571" s="48" t="s">
        <v>64</v>
      </c>
      <c r="H571" s="48" t="s">
        <v>75</v>
      </c>
      <c r="I571" s="11">
        <v>1299</v>
      </c>
      <c r="J571" s="49" t="s">
        <v>32</v>
      </c>
      <c r="K571" s="49" t="s">
        <v>76</v>
      </c>
      <c r="L571" s="49" t="s">
        <v>78</v>
      </c>
      <c r="M571" s="49" t="s">
        <v>92</v>
      </c>
      <c r="N571" s="49" t="s">
        <v>89</v>
      </c>
      <c r="O571" s="48" t="s">
        <v>35</v>
      </c>
      <c r="P571" s="48" t="s">
        <v>80</v>
      </c>
      <c r="Q571" s="11" t="s">
        <v>90</v>
      </c>
      <c r="R571" s="11" t="s">
        <v>232</v>
      </c>
      <c r="S571" s="11" t="s">
        <v>1797</v>
      </c>
      <c r="T571" s="90" t="s">
        <v>1</v>
      </c>
      <c r="U571" s="89"/>
      <c r="V571" s="51">
        <v>46020</v>
      </c>
      <c r="W571" s="49" t="s">
        <v>1606</v>
      </c>
    </row>
    <row r="572" spans="1:23" ht="13" customHeight="1" x14ac:dyDescent="0.35">
      <c r="A572" s="11">
        <v>567</v>
      </c>
      <c r="B572" s="47">
        <v>203800482</v>
      </c>
      <c r="C572" s="94" t="s">
        <v>598</v>
      </c>
      <c r="D572" s="11" t="s">
        <v>599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39</v>
      </c>
      <c r="K572" s="49" t="s">
        <v>76</v>
      </c>
      <c r="L572" s="49" t="s">
        <v>85</v>
      </c>
      <c r="M572" s="49" t="s">
        <v>88</v>
      </c>
      <c r="N572" s="48" t="s">
        <v>86</v>
      </c>
      <c r="O572" s="49" t="s">
        <v>35</v>
      </c>
      <c r="P572" s="11" t="s">
        <v>80</v>
      </c>
      <c r="Q572" s="11" t="s">
        <v>90</v>
      </c>
      <c r="R572" s="11" t="s">
        <v>232</v>
      </c>
      <c r="S572" s="11" t="s">
        <v>1797</v>
      </c>
      <c r="T572" s="90" t="s">
        <v>1</v>
      </c>
      <c r="U572" s="91"/>
      <c r="V572" s="51">
        <v>45516</v>
      </c>
      <c r="W572" s="49" t="s">
        <v>1606</v>
      </c>
    </row>
    <row r="573" spans="1:23" ht="13" customHeight="1" x14ac:dyDescent="0.35">
      <c r="A573" s="11">
        <v>568</v>
      </c>
      <c r="B573" s="11">
        <v>206953817</v>
      </c>
      <c r="C573" s="94" t="s">
        <v>2770</v>
      </c>
      <c r="D573" s="11" t="s">
        <v>2771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9" t="s">
        <v>86</v>
      </c>
      <c r="O573" s="87" t="s">
        <v>35</v>
      </c>
      <c r="P573" s="11" t="s">
        <v>80</v>
      </c>
      <c r="Q573" s="84" t="s">
        <v>90</v>
      </c>
      <c r="R573" s="11" t="s">
        <v>225</v>
      </c>
      <c r="S573" s="54" t="s">
        <v>2821</v>
      </c>
      <c r="T573" s="90" t="s">
        <v>1</v>
      </c>
      <c r="U573" s="89"/>
      <c r="V573" s="51">
        <v>46051</v>
      </c>
      <c r="W573" s="2" t="s">
        <v>1606</v>
      </c>
    </row>
    <row r="574" spans="1:23" ht="13" customHeight="1" x14ac:dyDescent="0.35">
      <c r="A574" s="11">
        <v>569</v>
      </c>
      <c r="B574" s="47">
        <v>106262694</v>
      </c>
      <c r="C574" s="94" t="s">
        <v>2464</v>
      </c>
      <c r="D574" s="11" t="s">
        <v>2465</v>
      </c>
      <c r="E574" s="48" t="s">
        <v>34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84</v>
      </c>
      <c r="M574" s="49" t="s">
        <v>85</v>
      </c>
      <c r="N574" s="48" t="s">
        <v>108</v>
      </c>
      <c r="O574" s="49" t="s">
        <v>35</v>
      </c>
      <c r="P574" s="11" t="s">
        <v>80</v>
      </c>
      <c r="Q574" s="11" t="s">
        <v>98</v>
      </c>
      <c r="R574" s="11" t="s">
        <v>232</v>
      </c>
      <c r="S574" s="11" t="s">
        <v>1797</v>
      </c>
      <c r="T574" s="90" t="s">
        <v>1</v>
      </c>
      <c r="U574" s="89"/>
      <c r="V574" s="51">
        <v>44757</v>
      </c>
      <c r="W574" s="49" t="s">
        <v>1603</v>
      </c>
    </row>
    <row r="575" spans="1:23" ht="13" customHeight="1" x14ac:dyDescent="0.35">
      <c r="A575" s="11">
        <v>570</v>
      </c>
      <c r="B575" s="47">
        <v>205506109</v>
      </c>
      <c r="C575" s="94" t="s">
        <v>600</v>
      </c>
      <c r="D575" s="11" t="s">
        <v>601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77</v>
      </c>
      <c r="M575" s="49" t="s">
        <v>78</v>
      </c>
      <c r="N575" s="49" t="s">
        <v>89</v>
      </c>
      <c r="O575" s="49" t="s">
        <v>35</v>
      </c>
      <c r="P575" s="11" t="s">
        <v>80</v>
      </c>
      <c r="Q575" s="11" t="s">
        <v>96</v>
      </c>
      <c r="R575" s="11" t="s">
        <v>232</v>
      </c>
      <c r="S575" s="11" t="s">
        <v>1797</v>
      </c>
      <c r="T575" s="90" t="s">
        <v>10</v>
      </c>
      <c r="U575" s="89"/>
      <c r="V575" s="51">
        <v>45831</v>
      </c>
      <c r="W575" s="49" t="s">
        <v>1606</v>
      </c>
    </row>
    <row r="576" spans="1:23" ht="13" customHeight="1" x14ac:dyDescent="0.35">
      <c r="A576" s="11">
        <v>571</v>
      </c>
      <c r="B576" s="47">
        <v>204967149</v>
      </c>
      <c r="C576" s="94" t="s">
        <v>2772</v>
      </c>
      <c r="D576" s="11" t="s">
        <v>2773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39</v>
      </c>
      <c r="K576" s="49" t="s">
        <v>76</v>
      </c>
      <c r="L576" s="49" t="s">
        <v>78</v>
      </c>
      <c r="M576" s="49" t="s">
        <v>92</v>
      </c>
      <c r="N576" s="48" t="s">
        <v>86</v>
      </c>
      <c r="O576" s="49" t="s">
        <v>35</v>
      </c>
      <c r="P576" s="11" t="s">
        <v>80</v>
      </c>
      <c r="Q576" s="11" t="s">
        <v>90</v>
      </c>
      <c r="R576" s="11" t="s">
        <v>232</v>
      </c>
      <c r="S576" s="11" t="s">
        <v>1797</v>
      </c>
      <c r="T576" s="90" t="s">
        <v>1</v>
      </c>
      <c r="U576" s="89"/>
      <c r="V576" s="51">
        <v>45826</v>
      </c>
      <c r="W576" s="49" t="s">
        <v>1606</v>
      </c>
    </row>
    <row r="577" spans="1:23" ht="13" customHeight="1" x14ac:dyDescent="0.35">
      <c r="A577" s="11">
        <v>572</v>
      </c>
      <c r="B577" s="47">
        <v>205496022</v>
      </c>
      <c r="C577" s="94" t="s">
        <v>602</v>
      </c>
      <c r="D577" s="11" t="s">
        <v>603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89</v>
      </c>
      <c r="O577" s="49" t="s">
        <v>35</v>
      </c>
      <c r="P577" s="11" t="s">
        <v>80</v>
      </c>
      <c r="Q577" s="11" t="s">
        <v>96</v>
      </c>
      <c r="R577" s="11" t="s">
        <v>232</v>
      </c>
      <c r="S577" s="11" t="s">
        <v>1797</v>
      </c>
      <c r="T577" s="90" t="s">
        <v>1</v>
      </c>
      <c r="U577" s="89"/>
      <c r="V577" s="51">
        <v>45831</v>
      </c>
      <c r="W577" s="49" t="s">
        <v>1606</v>
      </c>
    </row>
    <row r="578" spans="1:23" ht="13" customHeight="1" x14ac:dyDescent="0.35">
      <c r="A578" s="11">
        <v>573</v>
      </c>
      <c r="B578" s="47">
        <v>206504596</v>
      </c>
      <c r="C578" s="94" t="s">
        <v>2774</v>
      </c>
      <c r="D578" s="11" t="s">
        <v>2775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9" t="s">
        <v>89</v>
      </c>
      <c r="O578" s="49" t="s">
        <v>35</v>
      </c>
      <c r="P578" s="11" t="s">
        <v>80</v>
      </c>
      <c r="Q578" s="11" t="s">
        <v>90</v>
      </c>
      <c r="R578" s="11" t="s">
        <v>232</v>
      </c>
      <c r="S578" s="11" t="s">
        <v>1797</v>
      </c>
      <c r="T578" s="90" t="s">
        <v>1</v>
      </c>
      <c r="U578" s="89"/>
      <c r="V578" s="51">
        <v>45971</v>
      </c>
      <c r="W578" s="49" t="s">
        <v>1606</v>
      </c>
    </row>
    <row r="579" spans="1:23" ht="13" customHeight="1" x14ac:dyDescent="0.35">
      <c r="A579" s="11">
        <v>574</v>
      </c>
      <c r="B579" s="47">
        <v>204246613</v>
      </c>
      <c r="C579" s="94" t="s">
        <v>604</v>
      </c>
      <c r="D579" s="11" t="s">
        <v>605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8" t="s">
        <v>86</v>
      </c>
      <c r="O579" s="49" t="s">
        <v>35</v>
      </c>
      <c r="P579" s="11" t="s">
        <v>80</v>
      </c>
      <c r="Q579" s="11" t="s">
        <v>87</v>
      </c>
      <c r="R579" s="11" t="s">
        <v>232</v>
      </c>
      <c r="S579" s="11" t="s">
        <v>1797</v>
      </c>
      <c r="T579" s="90" t="s">
        <v>1</v>
      </c>
      <c r="U579" s="89"/>
      <c r="V579" s="51">
        <v>45579</v>
      </c>
      <c r="W579" s="49" t="s">
        <v>1606</v>
      </c>
    </row>
    <row r="580" spans="1:23" ht="13" customHeight="1" x14ac:dyDescent="0.35">
      <c r="A580" s="11">
        <v>575</v>
      </c>
      <c r="B580" s="47">
        <v>206015633</v>
      </c>
      <c r="C580" s="94" t="s">
        <v>606</v>
      </c>
      <c r="D580" s="11" t="s">
        <v>607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8" t="s">
        <v>79</v>
      </c>
      <c r="O580" s="49" t="s">
        <v>35</v>
      </c>
      <c r="P580" s="11" t="s">
        <v>80</v>
      </c>
      <c r="Q580" s="11" t="s">
        <v>81</v>
      </c>
      <c r="R580" s="11" t="s">
        <v>226</v>
      </c>
      <c r="S580" s="11" t="s">
        <v>227</v>
      </c>
      <c r="T580" s="90" t="s">
        <v>1</v>
      </c>
      <c r="U580" s="89"/>
      <c r="V580" s="51">
        <v>45915</v>
      </c>
      <c r="W580" s="49" t="s">
        <v>1607</v>
      </c>
    </row>
    <row r="581" spans="1:23" ht="13" customHeight="1" x14ac:dyDescent="0.35">
      <c r="A581" s="11">
        <v>576</v>
      </c>
      <c r="B581" s="11">
        <v>206875751</v>
      </c>
      <c r="C581" s="94" t="s">
        <v>1830</v>
      </c>
      <c r="D581" s="11" t="s">
        <v>1831</v>
      </c>
      <c r="E581" s="48" t="s">
        <v>31</v>
      </c>
      <c r="F581" s="48" t="s">
        <v>74</v>
      </c>
      <c r="G581" s="48" t="s">
        <v>64</v>
      </c>
      <c r="H581" s="48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9" t="s">
        <v>89</v>
      </c>
      <c r="O581" s="48" t="s">
        <v>35</v>
      </c>
      <c r="P581" s="48" t="s">
        <v>80</v>
      </c>
      <c r="Q581" s="11" t="s">
        <v>81</v>
      </c>
      <c r="R581" s="11" t="s">
        <v>232</v>
      </c>
      <c r="S581" s="11" t="s">
        <v>1797</v>
      </c>
      <c r="T581" s="90" t="s">
        <v>1</v>
      </c>
      <c r="U581" s="91"/>
      <c r="V581" s="51">
        <v>46020</v>
      </c>
      <c r="W581" s="11" t="s">
        <v>1606</v>
      </c>
    </row>
    <row r="582" spans="1:23" ht="13" customHeight="1" x14ac:dyDescent="0.35">
      <c r="A582" s="11">
        <v>577</v>
      </c>
      <c r="B582" s="47">
        <v>204246612</v>
      </c>
      <c r="C582" s="94" t="s">
        <v>608</v>
      </c>
      <c r="D582" s="11" t="s">
        <v>609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32</v>
      </c>
      <c r="K582" s="49" t="s">
        <v>76</v>
      </c>
      <c r="L582" s="49" t="s">
        <v>95</v>
      </c>
      <c r="M582" s="49" t="s">
        <v>77</v>
      </c>
      <c r="N582" s="48" t="s">
        <v>86</v>
      </c>
      <c r="O582" s="49" t="s">
        <v>35</v>
      </c>
      <c r="P582" s="11" t="s">
        <v>80</v>
      </c>
      <c r="Q582" s="11" t="s">
        <v>87</v>
      </c>
      <c r="R582" s="11" t="s">
        <v>232</v>
      </c>
      <c r="S582" s="11" t="s">
        <v>1797</v>
      </c>
      <c r="T582" s="90" t="s">
        <v>10</v>
      </c>
      <c r="U582" s="90"/>
      <c r="V582" s="51">
        <v>45579</v>
      </c>
      <c r="W582" s="49" t="s">
        <v>1606</v>
      </c>
    </row>
    <row r="583" spans="1:23" ht="13" customHeight="1" x14ac:dyDescent="0.35">
      <c r="A583" s="11">
        <v>578</v>
      </c>
      <c r="B583" s="47">
        <v>206933423</v>
      </c>
      <c r="C583" s="94" t="s">
        <v>2098</v>
      </c>
      <c r="D583" s="11" t="s">
        <v>2074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9" t="s">
        <v>79</v>
      </c>
      <c r="O583" s="49" t="s">
        <v>35</v>
      </c>
      <c r="P583" s="11" t="s">
        <v>80</v>
      </c>
      <c r="Q583" s="11" t="s">
        <v>96</v>
      </c>
      <c r="R583" s="11" t="s">
        <v>225</v>
      </c>
      <c r="S583" s="11" t="s">
        <v>2821</v>
      </c>
      <c r="T583" s="90" t="s">
        <v>1</v>
      </c>
      <c r="U583" s="90"/>
      <c r="V583" s="51">
        <v>46041</v>
      </c>
      <c r="W583" s="49" t="s">
        <v>1606</v>
      </c>
    </row>
    <row r="584" spans="1:23" ht="13" customHeight="1" x14ac:dyDescent="0.35">
      <c r="A584" s="11">
        <v>579</v>
      </c>
      <c r="B584" s="47">
        <v>206513292</v>
      </c>
      <c r="C584" s="94" t="s">
        <v>2776</v>
      </c>
      <c r="D584" s="11" t="s">
        <v>2777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8" t="s">
        <v>86</v>
      </c>
      <c r="O584" s="49" t="s">
        <v>35</v>
      </c>
      <c r="P584" s="11" t="s">
        <v>80</v>
      </c>
      <c r="Q584" s="11" t="s">
        <v>90</v>
      </c>
      <c r="R584" s="11" t="s">
        <v>232</v>
      </c>
      <c r="S584" s="11" t="s">
        <v>1797</v>
      </c>
      <c r="T584" s="90" t="s">
        <v>1</v>
      </c>
      <c r="U584" s="89"/>
      <c r="V584" s="51">
        <v>45971</v>
      </c>
      <c r="W584" s="49" t="s">
        <v>1606</v>
      </c>
    </row>
    <row r="585" spans="1:23" ht="13" customHeight="1" x14ac:dyDescent="0.35">
      <c r="A585" s="11">
        <v>580</v>
      </c>
      <c r="B585" s="47">
        <v>206791438</v>
      </c>
      <c r="C585" s="94" t="s">
        <v>2778</v>
      </c>
      <c r="D585" s="11" t="s">
        <v>2779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32</v>
      </c>
      <c r="K585" s="49" t="s">
        <v>76</v>
      </c>
      <c r="L585" s="49" t="s">
        <v>78</v>
      </c>
      <c r="M585" s="49" t="s">
        <v>92</v>
      </c>
      <c r="N585" s="49" t="s">
        <v>89</v>
      </c>
      <c r="O585" s="49" t="s">
        <v>35</v>
      </c>
      <c r="P585" s="11" t="s">
        <v>80</v>
      </c>
      <c r="Q585" s="11" t="s">
        <v>90</v>
      </c>
      <c r="R585" s="11" t="s">
        <v>232</v>
      </c>
      <c r="S585" s="11" t="s">
        <v>1797</v>
      </c>
      <c r="T585" s="90" t="s">
        <v>1</v>
      </c>
      <c r="U585" s="90" t="s">
        <v>3003</v>
      </c>
      <c r="V585" s="51">
        <v>45999</v>
      </c>
      <c r="W585" s="49" t="s">
        <v>1606</v>
      </c>
    </row>
    <row r="586" spans="1:23" ht="13" customHeight="1" x14ac:dyDescent="0.35">
      <c r="A586" s="11">
        <v>581</v>
      </c>
      <c r="B586" s="47">
        <v>203736259</v>
      </c>
      <c r="C586" s="94" t="s">
        <v>2780</v>
      </c>
      <c r="D586" s="11" t="s">
        <v>2781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39</v>
      </c>
      <c r="K586" s="49" t="s">
        <v>76</v>
      </c>
      <c r="L586" s="49" t="s">
        <v>78</v>
      </c>
      <c r="M586" s="49" t="s">
        <v>92</v>
      </c>
      <c r="N586" s="48" t="s">
        <v>86</v>
      </c>
      <c r="O586" s="49" t="s">
        <v>35</v>
      </c>
      <c r="P586" s="11" t="s">
        <v>80</v>
      </c>
      <c r="Q586" s="11" t="s">
        <v>90</v>
      </c>
      <c r="R586" s="11" t="s">
        <v>232</v>
      </c>
      <c r="S586" s="11" t="s">
        <v>1797</v>
      </c>
      <c r="T586" s="90" t="s">
        <v>1</v>
      </c>
      <c r="U586" s="89"/>
      <c r="V586" s="51">
        <v>45502</v>
      </c>
      <c r="W586" s="49" t="s">
        <v>1606</v>
      </c>
    </row>
    <row r="587" spans="1:23" ht="13" customHeight="1" x14ac:dyDescent="0.35">
      <c r="A587" s="11">
        <v>582</v>
      </c>
      <c r="B587" s="11">
        <v>206873645</v>
      </c>
      <c r="C587" s="94" t="s">
        <v>1822</v>
      </c>
      <c r="D587" s="11" t="s">
        <v>1823</v>
      </c>
      <c r="E587" s="48" t="s">
        <v>31</v>
      </c>
      <c r="F587" s="48" t="s">
        <v>74</v>
      </c>
      <c r="G587" s="48" t="s">
        <v>64</v>
      </c>
      <c r="H587" s="48" t="s">
        <v>75</v>
      </c>
      <c r="I587" s="11">
        <v>1299</v>
      </c>
      <c r="J587" s="49" t="s">
        <v>32</v>
      </c>
      <c r="K587" s="49" t="s">
        <v>76</v>
      </c>
      <c r="L587" s="49" t="s">
        <v>78</v>
      </c>
      <c r="M587" s="49" t="s">
        <v>92</v>
      </c>
      <c r="N587" s="49" t="s">
        <v>89</v>
      </c>
      <c r="O587" s="48" t="s">
        <v>35</v>
      </c>
      <c r="P587" s="48" t="s">
        <v>80</v>
      </c>
      <c r="Q587" s="11" t="s">
        <v>81</v>
      </c>
      <c r="R587" s="11" t="s">
        <v>232</v>
      </c>
      <c r="S587" s="11" t="s">
        <v>1797</v>
      </c>
      <c r="T587" s="90" t="s">
        <v>1</v>
      </c>
      <c r="U587" s="89"/>
      <c r="V587" s="51">
        <v>46020</v>
      </c>
      <c r="W587" s="11" t="s">
        <v>1606</v>
      </c>
    </row>
    <row r="588" spans="1:23" ht="13" customHeight="1" x14ac:dyDescent="0.35">
      <c r="A588" s="11">
        <v>583</v>
      </c>
      <c r="B588" s="47">
        <v>203813134</v>
      </c>
      <c r="C588" s="94" t="s">
        <v>612</v>
      </c>
      <c r="D588" s="11" t="s">
        <v>613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39</v>
      </c>
      <c r="K588" s="49" t="s">
        <v>76</v>
      </c>
      <c r="L588" s="49" t="s">
        <v>78</v>
      </c>
      <c r="M588" s="49" t="s">
        <v>92</v>
      </c>
      <c r="N588" s="48" t="s">
        <v>86</v>
      </c>
      <c r="O588" s="49" t="s">
        <v>35</v>
      </c>
      <c r="P588" s="11" t="s">
        <v>80</v>
      </c>
      <c r="Q588" s="11" t="s">
        <v>99</v>
      </c>
      <c r="R588" s="11" t="s">
        <v>232</v>
      </c>
      <c r="S588" s="11" t="s">
        <v>1797</v>
      </c>
      <c r="T588" s="90" t="s">
        <v>1</v>
      </c>
      <c r="U588" s="89"/>
      <c r="V588" s="51">
        <v>45517</v>
      </c>
      <c r="W588" s="49" t="s">
        <v>1606</v>
      </c>
    </row>
    <row r="589" spans="1:23" ht="13" customHeight="1" x14ac:dyDescent="0.35">
      <c r="A589" s="11">
        <v>584</v>
      </c>
      <c r="B589" s="47">
        <v>112911448</v>
      </c>
      <c r="C589" s="94" t="s">
        <v>1748</v>
      </c>
      <c r="D589" s="47" t="s">
        <v>1749</v>
      </c>
      <c r="E589" s="47" t="s">
        <v>34</v>
      </c>
      <c r="F589" s="47" t="s">
        <v>74</v>
      </c>
      <c r="G589" s="47" t="s">
        <v>64</v>
      </c>
      <c r="H589" s="47" t="s">
        <v>75</v>
      </c>
      <c r="I589" s="47">
        <v>1299</v>
      </c>
      <c r="J589" s="49" t="s">
        <v>32</v>
      </c>
      <c r="K589" s="49" t="s">
        <v>76</v>
      </c>
      <c r="L589" s="49" t="s">
        <v>78</v>
      </c>
      <c r="M589" s="49" t="s">
        <v>92</v>
      </c>
      <c r="N589" s="48" t="s">
        <v>97</v>
      </c>
      <c r="O589" s="47" t="s">
        <v>35</v>
      </c>
      <c r="P589" s="47" t="s">
        <v>80</v>
      </c>
      <c r="Q589" s="47" t="s">
        <v>98</v>
      </c>
      <c r="R589" s="11" t="s">
        <v>225</v>
      </c>
      <c r="S589" s="47" t="s">
        <v>2821</v>
      </c>
      <c r="T589" s="90" t="s">
        <v>1</v>
      </c>
      <c r="U589" s="91"/>
      <c r="V589" s="51">
        <v>46013</v>
      </c>
      <c r="W589" s="49" t="s">
        <v>1608</v>
      </c>
    </row>
    <row r="590" spans="1:23" ht="13" customHeight="1" x14ac:dyDescent="0.35">
      <c r="A590" s="11">
        <v>585</v>
      </c>
      <c r="B590" s="47">
        <v>104147044</v>
      </c>
      <c r="C590" s="94" t="s">
        <v>614</v>
      </c>
      <c r="D590" s="11" t="s">
        <v>615</v>
      </c>
      <c r="E590" s="48" t="s">
        <v>34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95</v>
      </c>
      <c r="M590" s="49" t="s">
        <v>77</v>
      </c>
      <c r="N590" s="48" t="s">
        <v>108</v>
      </c>
      <c r="O590" s="49" t="s">
        <v>35</v>
      </c>
      <c r="P590" s="11" t="s">
        <v>80</v>
      </c>
      <c r="Q590" s="11" t="s">
        <v>98</v>
      </c>
      <c r="R590" s="11" t="s">
        <v>232</v>
      </c>
      <c r="S590" s="11" t="s">
        <v>1797</v>
      </c>
      <c r="T590" s="90" t="s">
        <v>10</v>
      </c>
      <c r="U590" s="89"/>
      <c r="V590" s="51">
        <v>44861</v>
      </c>
      <c r="W590" s="49" t="s">
        <v>1606</v>
      </c>
    </row>
    <row r="591" spans="1:23" ht="13" customHeight="1" x14ac:dyDescent="0.35">
      <c r="A591" s="11">
        <v>586</v>
      </c>
      <c r="B591" s="47">
        <v>203687852</v>
      </c>
      <c r="C591" s="94" t="s">
        <v>616</v>
      </c>
      <c r="D591" s="11" t="s">
        <v>617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39</v>
      </c>
      <c r="K591" s="49" t="s">
        <v>76</v>
      </c>
      <c r="L591" s="49" t="s">
        <v>84</v>
      </c>
      <c r="M591" s="49" t="s">
        <v>85</v>
      </c>
      <c r="N591" s="48" t="s">
        <v>86</v>
      </c>
      <c r="O591" s="49" t="s">
        <v>35</v>
      </c>
      <c r="P591" s="11" t="s">
        <v>80</v>
      </c>
      <c r="Q591" s="11" t="s">
        <v>99</v>
      </c>
      <c r="R591" s="11" t="s">
        <v>232</v>
      </c>
      <c r="S591" s="11" t="s">
        <v>1797</v>
      </c>
      <c r="T591" s="90" t="s">
        <v>1</v>
      </c>
      <c r="U591" s="89"/>
      <c r="V591" s="51">
        <v>45495</v>
      </c>
      <c r="W591" s="49" t="s">
        <v>1606</v>
      </c>
    </row>
    <row r="592" spans="1:23" ht="13" customHeight="1" x14ac:dyDescent="0.35">
      <c r="A592" s="11">
        <v>587</v>
      </c>
      <c r="B592" s="47">
        <v>206934652</v>
      </c>
      <c r="C592" s="94" t="s">
        <v>2099</v>
      </c>
      <c r="D592" s="11" t="s">
        <v>2075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32</v>
      </c>
      <c r="K592" s="49" t="s">
        <v>76</v>
      </c>
      <c r="L592" s="49" t="s">
        <v>78</v>
      </c>
      <c r="M592" s="49" t="s">
        <v>92</v>
      </c>
      <c r="N592" s="49" t="s">
        <v>89</v>
      </c>
      <c r="O592" s="49" t="s">
        <v>35</v>
      </c>
      <c r="P592" s="11" t="s">
        <v>80</v>
      </c>
      <c r="Q592" s="11" t="s">
        <v>96</v>
      </c>
      <c r="R592" s="11" t="s">
        <v>225</v>
      </c>
      <c r="S592" s="11" t="s">
        <v>2821</v>
      </c>
      <c r="T592" s="90" t="s">
        <v>7</v>
      </c>
      <c r="U592" s="90" t="s">
        <v>3004</v>
      </c>
      <c r="V592" s="51">
        <v>46041</v>
      </c>
      <c r="W592" s="49" t="s">
        <v>1606</v>
      </c>
    </row>
    <row r="593" spans="1:23" ht="13" customHeight="1" x14ac:dyDescent="0.35">
      <c r="A593" s="11">
        <v>588</v>
      </c>
      <c r="B593" s="47">
        <v>202435289</v>
      </c>
      <c r="C593" s="94" t="s">
        <v>618</v>
      </c>
      <c r="D593" s="11" t="s">
        <v>619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78</v>
      </c>
      <c r="M593" s="49" t="s">
        <v>92</v>
      </c>
      <c r="N593" s="48" t="s">
        <v>86</v>
      </c>
      <c r="O593" s="49" t="s">
        <v>35</v>
      </c>
      <c r="P593" s="11" t="s">
        <v>80</v>
      </c>
      <c r="Q593" s="11" t="s">
        <v>87</v>
      </c>
      <c r="R593" s="11" t="s">
        <v>232</v>
      </c>
      <c r="S593" s="11" t="s">
        <v>1797</v>
      </c>
      <c r="T593" s="90" t="s">
        <v>1</v>
      </c>
      <c r="U593" s="90"/>
      <c r="V593" s="51">
        <v>45581</v>
      </c>
      <c r="W593" s="49" t="s">
        <v>1606</v>
      </c>
    </row>
    <row r="594" spans="1:23" ht="13" customHeight="1" x14ac:dyDescent="0.35">
      <c r="A594" s="11">
        <v>589</v>
      </c>
      <c r="B594" s="47">
        <v>203813135</v>
      </c>
      <c r="C594" s="94" t="s">
        <v>620</v>
      </c>
      <c r="D594" s="11" t="s">
        <v>621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39</v>
      </c>
      <c r="K594" s="49" t="s">
        <v>76</v>
      </c>
      <c r="L594" s="49" t="s">
        <v>78</v>
      </c>
      <c r="M594" s="49" t="s">
        <v>92</v>
      </c>
      <c r="N594" s="48" t="s">
        <v>86</v>
      </c>
      <c r="O594" s="49" t="s">
        <v>35</v>
      </c>
      <c r="P594" s="11" t="s">
        <v>80</v>
      </c>
      <c r="Q594" s="11" t="s">
        <v>99</v>
      </c>
      <c r="R594" s="11" t="s">
        <v>232</v>
      </c>
      <c r="S594" s="11" t="s">
        <v>1797</v>
      </c>
      <c r="T594" s="90" t="s">
        <v>1</v>
      </c>
      <c r="U594" s="89"/>
      <c r="V594" s="51">
        <v>45517</v>
      </c>
      <c r="W594" s="49" t="s">
        <v>1606</v>
      </c>
    </row>
    <row r="595" spans="1:23" ht="13" customHeight="1" x14ac:dyDescent="0.35">
      <c r="A595" s="11">
        <v>590</v>
      </c>
      <c r="B595" s="47">
        <v>203965526</v>
      </c>
      <c r="C595" s="94" t="s">
        <v>622</v>
      </c>
      <c r="D595" s="11" t="s">
        <v>623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32</v>
      </c>
      <c r="K595" s="49" t="s">
        <v>76</v>
      </c>
      <c r="L595" s="49" t="s">
        <v>78</v>
      </c>
      <c r="M595" s="49" t="s">
        <v>92</v>
      </c>
      <c r="N595" s="48" t="s">
        <v>79</v>
      </c>
      <c r="O595" s="49" t="s">
        <v>35</v>
      </c>
      <c r="P595" s="11" t="s">
        <v>80</v>
      </c>
      <c r="Q595" s="11" t="s">
        <v>81</v>
      </c>
      <c r="R595" s="11" t="s">
        <v>232</v>
      </c>
      <c r="S595" s="11" t="s">
        <v>1797</v>
      </c>
      <c r="T595" s="90" t="s">
        <v>7</v>
      </c>
      <c r="U595" s="90" t="s">
        <v>3004</v>
      </c>
      <c r="V595" s="51">
        <v>45544</v>
      </c>
      <c r="W595" s="49" t="s">
        <v>1606</v>
      </c>
    </row>
    <row r="596" spans="1:23" ht="13" customHeight="1" x14ac:dyDescent="0.35">
      <c r="A596" s="11">
        <v>591</v>
      </c>
      <c r="B596" s="47">
        <v>206962049</v>
      </c>
      <c r="C596" s="94" t="s">
        <v>2191</v>
      </c>
      <c r="D596" s="11" t="s">
        <v>2100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78</v>
      </c>
      <c r="M596" s="49" t="s">
        <v>92</v>
      </c>
      <c r="N596" s="49" t="s">
        <v>89</v>
      </c>
      <c r="O596" s="49" t="s">
        <v>35</v>
      </c>
      <c r="P596" s="11" t="s">
        <v>80</v>
      </c>
      <c r="Q596" s="11" t="s">
        <v>96</v>
      </c>
      <c r="R596" s="11" t="s">
        <v>225</v>
      </c>
      <c r="S596" s="11" t="s">
        <v>2821</v>
      </c>
      <c r="T596" s="90" t="s">
        <v>1</v>
      </c>
      <c r="U596" s="90"/>
      <c r="V596" s="51">
        <v>46048</v>
      </c>
      <c r="W596" s="49" t="s">
        <v>1606</v>
      </c>
    </row>
    <row r="597" spans="1:23" ht="13" customHeight="1" x14ac:dyDescent="0.35">
      <c r="A597" s="11">
        <v>592</v>
      </c>
      <c r="B597" s="47">
        <v>203741319</v>
      </c>
      <c r="C597" s="94" t="s">
        <v>624</v>
      </c>
      <c r="D597" s="11" t="s">
        <v>625</v>
      </c>
      <c r="E597" s="48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39</v>
      </c>
      <c r="K597" s="49" t="s">
        <v>76</v>
      </c>
      <c r="L597" s="49" t="s">
        <v>85</v>
      </c>
      <c r="M597" s="49" t="s">
        <v>88</v>
      </c>
      <c r="N597" s="48" t="s">
        <v>79</v>
      </c>
      <c r="O597" s="49" t="s">
        <v>35</v>
      </c>
      <c r="P597" s="11" t="s">
        <v>80</v>
      </c>
      <c r="Q597" s="11" t="s">
        <v>81</v>
      </c>
      <c r="R597" s="11" t="s">
        <v>232</v>
      </c>
      <c r="S597" s="11" t="s">
        <v>1797</v>
      </c>
      <c r="T597" s="90" t="s">
        <v>1</v>
      </c>
      <c r="U597" s="89"/>
      <c r="V597" s="51">
        <v>45502</v>
      </c>
      <c r="W597" s="49" t="s">
        <v>1606</v>
      </c>
    </row>
    <row r="598" spans="1:23" ht="13" customHeight="1" x14ac:dyDescent="0.35">
      <c r="A598" s="11">
        <v>593</v>
      </c>
      <c r="B598" s="47">
        <v>206858475</v>
      </c>
      <c r="C598" s="94" t="s">
        <v>2782</v>
      </c>
      <c r="D598" s="47" t="s">
        <v>2783</v>
      </c>
      <c r="E598" s="47" t="s">
        <v>31</v>
      </c>
      <c r="F598" s="47" t="s">
        <v>74</v>
      </c>
      <c r="G598" s="47" t="s">
        <v>64</v>
      </c>
      <c r="H598" s="47" t="s">
        <v>75</v>
      </c>
      <c r="I598" s="47">
        <v>1299</v>
      </c>
      <c r="J598" s="49" t="s">
        <v>32</v>
      </c>
      <c r="K598" s="49" t="s">
        <v>76</v>
      </c>
      <c r="L598" s="49" t="s">
        <v>78</v>
      </c>
      <c r="M598" s="49" t="s">
        <v>92</v>
      </c>
      <c r="N598" s="49" t="s">
        <v>89</v>
      </c>
      <c r="O598" s="47" t="s">
        <v>35</v>
      </c>
      <c r="P598" s="47" t="s">
        <v>80</v>
      </c>
      <c r="Q598" s="47" t="s">
        <v>90</v>
      </c>
      <c r="R598" s="11" t="s">
        <v>232</v>
      </c>
      <c r="S598" s="47" t="s">
        <v>1797</v>
      </c>
      <c r="T598" s="90" t="s">
        <v>1</v>
      </c>
      <c r="U598" s="89"/>
      <c r="V598" s="51">
        <v>46013</v>
      </c>
      <c r="W598" s="47" t="s">
        <v>1606</v>
      </c>
    </row>
    <row r="599" spans="1:23" ht="13" customHeight="1" x14ac:dyDescent="0.35">
      <c r="A599" s="11">
        <v>594</v>
      </c>
      <c r="B599" s="47">
        <v>203737198</v>
      </c>
      <c r="C599" s="94" t="s">
        <v>626</v>
      </c>
      <c r="D599" s="11" t="s">
        <v>627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39</v>
      </c>
      <c r="K599" s="49" t="s">
        <v>76</v>
      </c>
      <c r="L599" s="49" t="s">
        <v>78</v>
      </c>
      <c r="M599" s="49" t="s">
        <v>92</v>
      </c>
      <c r="N599" s="48" t="s">
        <v>86</v>
      </c>
      <c r="O599" s="49" t="s">
        <v>35</v>
      </c>
      <c r="P599" s="11" t="s">
        <v>80</v>
      </c>
      <c r="Q599" s="11" t="s">
        <v>90</v>
      </c>
      <c r="R599" s="11" t="s">
        <v>232</v>
      </c>
      <c r="S599" s="11" t="s">
        <v>1797</v>
      </c>
      <c r="T599" s="90" t="s">
        <v>1</v>
      </c>
      <c r="U599" s="91"/>
      <c r="V599" s="51">
        <v>45502</v>
      </c>
      <c r="W599" s="49" t="s">
        <v>1606</v>
      </c>
    </row>
    <row r="600" spans="1:23" ht="13" customHeight="1" x14ac:dyDescent="0.35">
      <c r="A600" s="11">
        <v>595</v>
      </c>
      <c r="B600" s="47">
        <v>203800379</v>
      </c>
      <c r="C600" s="94" t="s">
        <v>2784</v>
      </c>
      <c r="D600" s="11" t="s">
        <v>2785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32</v>
      </c>
      <c r="K600" s="49" t="s">
        <v>76</v>
      </c>
      <c r="L600" s="49" t="s">
        <v>95</v>
      </c>
      <c r="M600" s="49" t="s">
        <v>77</v>
      </c>
      <c r="N600" s="48" t="s">
        <v>86</v>
      </c>
      <c r="O600" s="49" t="s">
        <v>35</v>
      </c>
      <c r="P600" s="11" t="s">
        <v>80</v>
      </c>
      <c r="Q600" s="11" t="s">
        <v>90</v>
      </c>
      <c r="R600" s="11" t="s">
        <v>232</v>
      </c>
      <c r="S600" s="11" t="s">
        <v>1797</v>
      </c>
      <c r="T600" s="90" t="s">
        <v>10</v>
      </c>
      <c r="U600" s="89"/>
      <c r="V600" s="51">
        <v>45516</v>
      </c>
      <c r="W600" s="49" t="s">
        <v>1606</v>
      </c>
    </row>
    <row r="601" spans="1:23" ht="13" customHeight="1" x14ac:dyDescent="0.35">
      <c r="A601" s="11">
        <v>596</v>
      </c>
      <c r="B601" s="47">
        <v>203521128</v>
      </c>
      <c r="C601" s="94" t="s">
        <v>2557</v>
      </c>
      <c r="D601" s="11" t="s">
        <v>2558</v>
      </c>
      <c r="E601" s="48" t="s">
        <v>34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32</v>
      </c>
      <c r="K601" s="49" t="s">
        <v>76</v>
      </c>
      <c r="L601" s="49" t="s">
        <v>85</v>
      </c>
      <c r="M601" s="49" t="s">
        <v>88</v>
      </c>
      <c r="N601" s="48" t="s">
        <v>97</v>
      </c>
      <c r="O601" s="49" t="s">
        <v>35</v>
      </c>
      <c r="P601" s="11" t="s">
        <v>80</v>
      </c>
      <c r="Q601" s="11" t="s">
        <v>98</v>
      </c>
      <c r="R601" s="11" t="s">
        <v>232</v>
      </c>
      <c r="S601" s="11" t="s">
        <v>1797</v>
      </c>
      <c r="T601" s="90" t="s">
        <v>1</v>
      </c>
      <c r="U601" s="91"/>
      <c r="V601" s="51">
        <v>45463</v>
      </c>
      <c r="W601" s="49" t="s">
        <v>1603</v>
      </c>
    </row>
    <row r="602" spans="1:23" ht="13" customHeight="1" x14ac:dyDescent="0.35">
      <c r="A602" s="11">
        <v>597</v>
      </c>
      <c r="B602" s="47">
        <v>206137330</v>
      </c>
      <c r="C602" s="94" t="s">
        <v>630</v>
      </c>
      <c r="D602" s="11" t="s">
        <v>631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39</v>
      </c>
      <c r="K602" s="49" t="s">
        <v>76</v>
      </c>
      <c r="L602" s="49" t="s">
        <v>88</v>
      </c>
      <c r="M602" s="49" t="s">
        <v>95</v>
      </c>
      <c r="N602" s="49" t="s">
        <v>89</v>
      </c>
      <c r="O602" s="49" t="s">
        <v>37</v>
      </c>
      <c r="P602" s="11" t="s">
        <v>80</v>
      </c>
      <c r="Q602" s="11" t="s">
        <v>81</v>
      </c>
      <c r="R602" s="11" t="s">
        <v>632</v>
      </c>
      <c r="S602" s="11" t="s">
        <v>633</v>
      </c>
      <c r="T602" s="90" t="s">
        <v>1</v>
      </c>
      <c r="U602" s="90"/>
      <c r="V602" s="51">
        <v>45929</v>
      </c>
      <c r="W602" s="49" t="s">
        <v>1610</v>
      </c>
    </row>
    <row r="603" spans="1:23" ht="13" customHeight="1" x14ac:dyDescent="0.35">
      <c r="A603" s="11">
        <v>598</v>
      </c>
      <c r="B603" s="47">
        <v>205256720</v>
      </c>
      <c r="C603" s="94" t="s">
        <v>2223</v>
      </c>
      <c r="D603" s="11" t="s">
        <v>2224</v>
      </c>
      <c r="E603" s="113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2576</v>
      </c>
      <c r="K603" s="49" t="s">
        <v>76</v>
      </c>
      <c r="L603" s="49" t="s">
        <v>78</v>
      </c>
      <c r="M603" s="49" t="s">
        <v>92</v>
      </c>
      <c r="N603" s="49" t="s">
        <v>79</v>
      </c>
      <c r="O603" s="49" t="s">
        <v>37</v>
      </c>
      <c r="P603" s="49" t="s">
        <v>80</v>
      </c>
      <c r="Q603" s="49" t="s">
        <v>96</v>
      </c>
      <c r="R603" s="49" t="s">
        <v>648</v>
      </c>
      <c r="S603" s="49" t="s">
        <v>1842</v>
      </c>
      <c r="T603" s="90" t="s">
        <v>1</v>
      </c>
      <c r="U603" s="89"/>
      <c r="V603" s="51">
        <v>46048</v>
      </c>
      <c r="W603" s="49" t="s">
        <v>1610</v>
      </c>
    </row>
    <row r="604" spans="1:23" ht="13" customHeight="1" x14ac:dyDescent="0.35">
      <c r="A604" s="11">
        <v>599</v>
      </c>
      <c r="B604" s="47">
        <v>200061207</v>
      </c>
      <c r="C604" s="94" t="s">
        <v>634</v>
      </c>
      <c r="D604" s="11" t="s">
        <v>635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78</v>
      </c>
      <c r="M604" s="49" t="s">
        <v>92</v>
      </c>
      <c r="N604" s="48" t="s">
        <v>79</v>
      </c>
      <c r="O604" s="49" t="s">
        <v>37</v>
      </c>
      <c r="P604" s="11" t="s">
        <v>80</v>
      </c>
      <c r="Q604" s="11" t="s">
        <v>81</v>
      </c>
      <c r="R604" s="11" t="s">
        <v>632</v>
      </c>
      <c r="S604" s="11" t="s">
        <v>633</v>
      </c>
      <c r="T604" s="90" t="s">
        <v>1</v>
      </c>
      <c r="U604" s="89"/>
      <c r="V604" s="51">
        <v>45537</v>
      </c>
      <c r="W604" s="49" t="s">
        <v>1611</v>
      </c>
    </row>
    <row r="605" spans="1:23" ht="13" customHeight="1" x14ac:dyDescent="0.35">
      <c r="A605" s="11">
        <v>600</v>
      </c>
      <c r="B605" s="47">
        <v>204117189</v>
      </c>
      <c r="C605" s="94" t="s">
        <v>636</v>
      </c>
      <c r="D605" s="11" t="s">
        <v>637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95</v>
      </c>
      <c r="M605" s="49" t="s">
        <v>77</v>
      </c>
      <c r="N605" s="48" t="s">
        <v>86</v>
      </c>
      <c r="O605" s="49" t="s">
        <v>37</v>
      </c>
      <c r="P605" s="11" t="s">
        <v>80</v>
      </c>
      <c r="Q605" s="11" t="s">
        <v>87</v>
      </c>
      <c r="R605" s="49" t="s">
        <v>628</v>
      </c>
      <c r="S605" s="11" t="s">
        <v>629</v>
      </c>
      <c r="T605" s="90" t="s">
        <v>10</v>
      </c>
      <c r="U605" s="90"/>
      <c r="V605" s="51">
        <v>45561</v>
      </c>
      <c r="W605" s="49" t="s">
        <v>1610</v>
      </c>
    </row>
    <row r="606" spans="1:23" ht="13" customHeight="1" x14ac:dyDescent="0.35">
      <c r="A606" s="11">
        <v>601</v>
      </c>
      <c r="B606" s="47">
        <v>204172240</v>
      </c>
      <c r="C606" s="94" t="s">
        <v>2445</v>
      </c>
      <c r="D606" s="11" t="s">
        <v>2446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85</v>
      </c>
      <c r="M606" s="49" t="s">
        <v>88</v>
      </c>
      <c r="N606" s="48" t="s">
        <v>86</v>
      </c>
      <c r="O606" s="49" t="s">
        <v>37</v>
      </c>
      <c r="P606" s="11" t="s">
        <v>80</v>
      </c>
      <c r="Q606" s="11" t="s">
        <v>90</v>
      </c>
      <c r="R606" s="11" t="s">
        <v>1087</v>
      </c>
      <c r="S606" s="11" t="s">
        <v>2823</v>
      </c>
      <c r="T606" s="90" t="s">
        <v>1</v>
      </c>
      <c r="U606" s="90"/>
      <c r="V606" s="51">
        <v>45568</v>
      </c>
      <c r="W606" s="49" t="s">
        <v>1611</v>
      </c>
    </row>
    <row r="607" spans="1:23" ht="13" customHeight="1" x14ac:dyDescent="0.35">
      <c r="A607" s="11">
        <v>602</v>
      </c>
      <c r="B607" s="47">
        <v>206129609</v>
      </c>
      <c r="C607" s="94" t="s">
        <v>638</v>
      </c>
      <c r="D607" s="11" t="s">
        <v>639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32</v>
      </c>
      <c r="K607" s="49" t="s">
        <v>76</v>
      </c>
      <c r="L607" s="49" t="s">
        <v>88</v>
      </c>
      <c r="M607" s="49" t="s">
        <v>95</v>
      </c>
      <c r="N607" s="48" t="s">
        <v>79</v>
      </c>
      <c r="O607" s="49" t="s">
        <v>37</v>
      </c>
      <c r="P607" s="11" t="s">
        <v>80</v>
      </c>
      <c r="Q607" s="11" t="s">
        <v>81</v>
      </c>
      <c r="R607" s="11" t="s">
        <v>2955</v>
      </c>
      <c r="S607" s="11" t="s">
        <v>2956</v>
      </c>
      <c r="T607" s="90" t="s">
        <v>1</v>
      </c>
      <c r="U607" s="89"/>
      <c r="V607" s="51">
        <v>45929</v>
      </c>
      <c r="W607" s="49" t="s">
        <v>1610</v>
      </c>
    </row>
    <row r="608" spans="1:23" ht="13" customHeight="1" x14ac:dyDescent="0.35">
      <c r="A608" s="11">
        <v>603</v>
      </c>
      <c r="B608" s="47">
        <v>203908320</v>
      </c>
      <c r="C608" s="94" t="s">
        <v>2468</v>
      </c>
      <c r="D608" s="11" t="s">
        <v>2469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92</v>
      </c>
      <c r="M608" s="49" t="s">
        <v>84</v>
      </c>
      <c r="N608" s="48" t="s">
        <v>86</v>
      </c>
      <c r="O608" s="49" t="s">
        <v>37</v>
      </c>
      <c r="P608" s="11" t="s">
        <v>80</v>
      </c>
      <c r="Q608" s="11" t="s">
        <v>90</v>
      </c>
      <c r="R608" s="49" t="s">
        <v>648</v>
      </c>
      <c r="S608" s="11" t="s">
        <v>1842</v>
      </c>
      <c r="T608" s="90" t="s">
        <v>1</v>
      </c>
      <c r="U608" s="91"/>
      <c r="V608" s="51">
        <v>45537</v>
      </c>
      <c r="W608" s="49" t="s">
        <v>1610</v>
      </c>
    </row>
    <row r="609" spans="1:23" ht="13" customHeight="1" x14ac:dyDescent="0.35">
      <c r="A609" s="11">
        <v>604</v>
      </c>
      <c r="B609" s="47">
        <v>206137331</v>
      </c>
      <c r="C609" s="94" t="s">
        <v>641</v>
      </c>
      <c r="D609" s="11" t="s">
        <v>642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95</v>
      </c>
      <c r="M609" s="49" t="s">
        <v>77</v>
      </c>
      <c r="N609" s="48" t="s">
        <v>79</v>
      </c>
      <c r="O609" s="49" t="s">
        <v>37</v>
      </c>
      <c r="P609" s="11" t="s">
        <v>80</v>
      </c>
      <c r="Q609" s="11" t="s">
        <v>81</v>
      </c>
      <c r="R609" s="11" t="s">
        <v>632</v>
      </c>
      <c r="S609" s="11" t="s">
        <v>633</v>
      </c>
      <c r="T609" s="90" t="s">
        <v>10</v>
      </c>
      <c r="U609" s="90"/>
      <c r="V609" s="51">
        <v>45929</v>
      </c>
      <c r="W609" s="49" t="s">
        <v>1610</v>
      </c>
    </row>
    <row r="610" spans="1:23" ht="13" customHeight="1" x14ac:dyDescent="0.35">
      <c r="A610" s="11">
        <v>605</v>
      </c>
      <c r="B610" s="47">
        <v>204373723</v>
      </c>
      <c r="C610" s="94" t="s">
        <v>644</v>
      </c>
      <c r="D610" s="11" t="s">
        <v>645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88</v>
      </c>
      <c r="M610" s="49" t="s">
        <v>95</v>
      </c>
      <c r="N610" s="48" t="s">
        <v>86</v>
      </c>
      <c r="O610" s="49" t="s">
        <v>37</v>
      </c>
      <c r="P610" s="11" t="s">
        <v>80</v>
      </c>
      <c r="Q610" s="11" t="s">
        <v>99</v>
      </c>
      <c r="R610" s="49" t="s">
        <v>648</v>
      </c>
      <c r="S610" s="11" t="s">
        <v>1842</v>
      </c>
      <c r="T610" s="90" t="s">
        <v>1</v>
      </c>
      <c r="U610" s="91"/>
      <c r="V610" s="51">
        <v>45593</v>
      </c>
      <c r="W610" s="49" t="s">
        <v>1610</v>
      </c>
    </row>
    <row r="611" spans="1:23" ht="13" customHeight="1" x14ac:dyDescent="0.35">
      <c r="A611" s="11">
        <v>606</v>
      </c>
      <c r="B611" s="47">
        <v>206239522</v>
      </c>
      <c r="C611" s="94" t="s">
        <v>2470</v>
      </c>
      <c r="D611" s="11" t="s">
        <v>2471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39</v>
      </c>
      <c r="K611" s="49" t="s">
        <v>76</v>
      </c>
      <c r="L611" s="49" t="s">
        <v>85</v>
      </c>
      <c r="M611" s="49" t="s">
        <v>88</v>
      </c>
      <c r="N611" s="49" t="s">
        <v>89</v>
      </c>
      <c r="O611" s="49" t="s">
        <v>37</v>
      </c>
      <c r="P611" s="11" t="s">
        <v>80</v>
      </c>
      <c r="Q611" s="11" t="s">
        <v>90</v>
      </c>
      <c r="R611" s="11" t="s">
        <v>632</v>
      </c>
      <c r="S611" s="11" t="s">
        <v>633</v>
      </c>
      <c r="T611" s="90" t="s">
        <v>1</v>
      </c>
      <c r="U611" s="90"/>
      <c r="V611" s="51">
        <v>45943</v>
      </c>
      <c r="W611" s="49" t="s">
        <v>1611</v>
      </c>
    </row>
    <row r="612" spans="1:23" ht="13" customHeight="1" x14ac:dyDescent="0.35">
      <c r="A612" s="11">
        <v>607</v>
      </c>
      <c r="B612" s="47">
        <v>203965455</v>
      </c>
      <c r="C612" s="94" t="s">
        <v>646</v>
      </c>
      <c r="D612" s="11" t="s">
        <v>647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88</v>
      </c>
      <c r="M612" s="49" t="s">
        <v>95</v>
      </c>
      <c r="N612" s="48" t="s">
        <v>79</v>
      </c>
      <c r="O612" s="49" t="s">
        <v>37</v>
      </c>
      <c r="P612" s="11" t="s">
        <v>80</v>
      </c>
      <c r="Q612" s="11" t="s">
        <v>81</v>
      </c>
      <c r="R612" s="11" t="s">
        <v>1087</v>
      </c>
      <c r="S612" s="11" t="s">
        <v>2823</v>
      </c>
      <c r="T612" s="90" t="s">
        <v>1</v>
      </c>
      <c r="U612" s="89" t="s">
        <v>3003</v>
      </c>
      <c r="V612" s="51">
        <v>45544</v>
      </c>
      <c r="W612" s="49" t="s">
        <v>1611</v>
      </c>
    </row>
    <row r="613" spans="1:23" ht="13" customHeight="1" x14ac:dyDescent="0.35">
      <c r="A613" s="11">
        <v>608</v>
      </c>
      <c r="B613" s="47">
        <v>203468743</v>
      </c>
      <c r="C613" s="94" t="s">
        <v>649</v>
      </c>
      <c r="D613" s="11" t="s">
        <v>650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39</v>
      </c>
      <c r="K613" s="49" t="s">
        <v>76</v>
      </c>
      <c r="L613" s="49" t="s">
        <v>84</v>
      </c>
      <c r="M613" s="49" t="s">
        <v>85</v>
      </c>
      <c r="N613" s="48" t="s">
        <v>79</v>
      </c>
      <c r="O613" s="49" t="s">
        <v>37</v>
      </c>
      <c r="P613" s="11" t="s">
        <v>80</v>
      </c>
      <c r="Q613" s="11" t="s">
        <v>81</v>
      </c>
      <c r="R613" s="49" t="s">
        <v>628</v>
      </c>
      <c r="S613" s="11" t="s">
        <v>629</v>
      </c>
      <c r="T613" s="90" t="s">
        <v>1</v>
      </c>
      <c r="U613" s="90"/>
      <c r="V613" s="51">
        <v>45456</v>
      </c>
      <c r="W613" s="49" t="s">
        <v>1612</v>
      </c>
    </row>
    <row r="614" spans="1:23" ht="13" customHeight="1" x14ac:dyDescent="0.35">
      <c r="A614" s="11">
        <v>609</v>
      </c>
      <c r="B614" s="47">
        <v>203908861</v>
      </c>
      <c r="C614" s="94" t="s">
        <v>2472</v>
      </c>
      <c r="D614" s="11" t="s">
        <v>2473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32</v>
      </c>
      <c r="K614" s="49" t="s">
        <v>76</v>
      </c>
      <c r="L614" s="49" t="s">
        <v>88</v>
      </c>
      <c r="M614" s="49" t="s">
        <v>95</v>
      </c>
      <c r="N614" s="48" t="s">
        <v>86</v>
      </c>
      <c r="O614" s="49" t="s">
        <v>37</v>
      </c>
      <c r="P614" s="11" t="s">
        <v>80</v>
      </c>
      <c r="Q614" s="11" t="s">
        <v>90</v>
      </c>
      <c r="R614" s="11" t="s">
        <v>2955</v>
      </c>
      <c r="S614" s="11" t="s">
        <v>2956</v>
      </c>
      <c r="T614" s="90" t="s">
        <v>1</v>
      </c>
      <c r="U614" s="91"/>
      <c r="V614" s="51">
        <v>45537</v>
      </c>
      <c r="W614" s="49" t="s">
        <v>1611</v>
      </c>
    </row>
    <row r="615" spans="1:23" ht="13" customHeight="1" x14ac:dyDescent="0.35">
      <c r="A615" s="11">
        <v>610</v>
      </c>
      <c r="B615" s="97">
        <v>204946685</v>
      </c>
      <c r="C615" s="47" t="s">
        <v>2841</v>
      </c>
      <c r="D615" s="94" t="s">
        <v>2842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39</v>
      </c>
      <c r="K615" s="49" t="s">
        <v>76</v>
      </c>
      <c r="L615" s="49" t="s">
        <v>95</v>
      </c>
      <c r="M615" s="49" t="s">
        <v>77</v>
      </c>
      <c r="N615" s="49" t="s">
        <v>89</v>
      </c>
      <c r="O615" s="49" t="s">
        <v>37</v>
      </c>
      <c r="P615" s="11" t="s">
        <v>80</v>
      </c>
      <c r="Q615" s="11" t="s">
        <v>90</v>
      </c>
      <c r="R615" s="11" t="s">
        <v>628</v>
      </c>
      <c r="S615" s="11" t="s">
        <v>629</v>
      </c>
      <c r="T615" s="90" t="s">
        <v>10</v>
      </c>
      <c r="U615" s="91"/>
      <c r="V615" s="51">
        <v>45719</v>
      </c>
      <c r="W615" s="49" t="s">
        <v>1612</v>
      </c>
    </row>
    <row r="616" spans="1:23" ht="13" customHeight="1" x14ac:dyDescent="0.35">
      <c r="A616" s="11">
        <v>611</v>
      </c>
      <c r="B616" s="47">
        <v>201502749</v>
      </c>
      <c r="C616" s="94" t="s">
        <v>651</v>
      </c>
      <c r="D616" s="11" t="s">
        <v>652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32</v>
      </c>
      <c r="K616" s="49" t="s">
        <v>76</v>
      </c>
      <c r="L616" s="49" t="s">
        <v>77</v>
      </c>
      <c r="M616" s="49" t="s">
        <v>78</v>
      </c>
      <c r="N616" s="48" t="s">
        <v>86</v>
      </c>
      <c r="O616" s="49" t="s">
        <v>37</v>
      </c>
      <c r="P616" s="11" t="s">
        <v>80</v>
      </c>
      <c r="Q616" s="11" t="s">
        <v>87</v>
      </c>
      <c r="R616" s="49" t="s">
        <v>2825</v>
      </c>
      <c r="S616" s="11" t="s">
        <v>643</v>
      </c>
      <c r="T616" s="90" t="s">
        <v>10</v>
      </c>
      <c r="U616" s="90"/>
      <c r="V616" s="51">
        <v>45561</v>
      </c>
      <c r="W616" s="49" t="s">
        <v>1611</v>
      </c>
    </row>
    <row r="617" spans="1:23" ht="13" customHeight="1" x14ac:dyDescent="0.35">
      <c r="A617" s="11">
        <v>612</v>
      </c>
      <c r="B617" s="47">
        <v>206503618</v>
      </c>
      <c r="C617" s="94" t="s">
        <v>2286</v>
      </c>
      <c r="D617" s="11" t="s">
        <v>2287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88" t="s">
        <v>39</v>
      </c>
      <c r="K617" s="49" t="s">
        <v>76</v>
      </c>
      <c r="L617" s="49" t="s">
        <v>95</v>
      </c>
      <c r="M617" s="49" t="s">
        <v>77</v>
      </c>
      <c r="N617" s="49" t="s">
        <v>89</v>
      </c>
      <c r="O617" s="49" t="s">
        <v>37</v>
      </c>
      <c r="P617" s="11" t="s">
        <v>80</v>
      </c>
      <c r="Q617" s="11" t="s">
        <v>96</v>
      </c>
      <c r="R617" s="49" t="s">
        <v>648</v>
      </c>
      <c r="S617" s="11" t="s">
        <v>1842</v>
      </c>
      <c r="T617" s="90" t="s">
        <v>10</v>
      </c>
      <c r="U617" s="90"/>
      <c r="V617" s="51">
        <v>46048</v>
      </c>
      <c r="W617" s="49" t="s">
        <v>1610</v>
      </c>
    </row>
    <row r="618" spans="1:23" ht="13" customHeight="1" x14ac:dyDescent="0.35">
      <c r="A618" s="11">
        <v>613</v>
      </c>
      <c r="B618" s="11">
        <v>110804937</v>
      </c>
      <c r="C618" s="94" t="s">
        <v>1923</v>
      </c>
      <c r="D618" s="48" t="s">
        <v>1924</v>
      </c>
      <c r="E618" s="48" t="s">
        <v>34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39</v>
      </c>
      <c r="K618" s="49" t="s">
        <v>76</v>
      </c>
      <c r="L618" s="49" t="s">
        <v>85</v>
      </c>
      <c r="M618" s="49" t="s">
        <v>88</v>
      </c>
      <c r="N618" s="48" t="s">
        <v>97</v>
      </c>
      <c r="O618" s="49" t="s">
        <v>37</v>
      </c>
      <c r="P618" s="11" t="s">
        <v>80</v>
      </c>
      <c r="Q618" s="11" t="s">
        <v>98</v>
      </c>
      <c r="R618" s="11" t="s">
        <v>2954</v>
      </c>
      <c r="S618" s="11" t="s">
        <v>2822</v>
      </c>
      <c r="T618" s="90" t="s">
        <v>1</v>
      </c>
      <c r="U618" s="89"/>
      <c r="V618" s="51">
        <v>44800</v>
      </c>
      <c r="W618" s="49" t="s">
        <v>1614</v>
      </c>
    </row>
    <row r="619" spans="1:23" ht="13" customHeight="1" x14ac:dyDescent="0.35">
      <c r="A619" s="11">
        <v>614</v>
      </c>
      <c r="B619" s="97">
        <v>205236906</v>
      </c>
      <c r="C619" s="47" t="s">
        <v>2843</v>
      </c>
      <c r="D619" s="94" t="s">
        <v>2844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32</v>
      </c>
      <c r="K619" s="49" t="s">
        <v>76</v>
      </c>
      <c r="L619" s="49" t="s">
        <v>95</v>
      </c>
      <c r="M619" s="49" t="s">
        <v>77</v>
      </c>
      <c r="N619" s="48" t="s">
        <v>86</v>
      </c>
      <c r="O619" s="49" t="s">
        <v>37</v>
      </c>
      <c r="P619" s="11" t="s">
        <v>80</v>
      </c>
      <c r="Q619" s="11" t="s">
        <v>90</v>
      </c>
      <c r="R619" s="11" t="s">
        <v>648</v>
      </c>
      <c r="S619" s="11" t="s">
        <v>2845</v>
      </c>
      <c r="T619" s="90" t="s">
        <v>10</v>
      </c>
      <c r="U619" s="89"/>
      <c r="V619" s="51">
        <v>45789</v>
      </c>
      <c r="W619" s="49" t="s">
        <v>1610</v>
      </c>
    </row>
    <row r="620" spans="1:23" ht="13" customHeight="1" x14ac:dyDescent="0.35">
      <c r="A620" s="11">
        <v>615</v>
      </c>
      <c r="B620" s="47">
        <v>204299070</v>
      </c>
      <c r="C620" s="94" t="s">
        <v>653</v>
      </c>
      <c r="D620" s="11" t="s">
        <v>654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84</v>
      </c>
      <c r="M620" s="49" t="s">
        <v>85</v>
      </c>
      <c r="N620" s="48" t="s">
        <v>86</v>
      </c>
      <c r="O620" s="49" t="s">
        <v>37</v>
      </c>
      <c r="P620" s="11" t="s">
        <v>80</v>
      </c>
      <c r="Q620" s="11" t="s">
        <v>87</v>
      </c>
      <c r="R620" s="11" t="s">
        <v>632</v>
      </c>
      <c r="S620" s="11" t="s">
        <v>633</v>
      </c>
      <c r="T620" s="90" t="s">
        <v>1</v>
      </c>
      <c r="U620" s="91"/>
      <c r="V620" s="51">
        <v>45586</v>
      </c>
      <c r="W620" s="49" t="s">
        <v>1611</v>
      </c>
    </row>
    <row r="621" spans="1:23" ht="13" customHeight="1" x14ac:dyDescent="0.35">
      <c r="A621" s="11">
        <v>616</v>
      </c>
      <c r="B621" s="47">
        <v>203522193</v>
      </c>
      <c r="C621" s="94" t="s">
        <v>655</v>
      </c>
      <c r="D621" s="11" t="s">
        <v>656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85</v>
      </c>
      <c r="M621" s="49" t="s">
        <v>88</v>
      </c>
      <c r="N621" s="48" t="s">
        <v>86</v>
      </c>
      <c r="O621" s="49" t="s">
        <v>37</v>
      </c>
      <c r="P621" s="11" t="s">
        <v>80</v>
      </c>
      <c r="Q621" s="11" t="s">
        <v>99</v>
      </c>
      <c r="R621" s="49" t="s">
        <v>628</v>
      </c>
      <c r="S621" s="11" t="s">
        <v>629</v>
      </c>
      <c r="T621" s="90" t="s">
        <v>1</v>
      </c>
      <c r="U621" s="90"/>
      <c r="V621" s="51">
        <v>45463</v>
      </c>
      <c r="W621" s="49" t="s">
        <v>1612</v>
      </c>
    </row>
    <row r="622" spans="1:23" ht="13" customHeight="1" x14ac:dyDescent="0.35">
      <c r="A622" s="11">
        <v>617</v>
      </c>
      <c r="B622" s="47">
        <v>203851103</v>
      </c>
      <c r="C622" s="94" t="s">
        <v>657</v>
      </c>
      <c r="D622" s="11" t="s">
        <v>658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32</v>
      </c>
      <c r="K622" s="49" t="s">
        <v>76</v>
      </c>
      <c r="L622" s="49" t="s">
        <v>84</v>
      </c>
      <c r="M622" s="49" t="s">
        <v>85</v>
      </c>
      <c r="N622" s="48" t="s">
        <v>79</v>
      </c>
      <c r="O622" s="49" t="s">
        <v>37</v>
      </c>
      <c r="P622" s="11" t="s">
        <v>80</v>
      </c>
      <c r="Q622" s="11" t="s">
        <v>81</v>
      </c>
      <c r="R622" s="49" t="s">
        <v>648</v>
      </c>
      <c r="S622" s="11" t="s">
        <v>1842</v>
      </c>
      <c r="T622" s="90" t="s">
        <v>7</v>
      </c>
      <c r="U622" s="90" t="s">
        <v>3004</v>
      </c>
      <c r="V622" s="51">
        <v>45524</v>
      </c>
      <c r="W622" s="49" t="s">
        <v>1612</v>
      </c>
    </row>
    <row r="623" spans="1:23" ht="13" customHeight="1" x14ac:dyDescent="0.35">
      <c r="A623" s="11">
        <v>618</v>
      </c>
      <c r="B623" s="47">
        <v>206850851</v>
      </c>
      <c r="C623" s="94" t="s">
        <v>2474</v>
      </c>
      <c r="D623" s="47" t="s">
        <v>2475</v>
      </c>
      <c r="E623" s="47" t="s">
        <v>31</v>
      </c>
      <c r="F623" s="48" t="s">
        <v>74</v>
      </c>
      <c r="G623" s="11" t="s">
        <v>64</v>
      </c>
      <c r="H623" s="11" t="s">
        <v>75</v>
      </c>
      <c r="I623" s="47">
        <v>1299</v>
      </c>
      <c r="J623" s="49" t="s">
        <v>32</v>
      </c>
      <c r="K623" s="49" t="s">
        <v>76</v>
      </c>
      <c r="L623" s="49" t="s">
        <v>84</v>
      </c>
      <c r="M623" s="49" t="s">
        <v>85</v>
      </c>
      <c r="N623" s="49" t="s">
        <v>89</v>
      </c>
      <c r="O623" s="49" t="s">
        <v>37</v>
      </c>
      <c r="P623" s="11" t="s">
        <v>80</v>
      </c>
      <c r="Q623" s="47" t="s">
        <v>90</v>
      </c>
      <c r="R623" s="49" t="s">
        <v>648</v>
      </c>
      <c r="S623" s="47" t="s">
        <v>1842</v>
      </c>
      <c r="T623" s="90" t="s">
        <v>1</v>
      </c>
      <c r="U623" s="90"/>
      <c r="V623" s="51">
        <v>46013</v>
      </c>
      <c r="W623" s="49" t="s">
        <v>1610</v>
      </c>
    </row>
    <row r="624" spans="1:23" ht="13" customHeight="1" x14ac:dyDescent="0.35">
      <c r="A624" s="11">
        <v>619</v>
      </c>
      <c r="B624" s="47">
        <v>203965006</v>
      </c>
      <c r="C624" s="94" t="s">
        <v>659</v>
      </c>
      <c r="D624" s="11" t="s">
        <v>660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92</v>
      </c>
      <c r="M624" s="49" t="s">
        <v>84</v>
      </c>
      <c r="N624" s="48" t="s">
        <v>86</v>
      </c>
      <c r="O624" s="49" t="s">
        <v>37</v>
      </c>
      <c r="P624" s="11" t="s">
        <v>80</v>
      </c>
      <c r="Q624" s="11" t="s">
        <v>99</v>
      </c>
      <c r="R624" s="49" t="s">
        <v>628</v>
      </c>
      <c r="S624" s="11" t="s">
        <v>629</v>
      </c>
      <c r="T624" s="90" t="s">
        <v>4</v>
      </c>
      <c r="U624" s="91"/>
      <c r="V624" s="51">
        <v>45544</v>
      </c>
      <c r="W624" s="49" t="s">
        <v>1610</v>
      </c>
    </row>
    <row r="625" spans="1:23" ht="13" customHeight="1" x14ac:dyDescent="0.35">
      <c r="A625" s="11">
        <v>620</v>
      </c>
      <c r="B625" s="97">
        <v>204864796</v>
      </c>
      <c r="C625" s="47" t="s">
        <v>2846</v>
      </c>
      <c r="D625" s="94" t="s">
        <v>2847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32</v>
      </c>
      <c r="K625" s="49" t="s">
        <v>76</v>
      </c>
      <c r="L625" s="49" t="s">
        <v>88</v>
      </c>
      <c r="M625" s="49" t="s">
        <v>95</v>
      </c>
      <c r="N625" s="48" t="s">
        <v>2848</v>
      </c>
      <c r="O625" s="49" t="s">
        <v>37</v>
      </c>
      <c r="P625" s="11" t="s">
        <v>80</v>
      </c>
      <c r="Q625" s="11" t="s">
        <v>90</v>
      </c>
      <c r="R625" s="11" t="s">
        <v>2955</v>
      </c>
      <c r="S625" s="11" t="s">
        <v>2956</v>
      </c>
      <c r="T625" s="90" t="s">
        <v>1</v>
      </c>
      <c r="U625" s="90"/>
      <c r="V625" s="51">
        <v>45789</v>
      </c>
      <c r="W625" s="49" t="s">
        <v>1610</v>
      </c>
    </row>
    <row r="626" spans="1:23" ht="13" customHeight="1" x14ac:dyDescent="0.35">
      <c r="A626" s="11">
        <v>621</v>
      </c>
      <c r="B626" s="47">
        <v>203477173</v>
      </c>
      <c r="C626" s="94" t="s">
        <v>661</v>
      </c>
      <c r="D626" s="11" t="s">
        <v>662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92</v>
      </c>
      <c r="M626" s="49" t="s">
        <v>84</v>
      </c>
      <c r="N626" s="48" t="s">
        <v>86</v>
      </c>
      <c r="O626" s="49" t="s">
        <v>37</v>
      </c>
      <c r="P626" s="11" t="s">
        <v>80</v>
      </c>
      <c r="Q626" s="11" t="s">
        <v>99</v>
      </c>
      <c r="R626" s="49" t="s">
        <v>628</v>
      </c>
      <c r="S626" s="11" t="s">
        <v>629</v>
      </c>
      <c r="T626" s="90" t="s">
        <v>1</v>
      </c>
      <c r="U626" s="89"/>
      <c r="V626" s="51">
        <v>45456</v>
      </c>
      <c r="W626" s="49" t="s">
        <v>1612</v>
      </c>
    </row>
    <row r="627" spans="1:23" ht="13" customHeight="1" x14ac:dyDescent="0.35">
      <c r="A627" s="11">
        <v>622</v>
      </c>
      <c r="B627" s="47">
        <v>205281151</v>
      </c>
      <c r="C627" s="94" t="s">
        <v>2161</v>
      </c>
      <c r="D627" s="11" t="s">
        <v>2162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88" t="s">
        <v>39</v>
      </c>
      <c r="K627" s="49" t="s">
        <v>76</v>
      </c>
      <c r="L627" s="49" t="s">
        <v>78</v>
      </c>
      <c r="M627" s="49" t="s">
        <v>92</v>
      </c>
      <c r="N627" s="49" t="s">
        <v>89</v>
      </c>
      <c r="O627" s="49" t="s">
        <v>37</v>
      </c>
      <c r="P627" s="11" t="s">
        <v>80</v>
      </c>
      <c r="Q627" s="11" t="s">
        <v>96</v>
      </c>
      <c r="R627" s="11" t="s">
        <v>632</v>
      </c>
      <c r="S627" s="11" t="s">
        <v>633</v>
      </c>
      <c r="T627" s="90" t="s">
        <v>1</v>
      </c>
      <c r="U627" s="90"/>
      <c r="V627" s="51">
        <v>46048</v>
      </c>
      <c r="W627" s="49" t="s">
        <v>1610</v>
      </c>
    </row>
    <row r="628" spans="1:23" ht="13" customHeight="1" x14ac:dyDescent="0.35">
      <c r="A628" s="11">
        <v>623</v>
      </c>
      <c r="B628" s="47">
        <v>206915466</v>
      </c>
      <c r="C628" s="94" t="s">
        <v>1980</v>
      </c>
      <c r="D628" s="11" t="s">
        <v>1987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92</v>
      </c>
      <c r="M628" s="49" t="s">
        <v>84</v>
      </c>
      <c r="N628" s="49" t="s">
        <v>89</v>
      </c>
      <c r="O628" s="49" t="s">
        <v>37</v>
      </c>
      <c r="P628" s="49" t="s">
        <v>80</v>
      </c>
      <c r="Q628" s="49" t="s">
        <v>90</v>
      </c>
      <c r="R628" s="49" t="s">
        <v>648</v>
      </c>
      <c r="S628" s="49" t="s">
        <v>1842</v>
      </c>
      <c r="T628" s="90" t="s">
        <v>1</v>
      </c>
      <c r="U628" s="89"/>
      <c r="V628" s="51">
        <v>46034</v>
      </c>
      <c r="W628" s="49" t="s">
        <v>1609</v>
      </c>
    </row>
    <row r="629" spans="1:23" ht="13" customHeight="1" x14ac:dyDescent="0.35">
      <c r="A629" s="11">
        <v>624</v>
      </c>
      <c r="B629" s="47">
        <v>203850770</v>
      </c>
      <c r="C629" s="94" t="s">
        <v>663</v>
      </c>
      <c r="D629" s="11" t="s">
        <v>664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84</v>
      </c>
      <c r="M629" s="49" t="s">
        <v>85</v>
      </c>
      <c r="N629" s="48" t="s">
        <v>86</v>
      </c>
      <c r="O629" s="49" t="s">
        <v>37</v>
      </c>
      <c r="P629" s="11" t="s">
        <v>80</v>
      </c>
      <c r="Q629" s="11" t="s">
        <v>90</v>
      </c>
      <c r="R629" s="49" t="s">
        <v>648</v>
      </c>
      <c r="S629" s="11" t="s">
        <v>1842</v>
      </c>
      <c r="T629" s="90" t="s">
        <v>1</v>
      </c>
      <c r="U629" s="89"/>
      <c r="V629" s="51">
        <v>45524</v>
      </c>
      <c r="W629" s="49" t="s">
        <v>1610</v>
      </c>
    </row>
    <row r="630" spans="1:23" ht="13" customHeight="1" x14ac:dyDescent="0.35">
      <c r="A630" s="11">
        <v>625</v>
      </c>
      <c r="B630" s="47">
        <v>204116439</v>
      </c>
      <c r="C630" s="94" t="s">
        <v>665</v>
      </c>
      <c r="D630" s="11" t="s">
        <v>666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78</v>
      </c>
      <c r="M630" s="49" t="s">
        <v>92</v>
      </c>
      <c r="N630" s="48" t="s">
        <v>86</v>
      </c>
      <c r="O630" s="49" t="s">
        <v>37</v>
      </c>
      <c r="P630" s="11" t="s">
        <v>80</v>
      </c>
      <c r="Q630" s="11" t="s">
        <v>87</v>
      </c>
      <c r="R630" s="49" t="s">
        <v>648</v>
      </c>
      <c r="S630" s="11" t="s">
        <v>1842</v>
      </c>
      <c r="T630" s="90" t="s">
        <v>1</v>
      </c>
      <c r="U630" s="91"/>
      <c r="V630" s="51">
        <v>45561</v>
      </c>
      <c r="W630" s="49" t="s">
        <v>1609</v>
      </c>
    </row>
    <row r="631" spans="1:23" ht="13" customHeight="1" x14ac:dyDescent="0.35">
      <c r="A631" s="11">
        <v>626</v>
      </c>
      <c r="B631" s="47">
        <v>206897551</v>
      </c>
      <c r="C631" s="94" t="s">
        <v>1965</v>
      </c>
      <c r="D631" s="11" t="s">
        <v>1966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1290</v>
      </c>
      <c r="J631" s="49" t="s">
        <v>39</v>
      </c>
      <c r="K631" s="49" t="s">
        <v>76</v>
      </c>
      <c r="L631" s="49" t="s">
        <v>88</v>
      </c>
      <c r="M631" s="49" t="s">
        <v>95</v>
      </c>
      <c r="N631" s="49" t="s">
        <v>89</v>
      </c>
      <c r="O631" s="48" t="s">
        <v>37</v>
      </c>
      <c r="P631" s="48" t="s">
        <v>80</v>
      </c>
      <c r="Q631" s="11" t="s">
        <v>81</v>
      </c>
      <c r="R631" s="11" t="s">
        <v>1087</v>
      </c>
      <c r="S631" s="11" t="s">
        <v>2823</v>
      </c>
      <c r="T631" s="90" t="s">
        <v>1</v>
      </c>
      <c r="U631" s="90"/>
      <c r="V631" s="51">
        <v>46030</v>
      </c>
      <c r="W631" s="49" t="s">
        <v>1611</v>
      </c>
    </row>
    <row r="632" spans="1:23" ht="13" customHeight="1" x14ac:dyDescent="0.35">
      <c r="A632" s="11">
        <v>627</v>
      </c>
      <c r="B632" s="47">
        <v>112649477</v>
      </c>
      <c r="C632" s="94" t="s">
        <v>667</v>
      </c>
      <c r="D632" s="11" t="s">
        <v>668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39</v>
      </c>
      <c r="K632" s="49" t="s">
        <v>76</v>
      </c>
      <c r="L632" s="49" t="s">
        <v>78</v>
      </c>
      <c r="M632" s="49" t="s">
        <v>92</v>
      </c>
      <c r="N632" s="48" t="s">
        <v>86</v>
      </c>
      <c r="O632" s="49" t="s">
        <v>37</v>
      </c>
      <c r="P632" s="11" t="s">
        <v>80</v>
      </c>
      <c r="Q632" s="11" t="s">
        <v>87</v>
      </c>
      <c r="R632" s="11" t="s">
        <v>1087</v>
      </c>
      <c r="S632" s="11" t="s">
        <v>2823</v>
      </c>
      <c r="T632" s="90" t="s">
        <v>1</v>
      </c>
      <c r="U632" s="91"/>
      <c r="V632" s="51">
        <v>45568</v>
      </c>
      <c r="W632" s="49" t="s">
        <v>1611</v>
      </c>
    </row>
    <row r="633" spans="1:23" ht="13" customHeight="1" x14ac:dyDescent="0.35">
      <c r="A633" s="11">
        <v>628</v>
      </c>
      <c r="B633" s="47">
        <v>205846579</v>
      </c>
      <c r="C633" s="94" t="s">
        <v>669</v>
      </c>
      <c r="D633" s="11" t="s">
        <v>670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88</v>
      </c>
      <c r="M633" s="49" t="s">
        <v>95</v>
      </c>
      <c r="N633" s="49" t="s">
        <v>89</v>
      </c>
      <c r="O633" s="49" t="s">
        <v>37</v>
      </c>
      <c r="P633" s="11" t="s">
        <v>80</v>
      </c>
      <c r="Q633" s="11" t="s">
        <v>96</v>
      </c>
      <c r="R633" s="11" t="s">
        <v>632</v>
      </c>
      <c r="S633" s="11" t="s">
        <v>633</v>
      </c>
      <c r="T633" s="90" t="s">
        <v>7</v>
      </c>
      <c r="U633" s="90" t="s">
        <v>3004</v>
      </c>
      <c r="V633" s="51">
        <v>45894</v>
      </c>
      <c r="W633" s="49" t="s">
        <v>1610</v>
      </c>
    </row>
    <row r="634" spans="1:23" ht="13" customHeight="1" x14ac:dyDescent="0.35">
      <c r="A634" s="11">
        <v>629</v>
      </c>
      <c r="B634" s="47">
        <v>203555843</v>
      </c>
      <c r="C634" s="94" t="s">
        <v>671</v>
      </c>
      <c r="D634" s="11" t="s">
        <v>672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32</v>
      </c>
      <c r="K634" s="49" t="s">
        <v>76</v>
      </c>
      <c r="L634" s="49" t="s">
        <v>77</v>
      </c>
      <c r="M634" s="49" t="s">
        <v>78</v>
      </c>
      <c r="N634" s="48" t="s">
        <v>86</v>
      </c>
      <c r="O634" s="49" t="s">
        <v>37</v>
      </c>
      <c r="P634" s="11" t="s">
        <v>80</v>
      </c>
      <c r="Q634" s="11" t="s">
        <v>99</v>
      </c>
      <c r="R634" s="11" t="s">
        <v>1087</v>
      </c>
      <c r="S634" s="11" t="s">
        <v>2823</v>
      </c>
      <c r="T634" s="90" t="s">
        <v>10</v>
      </c>
      <c r="U634" s="90"/>
      <c r="V634" s="51">
        <v>45470</v>
      </c>
      <c r="W634" s="49" t="s">
        <v>1610</v>
      </c>
    </row>
    <row r="635" spans="1:23" ht="13" customHeight="1" x14ac:dyDescent="0.35">
      <c r="A635" s="11">
        <v>630</v>
      </c>
      <c r="B635" s="47">
        <v>203992092</v>
      </c>
      <c r="C635" s="94" t="s">
        <v>673</v>
      </c>
      <c r="D635" s="11" t="s">
        <v>674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39</v>
      </c>
      <c r="K635" s="49" t="s">
        <v>76</v>
      </c>
      <c r="L635" s="49" t="s">
        <v>95</v>
      </c>
      <c r="M635" s="49" t="s">
        <v>77</v>
      </c>
      <c r="N635" s="48" t="s">
        <v>79</v>
      </c>
      <c r="O635" s="49" t="s">
        <v>37</v>
      </c>
      <c r="P635" s="11" t="s">
        <v>80</v>
      </c>
      <c r="Q635" s="11" t="s">
        <v>81</v>
      </c>
      <c r="R635" s="49" t="s">
        <v>628</v>
      </c>
      <c r="S635" s="11" t="s">
        <v>629</v>
      </c>
      <c r="T635" s="90" t="s">
        <v>10</v>
      </c>
      <c r="U635" s="90"/>
      <c r="V635" s="51">
        <v>45547</v>
      </c>
      <c r="W635" s="49" t="s">
        <v>1610</v>
      </c>
    </row>
    <row r="636" spans="1:23" ht="13" customHeight="1" x14ac:dyDescent="0.35">
      <c r="A636" s="11">
        <v>631</v>
      </c>
      <c r="B636" s="47">
        <v>205839289</v>
      </c>
      <c r="C636" s="94" t="s">
        <v>675</v>
      </c>
      <c r="D636" s="11" t="s">
        <v>676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32</v>
      </c>
      <c r="K636" s="49" t="s">
        <v>76</v>
      </c>
      <c r="L636" s="49" t="s">
        <v>92</v>
      </c>
      <c r="M636" s="49" t="s">
        <v>84</v>
      </c>
      <c r="N636" s="49" t="s">
        <v>89</v>
      </c>
      <c r="O636" s="49" t="s">
        <v>37</v>
      </c>
      <c r="P636" s="11" t="s">
        <v>80</v>
      </c>
      <c r="Q636" s="11" t="s">
        <v>90</v>
      </c>
      <c r="R636" s="49" t="s">
        <v>628</v>
      </c>
      <c r="S636" s="11" t="s">
        <v>629</v>
      </c>
      <c r="T636" s="90" t="s">
        <v>1</v>
      </c>
      <c r="U636" s="89" t="s">
        <v>3003</v>
      </c>
      <c r="V636" s="51">
        <v>45894</v>
      </c>
      <c r="W636" s="49" t="s">
        <v>1609</v>
      </c>
    </row>
    <row r="637" spans="1:23" ht="13" customHeight="1" x14ac:dyDescent="0.35">
      <c r="A637" s="11">
        <v>632</v>
      </c>
      <c r="B637" s="97">
        <v>203850772</v>
      </c>
      <c r="C637" s="47" t="s">
        <v>2849</v>
      </c>
      <c r="D637" s="94" t="s">
        <v>2850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39</v>
      </c>
      <c r="K637" s="49" t="s">
        <v>76</v>
      </c>
      <c r="L637" s="49" t="s">
        <v>85</v>
      </c>
      <c r="M637" s="49" t="s">
        <v>88</v>
      </c>
      <c r="N637" s="49" t="s">
        <v>89</v>
      </c>
      <c r="O637" s="49" t="s">
        <v>37</v>
      </c>
      <c r="P637" s="11" t="s">
        <v>80</v>
      </c>
      <c r="Q637" s="11" t="s">
        <v>90</v>
      </c>
      <c r="R637" s="11" t="s">
        <v>2955</v>
      </c>
      <c r="S637" s="11" t="s">
        <v>2956</v>
      </c>
      <c r="T637" s="90" t="s">
        <v>1</v>
      </c>
      <c r="U637" s="89"/>
      <c r="V637" s="51">
        <v>45524</v>
      </c>
      <c r="W637" s="49" t="s">
        <v>1610</v>
      </c>
    </row>
    <row r="638" spans="1:23" ht="13" customHeight="1" x14ac:dyDescent="0.35">
      <c r="A638" s="11">
        <v>633</v>
      </c>
      <c r="B638" s="97">
        <v>205977116</v>
      </c>
      <c r="C638" s="47" t="s">
        <v>2851</v>
      </c>
      <c r="D638" s="94" t="s">
        <v>2852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32</v>
      </c>
      <c r="K638" s="49" t="s">
        <v>76</v>
      </c>
      <c r="L638" s="49" t="s">
        <v>92</v>
      </c>
      <c r="M638" s="49" t="s">
        <v>84</v>
      </c>
      <c r="N638" s="48" t="s">
        <v>86</v>
      </c>
      <c r="O638" s="49" t="s">
        <v>37</v>
      </c>
      <c r="P638" s="11" t="s">
        <v>80</v>
      </c>
      <c r="Q638" s="11" t="s">
        <v>90</v>
      </c>
      <c r="R638" s="11" t="s">
        <v>628</v>
      </c>
      <c r="S638" s="11" t="s">
        <v>629</v>
      </c>
      <c r="T638" s="90" t="s">
        <v>1</v>
      </c>
      <c r="U638" s="89"/>
      <c r="V638" s="51">
        <v>45915</v>
      </c>
      <c r="W638" s="49" t="s">
        <v>1610</v>
      </c>
    </row>
    <row r="639" spans="1:23" ht="13" customHeight="1" x14ac:dyDescent="0.35">
      <c r="A639" s="11">
        <v>634</v>
      </c>
      <c r="B639" s="47">
        <v>203850778</v>
      </c>
      <c r="C639" s="94" t="s">
        <v>677</v>
      </c>
      <c r="D639" s="11" t="s">
        <v>678</v>
      </c>
      <c r="E639" s="48" t="s">
        <v>31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32</v>
      </c>
      <c r="K639" s="49" t="s">
        <v>76</v>
      </c>
      <c r="L639" s="49" t="s">
        <v>85</v>
      </c>
      <c r="M639" s="49" t="s">
        <v>88</v>
      </c>
      <c r="N639" s="48" t="s">
        <v>86</v>
      </c>
      <c r="O639" s="49" t="s">
        <v>37</v>
      </c>
      <c r="P639" s="11" t="s">
        <v>80</v>
      </c>
      <c r="Q639" s="11" t="s">
        <v>90</v>
      </c>
      <c r="R639" s="49" t="s">
        <v>648</v>
      </c>
      <c r="S639" s="11" t="s">
        <v>1842</v>
      </c>
      <c r="T639" s="90" t="s">
        <v>1</v>
      </c>
      <c r="U639" s="89"/>
      <c r="V639" s="51">
        <v>45524</v>
      </c>
      <c r="W639" s="49" t="s">
        <v>1610</v>
      </c>
    </row>
    <row r="640" spans="1:23" ht="13" customHeight="1" x14ac:dyDescent="0.35">
      <c r="A640" s="11">
        <v>635</v>
      </c>
      <c r="B640" s="47">
        <v>206897550</v>
      </c>
      <c r="C640" s="94" t="s">
        <v>1953</v>
      </c>
      <c r="D640" s="11" t="s">
        <v>1954</v>
      </c>
      <c r="E640" s="48" t="s">
        <v>31</v>
      </c>
      <c r="F640" s="48" t="s">
        <v>74</v>
      </c>
      <c r="G640" s="11" t="s">
        <v>64</v>
      </c>
      <c r="H640" s="11" t="s">
        <v>75</v>
      </c>
      <c r="I640" s="11">
        <v>1290</v>
      </c>
      <c r="J640" s="49" t="s">
        <v>39</v>
      </c>
      <c r="K640" s="49" t="s">
        <v>76</v>
      </c>
      <c r="L640" s="49" t="s">
        <v>77</v>
      </c>
      <c r="M640" s="49" t="s">
        <v>78</v>
      </c>
      <c r="N640" s="49" t="s">
        <v>89</v>
      </c>
      <c r="O640" s="48" t="s">
        <v>37</v>
      </c>
      <c r="P640" s="48" t="s">
        <v>80</v>
      </c>
      <c r="Q640" s="11" t="s">
        <v>81</v>
      </c>
      <c r="R640" s="11" t="s">
        <v>1087</v>
      </c>
      <c r="S640" s="11" t="s">
        <v>2823</v>
      </c>
      <c r="T640" s="90" t="s">
        <v>10</v>
      </c>
      <c r="U640" s="89"/>
      <c r="V640" s="51">
        <v>46030</v>
      </c>
      <c r="W640" s="49" t="s">
        <v>1610</v>
      </c>
    </row>
    <row r="641" spans="1:23" ht="13" customHeight="1" x14ac:dyDescent="0.35">
      <c r="A641" s="11">
        <v>636</v>
      </c>
      <c r="B641" s="47">
        <v>102865830</v>
      </c>
      <c r="C641" s="94" t="s">
        <v>679</v>
      </c>
      <c r="D641" s="11" t="s">
        <v>680</v>
      </c>
      <c r="E641" s="48" t="s">
        <v>34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39</v>
      </c>
      <c r="K641" s="49" t="s">
        <v>76</v>
      </c>
      <c r="L641" s="49" t="s">
        <v>84</v>
      </c>
      <c r="M641" s="49" t="s">
        <v>85</v>
      </c>
      <c r="N641" s="48" t="s">
        <v>108</v>
      </c>
      <c r="O641" s="49" t="s">
        <v>37</v>
      </c>
      <c r="P641" s="11" t="s">
        <v>80</v>
      </c>
      <c r="Q641" s="11" t="s">
        <v>98</v>
      </c>
      <c r="R641" s="11" t="s">
        <v>1087</v>
      </c>
      <c r="S641" s="11" t="s">
        <v>2823</v>
      </c>
      <c r="T641" s="90" t="s">
        <v>1</v>
      </c>
      <c r="U641" s="90"/>
      <c r="V641" s="51">
        <v>43012</v>
      </c>
      <c r="W641" s="49" t="s">
        <v>1613</v>
      </c>
    </row>
    <row r="642" spans="1:23" ht="13" customHeight="1" x14ac:dyDescent="0.35">
      <c r="A642" s="11">
        <v>637</v>
      </c>
      <c r="B642" s="47">
        <v>111164491</v>
      </c>
      <c r="C642" s="94" t="s">
        <v>681</v>
      </c>
      <c r="D642" s="11" t="s">
        <v>682</v>
      </c>
      <c r="E642" s="48" t="s">
        <v>34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39</v>
      </c>
      <c r="K642" s="49" t="s">
        <v>76</v>
      </c>
      <c r="L642" s="49" t="s">
        <v>78</v>
      </c>
      <c r="M642" s="49" t="s">
        <v>92</v>
      </c>
      <c r="N642" s="48" t="s">
        <v>108</v>
      </c>
      <c r="O642" s="49" t="s">
        <v>37</v>
      </c>
      <c r="P642" s="11" t="s">
        <v>80</v>
      </c>
      <c r="Q642" s="11" t="s">
        <v>98</v>
      </c>
      <c r="R642" s="49" t="s">
        <v>648</v>
      </c>
      <c r="S642" s="11" t="s">
        <v>1842</v>
      </c>
      <c r="T642" s="90" t="s">
        <v>1</v>
      </c>
      <c r="U642" s="90"/>
      <c r="V642" s="51">
        <v>44797</v>
      </c>
      <c r="W642" s="49" t="s">
        <v>1610</v>
      </c>
    </row>
    <row r="643" spans="1:23" ht="13" customHeight="1" x14ac:dyDescent="0.35">
      <c r="A643" s="11">
        <v>638</v>
      </c>
      <c r="B643" s="47">
        <v>206239763</v>
      </c>
      <c r="C643" s="94" t="s">
        <v>1687</v>
      </c>
      <c r="D643" s="11" t="s">
        <v>1665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32</v>
      </c>
      <c r="K643" s="49" t="s">
        <v>76</v>
      </c>
      <c r="L643" s="49" t="s">
        <v>78</v>
      </c>
      <c r="M643" s="49" t="s">
        <v>92</v>
      </c>
      <c r="N643" s="48" t="s">
        <v>79</v>
      </c>
      <c r="O643" s="49" t="s">
        <v>37</v>
      </c>
      <c r="P643" s="11" t="s">
        <v>80</v>
      </c>
      <c r="Q643" s="11" t="s">
        <v>81</v>
      </c>
      <c r="R643" s="11" t="s">
        <v>1087</v>
      </c>
      <c r="S643" s="11" t="s">
        <v>2823</v>
      </c>
      <c r="T643" s="90" t="s">
        <v>1</v>
      </c>
      <c r="U643" s="89"/>
      <c r="V643" s="51">
        <v>45943</v>
      </c>
      <c r="W643" s="49" t="s">
        <v>1610</v>
      </c>
    </row>
    <row r="644" spans="1:23" ht="13" customHeight="1" x14ac:dyDescent="0.35">
      <c r="A644" s="11">
        <v>639</v>
      </c>
      <c r="B644" s="97">
        <v>204009672</v>
      </c>
      <c r="C644" s="47" t="s">
        <v>2853</v>
      </c>
      <c r="D644" s="94" t="s">
        <v>2854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32</v>
      </c>
      <c r="K644" s="49" t="s">
        <v>76</v>
      </c>
      <c r="L644" s="49" t="s">
        <v>95</v>
      </c>
      <c r="M644" s="49" t="s">
        <v>77</v>
      </c>
      <c r="N644" s="48" t="s">
        <v>86</v>
      </c>
      <c r="O644" s="49" t="s">
        <v>37</v>
      </c>
      <c r="P644" s="11" t="s">
        <v>80</v>
      </c>
      <c r="Q644" s="11" t="s">
        <v>90</v>
      </c>
      <c r="R644" s="11" t="s">
        <v>1087</v>
      </c>
      <c r="S644" s="11" t="s">
        <v>2855</v>
      </c>
      <c r="T644" s="90" t="s">
        <v>10</v>
      </c>
      <c r="U644" s="89"/>
      <c r="V644" s="51">
        <v>45551</v>
      </c>
      <c r="W644" s="49" t="s">
        <v>1610</v>
      </c>
    </row>
    <row r="645" spans="1:23" ht="13" customHeight="1" x14ac:dyDescent="0.35">
      <c r="A645" s="11">
        <v>640</v>
      </c>
      <c r="B645" s="47">
        <v>206239523</v>
      </c>
      <c r="C645" s="94" t="s">
        <v>1682</v>
      </c>
      <c r="D645" s="11" t="s">
        <v>1677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88" t="s">
        <v>39</v>
      </c>
      <c r="K645" s="49" t="s">
        <v>76</v>
      </c>
      <c r="L645" s="49" t="s">
        <v>92</v>
      </c>
      <c r="M645" s="49" t="s">
        <v>84</v>
      </c>
      <c r="N645" s="49" t="s">
        <v>89</v>
      </c>
      <c r="O645" s="49" t="s">
        <v>37</v>
      </c>
      <c r="P645" s="11" t="s">
        <v>80</v>
      </c>
      <c r="Q645" s="11" t="s">
        <v>96</v>
      </c>
      <c r="R645" s="11" t="s">
        <v>2955</v>
      </c>
      <c r="S645" s="11" t="s">
        <v>2956</v>
      </c>
      <c r="T645" s="90" t="s">
        <v>1</v>
      </c>
      <c r="U645" s="91"/>
      <c r="V645" s="51">
        <v>45943</v>
      </c>
      <c r="W645" s="49" t="s">
        <v>1610</v>
      </c>
    </row>
    <row r="646" spans="1:23" ht="13" customHeight="1" x14ac:dyDescent="0.35">
      <c r="A646" s="11">
        <v>641</v>
      </c>
      <c r="B646" s="47">
        <v>205846573</v>
      </c>
      <c r="C646" s="94" t="s">
        <v>683</v>
      </c>
      <c r="D646" s="11" t="s">
        <v>684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39</v>
      </c>
      <c r="K646" s="49" t="s">
        <v>76</v>
      </c>
      <c r="L646" s="49" t="s">
        <v>85</v>
      </c>
      <c r="M646" s="49" t="s">
        <v>88</v>
      </c>
      <c r="N646" s="49" t="s">
        <v>89</v>
      </c>
      <c r="O646" s="49" t="s">
        <v>37</v>
      </c>
      <c r="P646" s="11" t="s">
        <v>80</v>
      </c>
      <c r="Q646" s="11" t="s">
        <v>96</v>
      </c>
      <c r="R646" s="11" t="s">
        <v>632</v>
      </c>
      <c r="S646" s="11" t="s">
        <v>633</v>
      </c>
      <c r="T646" s="90" t="s">
        <v>7</v>
      </c>
      <c r="U646" s="90" t="s">
        <v>3004</v>
      </c>
      <c r="V646" s="51">
        <v>45894</v>
      </c>
      <c r="W646" s="49" t="s">
        <v>1610</v>
      </c>
    </row>
    <row r="647" spans="1:23" ht="13" customHeight="1" x14ac:dyDescent="0.35">
      <c r="A647" s="11">
        <v>642</v>
      </c>
      <c r="B647" s="47">
        <v>206930130</v>
      </c>
      <c r="C647" s="94" t="s">
        <v>2079</v>
      </c>
      <c r="D647" s="11" t="s">
        <v>2089</v>
      </c>
      <c r="E647" s="48" t="s">
        <v>31</v>
      </c>
      <c r="F647" s="48" t="s">
        <v>74</v>
      </c>
      <c r="G647" s="48" t="s">
        <v>64</v>
      </c>
      <c r="H647" s="48" t="s">
        <v>75</v>
      </c>
      <c r="I647" s="11">
        <v>1299</v>
      </c>
      <c r="J647" s="49" t="s">
        <v>32</v>
      </c>
      <c r="K647" s="49" t="s">
        <v>76</v>
      </c>
      <c r="L647" s="49" t="s">
        <v>77</v>
      </c>
      <c r="M647" s="49" t="s">
        <v>78</v>
      </c>
      <c r="N647" s="49" t="s">
        <v>79</v>
      </c>
      <c r="O647" s="49" t="s">
        <v>37</v>
      </c>
      <c r="P647" s="49" t="s">
        <v>80</v>
      </c>
      <c r="Q647" s="49" t="s">
        <v>96</v>
      </c>
      <c r="R647" s="49" t="s">
        <v>628</v>
      </c>
      <c r="S647" s="49" t="s">
        <v>629</v>
      </c>
      <c r="T647" s="90" t="s">
        <v>10</v>
      </c>
      <c r="U647" s="90"/>
      <c r="V647" s="51">
        <v>46037</v>
      </c>
      <c r="W647" s="49" t="s">
        <v>1610</v>
      </c>
    </row>
    <row r="648" spans="1:23" ht="13" customHeight="1" x14ac:dyDescent="0.35">
      <c r="A648" s="11">
        <v>643</v>
      </c>
      <c r="B648" s="47">
        <v>206129604</v>
      </c>
      <c r="C648" s="94" t="s">
        <v>685</v>
      </c>
      <c r="D648" s="11" t="s">
        <v>686</v>
      </c>
      <c r="E648" s="48" t="s">
        <v>31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32</v>
      </c>
      <c r="K648" s="49" t="s">
        <v>76</v>
      </c>
      <c r="L648" s="49" t="s">
        <v>78</v>
      </c>
      <c r="M648" s="49" t="s">
        <v>92</v>
      </c>
      <c r="N648" s="49" t="s">
        <v>89</v>
      </c>
      <c r="O648" s="49" t="s">
        <v>37</v>
      </c>
      <c r="P648" s="11" t="s">
        <v>80</v>
      </c>
      <c r="Q648" s="11" t="s">
        <v>81</v>
      </c>
      <c r="R648" s="49" t="s">
        <v>648</v>
      </c>
      <c r="S648" s="11" t="s">
        <v>1842</v>
      </c>
      <c r="T648" s="90" t="s">
        <v>1</v>
      </c>
      <c r="U648" s="89"/>
      <c r="V648" s="51">
        <v>45929</v>
      </c>
      <c r="W648" s="49" t="s">
        <v>1610</v>
      </c>
    </row>
    <row r="649" spans="1:23" ht="13" customHeight="1" x14ac:dyDescent="0.35">
      <c r="A649" s="11">
        <v>644</v>
      </c>
      <c r="B649" s="47">
        <v>204868506</v>
      </c>
      <c r="C649" s="94" t="s">
        <v>2476</v>
      </c>
      <c r="D649" s="11" t="s">
        <v>2477</v>
      </c>
      <c r="E649" s="48" t="s">
        <v>31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32</v>
      </c>
      <c r="K649" s="49" t="s">
        <v>76</v>
      </c>
      <c r="L649" s="49" t="s">
        <v>92</v>
      </c>
      <c r="M649" s="49" t="s">
        <v>84</v>
      </c>
      <c r="N649" s="48" t="s">
        <v>86</v>
      </c>
      <c r="O649" s="49" t="s">
        <v>37</v>
      </c>
      <c r="P649" s="11" t="s">
        <v>80</v>
      </c>
      <c r="Q649" s="11" t="s">
        <v>90</v>
      </c>
      <c r="R649" s="11" t="s">
        <v>1087</v>
      </c>
      <c r="S649" s="11" t="s">
        <v>2823</v>
      </c>
      <c r="T649" s="90" t="s">
        <v>1</v>
      </c>
      <c r="U649" s="89"/>
      <c r="V649" s="51">
        <v>45789</v>
      </c>
      <c r="W649" s="49" t="s">
        <v>1610</v>
      </c>
    </row>
    <row r="650" spans="1:23" ht="13" customHeight="1" x14ac:dyDescent="0.35">
      <c r="A650" s="11">
        <v>645</v>
      </c>
      <c r="B650" s="47">
        <v>206873782</v>
      </c>
      <c r="C650" s="94" t="s">
        <v>1935</v>
      </c>
      <c r="D650" s="11" t="s">
        <v>1936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39</v>
      </c>
      <c r="K650" s="49" t="s">
        <v>76</v>
      </c>
      <c r="L650" s="49" t="s">
        <v>84</v>
      </c>
      <c r="M650" s="49" t="s">
        <v>85</v>
      </c>
      <c r="N650" s="49" t="s">
        <v>89</v>
      </c>
      <c r="O650" s="48" t="s">
        <v>37</v>
      </c>
      <c r="P650" s="48" t="s">
        <v>80</v>
      </c>
      <c r="Q650" s="11" t="s">
        <v>90</v>
      </c>
      <c r="R650" s="49" t="s">
        <v>648</v>
      </c>
      <c r="S650" s="11" t="s">
        <v>1842</v>
      </c>
      <c r="T650" s="90" t="s">
        <v>1</v>
      </c>
      <c r="U650" s="91"/>
      <c r="V650" s="51">
        <v>46030</v>
      </c>
      <c r="W650" s="49" t="s">
        <v>1610</v>
      </c>
    </row>
    <row r="651" spans="1:23" ht="13" customHeight="1" x14ac:dyDescent="0.35">
      <c r="A651" s="11">
        <v>646</v>
      </c>
      <c r="B651" s="47">
        <v>203341965</v>
      </c>
      <c r="C651" s="94" t="s">
        <v>687</v>
      </c>
      <c r="D651" s="11" t="s">
        <v>688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39</v>
      </c>
      <c r="K651" s="49" t="s">
        <v>76</v>
      </c>
      <c r="L651" s="49" t="s">
        <v>85</v>
      </c>
      <c r="M651" s="49" t="s">
        <v>88</v>
      </c>
      <c r="N651" s="48" t="s">
        <v>86</v>
      </c>
      <c r="O651" s="49" t="s">
        <v>37</v>
      </c>
      <c r="P651" s="11" t="s">
        <v>80</v>
      </c>
      <c r="Q651" s="11" t="s">
        <v>99</v>
      </c>
      <c r="R651" s="11" t="s">
        <v>1087</v>
      </c>
      <c r="S651" s="11" t="s">
        <v>2823</v>
      </c>
      <c r="T651" s="90" t="s">
        <v>7</v>
      </c>
      <c r="U651" s="90" t="s">
        <v>3004</v>
      </c>
      <c r="V651" s="51">
        <v>45432</v>
      </c>
      <c r="W651" s="49" t="s">
        <v>1612</v>
      </c>
    </row>
    <row r="652" spans="1:23" ht="13" customHeight="1" x14ac:dyDescent="0.35">
      <c r="A652" s="11">
        <v>647</v>
      </c>
      <c r="B652" s="47">
        <v>109808051</v>
      </c>
      <c r="C652" s="94" t="s">
        <v>689</v>
      </c>
      <c r="D652" s="11" t="s">
        <v>690</v>
      </c>
      <c r="E652" s="48" t="s">
        <v>34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95</v>
      </c>
      <c r="M652" s="49" t="s">
        <v>77</v>
      </c>
      <c r="N652" s="48" t="s">
        <v>108</v>
      </c>
      <c r="O652" s="49" t="s">
        <v>37</v>
      </c>
      <c r="P652" s="11" t="s">
        <v>80</v>
      </c>
      <c r="Q652" s="11" t="s">
        <v>98</v>
      </c>
      <c r="R652" s="11" t="s">
        <v>640</v>
      </c>
      <c r="S652" s="11" t="s">
        <v>2824</v>
      </c>
      <c r="T652" s="90" t="s">
        <v>10</v>
      </c>
      <c r="U652" s="90"/>
      <c r="V652" s="51">
        <v>44875</v>
      </c>
      <c r="W652" s="49" t="s">
        <v>1613</v>
      </c>
    </row>
    <row r="653" spans="1:23" ht="13" customHeight="1" x14ac:dyDescent="0.35">
      <c r="A653" s="11">
        <v>648</v>
      </c>
      <c r="B653" s="47">
        <v>205276302</v>
      </c>
      <c r="C653" s="94" t="s">
        <v>2175</v>
      </c>
      <c r="D653" s="11" t="s">
        <v>2176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88" t="s">
        <v>39</v>
      </c>
      <c r="K653" s="49" t="s">
        <v>76</v>
      </c>
      <c r="L653" s="49" t="s">
        <v>88</v>
      </c>
      <c r="M653" s="49" t="s">
        <v>95</v>
      </c>
      <c r="N653" s="49" t="s">
        <v>89</v>
      </c>
      <c r="O653" s="49" t="s">
        <v>37</v>
      </c>
      <c r="P653" s="11" t="s">
        <v>80</v>
      </c>
      <c r="Q653" s="11" t="s">
        <v>96</v>
      </c>
      <c r="R653" s="49" t="s">
        <v>628</v>
      </c>
      <c r="S653" s="11" t="s">
        <v>629</v>
      </c>
      <c r="T653" s="90" t="s">
        <v>1</v>
      </c>
      <c r="U653" s="90"/>
      <c r="V653" s="51">
        <v>46048</v>
      </c>
      <c r="W653" s="49" t="s">
        <v>1610</v>
      </c>
    </row>
    <row r="654" spans="1:23" ht="13" customHeight="1" x14ac:dyDescent="0.35">
      <c r="A654" s="11">
        <v>649</v>
      </c>
      <c r="B654" s="47">
        <v>203735959</v>
      </c>
      <c r="C654" s="94" t="s">
        <v>2478</v>
      </c>
      <c r="D654" s="11" t="s">
        <v>2479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39</v>
      </c>
      <c r="K654" s="49" t="s">
        <v>76</v>
      </c>
      <c r="L654" s="49" t="s">
        <v>92</v>
      </c>
      <c r="M654" s="49" t="s">
        <v>84</v>
      </c>
      <c r="N654" s="48" t="s">
        <v>86</v>
      </c>
      <c r="O654" s="49" t="s">
        <v>37</v>
      </c>
      <c r="P654" s="11" t="s">
        <v>80</v>
      </c>
      <c r="Q654" s="11" t="s">
        <v>90</v>
      </c>
      <c r="R654" s="49" t="s">
        <v>628</v>
      </c>
      <c r="S654" s="11" t="s">
        <v>629</v>
      </c>
      <c r="T654" s="90" t="s">
        <v>1</v>
      </c>
      <c r="U654" s="89"/>
      <c r="V654" s="51">
        <v>45502</v>
      </c>
      <c r="W654" s="49" t="s">
        <v>1610</v>
      </c>
    </row>
    <row r="655" spans="1:23" ht="13" customHeight="1" x14ac:dyDescent="0.35">
      <c r="A655" s="11">
        <v>650</v>
      </c>
      <c r="B655" s="47">
        <v>203964989</v>
      </c>
      <c r="C655" s="94" t="s">
        <v>691</v>
      </c>
      <c r="D655" s="11" t="s">
        <v>692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39</v>
      </c>
      <c r="K655" s="49" t="s">
        <v>76</v>
      </c>
      <c r="L655" s="49" t="s">
        <v>95</v>
      </c>
      <c r="M655" s="49" t="s">
        <v>77</v>
      </c>
      <c r="N655" s="48" t="s">
        <v>86</v>
      </c>
      <c r="O655" s="49" t="s">
        <v>37</v>
      </c>
      <c r="P655" s="11" t="s">
        <v>80</v>
      </c>
      <c r="Q655" s="11" t="s">
        <v>99</v>
      </c>
      <c r="R655" s="49" t="s">
        <v>648</v>
      </c>
      <c r="S655" s="11" t="s">
        <v>1842</v>
      </c>
      <c r="T655" s="90" t="s">
        <v>10</v>
      </c>
      <c r="U655" s="89"/>
      <c r="V655" s="51">
        <v>45544</v>
      </c>
      <c r="W655" s="49" t="s">
        <v>1610</v>
      </c>
    </row>
    <row r="656" spans="1:23" ht="13" customHeight="1" x14ac:dyDescent="0.35">
      <c r="A656" s="11">
        <v>651</v>
      </c>
      <c r="B656" s="47">
        <v>203964995</v>
      </c>
      <c r="C656" s="94" t="s">
        <v>693</v>
      </c>
      <c r="D656" s="11" t="s">
        <v>694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32</v>
      </c>
      <c r="K656" s="49" t="s">
        <v>76</v>
      </c>
      <c r="L656" s="49" t="s">
        <v>78</v>
      </c>
      <c r="M656" s="49" t="s">
        <v>92</v>
      </c>
      <c r="N656" s="48" t="s">
        <v>86</v>
      </c>
      <c r="O656" s="49" t="s">
        <v>37</v>
      </c>
      <c r="P656" s="11" t="s">
        <v>80</v>
      </c>
      <c r="Q656" s="11" t="s">
        <v>99</v>
      </c>
      <c r="R656" s="11" t="s">
        <v>1087</v>
      </c>
      <c r="S656" s="11" t="s">
        <v>2823</v>
      </c>
      <c r="T656" s="90" t="s">
        <v>1</v>
      </c>
      <c r="U656" s="91"/>
      <c r="V656" s="51">
        <v>45544</v>
      </c>
      <c r="W656" s="49" t="s">
        <v>1610</v>
      </c>
    </row>
    <row r="657" spans="1:23" ht="13" customHeight="1" x14ac:dyDescent="0.35">
      <c r="A657" s="11">
        <v>652</v>
      </c>
      <c r="B657" s="47">
        <v>206850960</v>
      </c>
      <c r="C657" s="94" t="s">
        <v>1849</v>
      </c>
      <c r="D657" s="47" t="s">
        <v>1850</v>
      </c>
      <c r="E657" s="47" t="s">
        <v>31</v>
      </c>
      <c r="F657" s="48" t="s">
        <v>74</v>
      </c>
      <c r="G657" s="11" t="s">
        <v>64</v>
      </c>
      <c r="H657" s="11" t="s">
        <v>75</v>
      </c>
      <c r="I657" s="47">
        <v>1299</v>
      </c>
      <c r="J657" s="49" t="s">
        <v>32</v>
      </c>
      <c r="K657" s="49" t="s">
        <v>76</v>
      </c>
      <c r="L657" s="49" t="s">
        <v>95</v>
      </c>
      <c r="M657" s="49" t="s">
        <v>77</v>
      </c>
      <c r="N657" s="49" t="s">
        <v>89</v>
      </c>
      <c r="O657" s="49" t="s">
        <v>37</v>
      </c>
      <c r="P657" s="11" t="s">
        <v>80</v>
      </c>
      <c r="Q657" s="47" t="s">
        <v>90</v>
      </c>
      <c r="R657" s="11" t="s">
        <v>2955</v>
      </c>
      <c r="S657" s="11" t="s">
        <v>2956</v>
      </c>
      <c r="T657" s="90" t="s">
        <v>10</v>
      </c>
      <c r="U657" s="91"/>
      <c r="V657" s="51">
        <v>46013</v>
      </c>
      <c r="W657" s="49" t="s">
        <v>1610</v>
      </c>
    </row>
    <row r="658" spans="1:23" ht="13" customHeight="1" x14ac:dyDescent="0.35">
      <c r="A658" s="11">
        <v>653</v>
      </c>
      <c r="B658" s="47">
        <v>206199915</v>
      </c>
      <c r="C658" s="94" t="s">
        <v>1626</v>
      </c>
      <c r="D658" s="11" t="s">
        <v>1620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39</v>
      </c>
      <c r="K658" s="49" t="s">
        <v>76</v>
      </c>
      <c r="L658" s="49" t="s">
        <v>95</v>
      </c>
      <c r="M658" s="49" t="s">
        <v>77</v>
      </c>
      <c r="N658" s="48" t="s">
        <v>79</v>
      </c>
      <c r="O658" s="49" t="s">
        <v>37</v>
      </c>
      <c r="P658" s="11" t="s">
        <v>80</v>
      </c>
      <c r="Q658" s="11" t="s">
        <v>81</v>
      </c>
      <c r="R658" s="11" t="s">
        <v>1087</v>
      </c>
      <c r="S658" s="11" t="s">
        <v>2823</v>
      </c>
      <c r="T658" s="90" t="s">
        <v>10</v>
      </c>
      <c r="U658" s="91"/>
      <c r="V658" s="51">
        <v>45936</v>
      </c>
      <c r="W658" s="49" t="s">
        <v>1610</v>
      </c>
    </row>
    <row r="659" spans="1:23" ht="13" customHeight="1" x14ac:dyDescent="0.35">
      <c r="A659" s="11">
        <v>654</v>
      </c>
      <c r="B659" s="47">
        <v>204009348</v>
      </c>
      <c r="C659" s="94" t="s">
        <v>2480</v>
      </c>
      <c r="D659" s="11" t="s">
        <v>2481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39</v>
      </c>
      <c r="K659" s="49" t="s">
        <v>76</v>
      </c>
      <c r="L659" s="49" t="s">
        <v>88</v>
      </c>
      <c r="M659" s="49" t="s">
        <v>95</v>
      </c>
      <c r="N659" s="48" t="s">
        <v>86</v>
      </c>
      <c r="O659" s="49" t="s">
        <v>37</v>
      </c>
      <c r="P659" s="11" t="s">
        <v>80</v>
      </c>
      <c r="Q659" s="11" t="s">
        <v>90</v>
      </c>
      <c r="R659" s="49" t="s">
        <v>628</v>
      </c>
      <c r="S659" s="11" t="s">
        <v>629</v>
      </c>
      <c r="T659" s="90" t="s">
        <v>3</v>
      </c>
      <c r="U659" s="89"/>
      <c r="V659" s="51">
        <v>45551</v>
      </c>
      <c r="W659" s="49" t="s">
        <v>1610</v>
      </c>
    </row>
    <row r="660" spans="1:23" ht="13" customHeight="1" x14ac:dyDescent="0.35">
      <c r="A660" s="11">
        <v>655</v>
      </c>
      <c r="B660" s="97">
        <v>203850786</v>
      </c>
      <c r="C660" s="47" t="s">
        <v>2856</v>
      </c>
      <c r="D660" s="94" t="s">
        <v>2857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32</v>
      </c>
      <c r="K660" s="49" t="s">
        <v>76</v>
      </c>
      <c r="L660" s="49" t="s">
        <v>78</v>
      </c>
      <c r="M660" s="49" t="s">
        <v>92</v>
      </c>
      <c r="N660" s="48" t="s">
        <v>86</v>
      </c>
      <c r="O660" s="49" t="s">
        <v>37</v>
      </c>
      <c r="P660" s="11" t="s">
        <v>80</v>
      </c>
      <c r="Q660" s="11" t="s">
        <v>90</v>
      </c>
      <c r="R660" s="11" t="s">
        <v>628</v>
      </c>
      <c r="S660" s="11" t="s">
        <v>629</v>
      </c>
      <c r="T660" s="90" t="s">
        <v>1</v>
      </c>
      <c r="U660" s="91"/>
      <c r="V660" s="51">
        <v>45524</v>
      </c>
      <c r="W660" s="49" t="s">
        <v>1610</v>
      </c>
    </row>
    <row r="661" spans="1:23" ht="13" customHeight="1" x14ac:dyDescent="0.35">
      <c r="A661" s="11">
        <v>656</v>
      </c>
      <c r="B661" s="47">
        <v>203850997</v>
      </c>
      <c r="C661" s="94" t="s">
        <v>695</v>
      </c>
      <c r="D661" s="11" t="s">
        <v>696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39</v>
      </c>
      <c r="K661" s="49" t="s">
        <v>76</v>
      </c>
      <c r="L661" s="49" t="s">
        <v>88</v>
      </c>
      <c r="M661" s="49" t="s">
        <v>95</v>
      </c>
      <c r="N661" s="48" t="s">
        <v>79</v>
      </c>
      <c r="O661" s="49" t="s">
        <v>37</v>
      </c>
      <c r="P661" s="11" t="s">
        <v>80</v>
      </c>
      <c r="Q661" s="11" t="s">
        <v>81</v>
      </c>
      <c r="R661" s="11" t="s">
        <v>632</v>
      </c>
      <c r="S661" s="11" t="s">
        <v>633</v>
      </c>
      <c r="T661" s="90" t="s">
        <v>1</v>
      </c>
      <c r="U661" s="90"/>
      <c r="V661" s="51">
        <v>45524</v>
      </c>
      <c r="W661" s="49" t="s">
        <v>1611</v>
      </c>
    </row>
    <row r="662" spans="1:23" ht="13" customHeight="1" x14ac:dyDescent="0.35">
      <c r="A662" s="11">
        <v>657</v>
      </c>
      <c r="B662" s="47">
        <v>203965024</v>
      </c>
      <c r="C662" s="94" t="s">
        <v>697</v>
      </c>
      <c r="D662" s="11" t="s">
        <v>698</v>
      </c>
      <c r="E662" s="48" t="s">
        <v>31</v>
      </c>
      <c r="F662" s="48" t="s">
        <v>74</v>
      </c>
      <c r="G662" s="11" t="s">
        <v>64</v>
      </c>
      <c r="H662" s="11" t="s">
        <v>75</v>
      </c>
      <c r="I662" s="11">
        <v>1299</v>
      </c>
      <c r="J662" s="49" t="s">
        <v>32</v>
      </c>
      <c r="K662" s="49" t="s">
        <v>76</v>
      </c>
      <c r="L662" s="49" t="s">
        <v>77</v>
      </c>
      <c r="M662" s="49" t="s">
        <v>78</v>
      </c>
      <c r="N662" s="48" t="s">
        <v>86</v>
      </c>
      <c r="O662" s="49" t="s">
        <v>37</v>
      </c>
      <c r="P662" s="11" t="s">
        <v>80</v>
      </c>
      <c r="Q662" s="11" t="s">
        <v>99</v>
      </c>
      <c r="R662" s="49" t="s">
        <v>648</v>
      </c>
      <c r="S662" s="11" t="s">
        <v>1842</v>
      </c>
      <c r="T662" s="90" t="s">
        <v>10</v>
      </c>
      <c r="U662" s="90"/>
      <c r="V662" s="51">
        <v>45544</v>
      </c>
      <c r="W662" s="49" t="s">
        <v>1610</v>
      </c>
    </row>
    <row r="663" spans="1:23" ht="13" customHeight="1" x14ac:dyDescent="0.35">
      <c r="A663" s="11">
        <v>658</v>
      </c>
      <c r="B663" s="47">
        <v>203342030</v>
      </c>
      <c r="C663" s="94" t="s">
        <v>699</v>
      </c>
      <c r="D663" s="11" t="s">
        <v>700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32</v>
      </c>
      <c r="K663" s="49" t="s">
        <v>76</v>
      </c>
      <c r="L663" s="49" t="s">
        <v>77</v>
      </c>
      <c r="M663" s="49" t="s">
        <v>78</v>
      </c>
      <c r="N663" s="48" t="s">
        <v>86</v>
      </c>
      <c r="O663" s="49" t="s">
        <v>37</v>
      </c>
      <c r="P663" s="11" t="s">
        <v>80</v>
      </c>
      <c r="Q663" s="11" t="s">
        <v>99</v>
      </c>
      <c r="R663" s="11" t="s">
        <v>1087</v>
      </c>
      <c r="S663" s="11" t="s">
        <v>2823</v>
      </c>
      <c r="T663" s="90" t="s">
        <v>10</v>
      </c>
      <c r="U663" s="90"/>
      <c r="V663" s="51">
        <v>45432</v>
      </c>
      <c r="W663" s="49" t="s">
        <v>1611</v>
      </c>
    </row>
    <row r="664" spans="1:23" ht="13" customHeight="1" x14ac:dyDescent="0.35">
      <c r="A664" s="11">
        <v>659</v>
      </c>
      <c r="B664" s="47">
        <v>204172225</v>
      </c>
      <c r="C664" s="94" t="s">
        <v>701</v>
      </c>
      <c r="D664" s="11" t="s">
        <v>702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32</v>
      </c>
      <c r="K664" s="49" t="s">
        <v>76</v>
      </c>
      <c r="L664" s="49" t="s">
        <v>85</v>
      </c>
      <c r="M664" s="49" t="s">
        <v>88</v>
      </c>
      <c r="N664" s="49" t="s">
        <v>89</v>
      </c>
      <c r="O664" s="49" t="s">
        <v>37</v>
      </c>
      <c r="P664" s="11" t="s">
        <v>80</v>
      </c>
      <c r="Q664" s="11" t="s">
        <v>90</v>
      </c>
      <c r="R664" s="49" t="s">
        <v>648</v>
      </c>
      <c r="S664" s="11" t="s">
        <v>1842</v>
      </c>
      <c r="T664" s="90" t="s">
        <v>1</v>
      </c>
      <c r="U664" s="91"/>
      <c r="V664" s="51">
        <v>45568</v>
      </c>
      <c r="W664" s="49" t="s">
        <v>1610</v>
      </c>
    </row>
    <row r="665" spans="1:23" ht="13" customHeight="1" x14ac:dyDescent="0.35">
      <c r="A665" s="11">
        <v>660</v>
      </c>
      <c r="B665" s="47">
        <v>204319794</v>
      </c>
      <c r="C665" s="94" t="s">
        <v>703</v>
      </c>
      <c r="D665" s="11" t="s">
        <v>704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39</v>
      </c>
      <c r="K665" s="49" t="s">
        <v>76</v>
      </c>
      <c r="L665" s="49" t="s">
        <v>88</v>
      </c>
      <c r="M665" s="49" t="s">
        <v>95</v>
      </c>
      <c r="N665" s="48" t="s">
        <v>86</v>
      </c>
      <c r="O665" s="49" t="s">
        <v>37</v>
      </c>
      <c r="P665" s="11" t="s">
        <v>80</v>
      </c>
      <c r="Q665" s="11" t="s">
        <v>87</v>
      </c>
      <c r="R665" s="11" t="s">
        <v>632</v>
      </c>
      <c r="S665" s="11" t="s">
        <v>633</v>
      </c>
      <c r="T665" s="90" t="s">
        <v>1</v>
      </c>
      <c r="U665" s="89" t="s">
        <v>3009</v>
      </c>
      <c r="V665" s="51">
        <v>45589</v>
      </c>
      <c r="W665" s="49" t="s">
        <v>1612</v>
      </c>
    </row>
    <row r="666" spans="1:23" ht="13" customHeight="1" x14ac:dyDescent="0.35">
      <c r="A666" s="11">
        <v>661</v>
      </c>
      <c r="B666" s="47">
        <v>206926474</v>
      </c>
      <c r="C666" s="94" t="s">
        <v>2084</v>
      </c>
      <c r="D666" s="11" t="s">
        <v>2093</v>
      </c>
      <c r="E666" s="48" t="s">
        <v>31</v>
      </c>
      <c r="F666" s="48" t="s">
        <v>74</v>
      </c>
      <c r="G666" s="48" t="s">
        <v>64</v>
      </c>
      <c r="H666" s="48" t="s">
        <v>1365</v>
      </c>
      <c r="I666" s="11">
        <v>1299</v>
      </c>
      <c r="J666" s="49" t="s">
        <v>32</v>
      </c>
      <c r="K666" s="49" t="s">
        <v>76</v>
      </c>
      <c r="L666" s="49" t="s">
        <v>95</v>
      </c>
      <c r="M666" s="49" t="s">
        <v>77</v>
      </c>
      <c r="N666" s="49" t="s">
        <v>89</v>
      </c>
      <c r="O666" s="49" t="s">
        <v>37</v>
      </c>
      <c r="P666" s="49" t="s">
        <v>80</v>
      </c>
      <c r="Q666" s="49" t="s">
        <v>90</v>
      </c>
      <c r="R666" s="49" t="s">
        <v>648</v>
      </c>
      <c r="S666" s="49" t="s">
        <v>1842</v>
      </c>
      <c r="T666" s="90" t="s">
        <v>10</v>
      </c>
      <c r="U666" s="89"/>
      <c r="V666" s="51">
        <v>46037</v>
      </c>
      <c r="W666" s="49" t="s">
        <v>2095</v>
      </c>
    </row>
    <row r="667" spans="1:23" ht="13" customHeight="1" x14ac:dyDescent="0.35">
      <c r="A667" s="11">
        <v>662</v>
      </c>
      <c r="B667" s="47">
        <v>205236902</v>
      </c>
      <c r="C667" s="94" t="s">
        <v>705</v>
      </c>
      <c r="D667" s="11" t="s">
        <v>706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1299</v>
      </c>
      <c r="J667" s="49" t="s">
        <v>39</v>
      </c>
      <c r="K667" s="49" t="s">
        <v>76</v>
      </c>
      <c r="L667" s="49" t="s">
        <v>78</v>
      </c>
      <c r="M667" s="49" t="s">
        <v>92</v>
      </c>
      <c r="N667" s="48" t="s">
        <v>86</v>
      </c>
      <c r="O667" s="49" t="s">
        <v>37</v>
      </c>
      <c r="P667" s="11" t="s">
        <v>80</v>
      </c>
      <c r="Q667" s="11" t="s">
        <v>90</v>
      </c>
      <c r="R667" s="11" t="s">
        <v>632</v>
      </c>
      <c r="S667" s="11" t="s">
        <v>633</v>
      </c>
      <c r="T667" s="90" t="s">
        <v>1</v>
      </c>
      <c r="U667" s="89"/>
      <c r="V667" s="51">
        <v>45789</v>
      </c>
      <c r="W667" s="49" t="s">
        <v>1610</v>
      </c>
    </row>
    <row r="668" spans="1:23" ht="13" customHeight="1" x14ac:dyDescent="0.35">
      <c r="A668" s="11">
        <v>663</v>
      </c>
      <c r="B668" s="47">
        <v>204053434</v>
      </c>
      <c r="C668" s="94" t="s">
        <v>707</v>
      </c>
      <c r="D668" s="11" t="s">
        <v>708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32</v>
      </c>
      <c r="K668" s="49" t="s">
        <v>76</v>
      </c>
      <c r="L668" s="49" t="s">
        <v>95</v>
      </c>
      <c r="M668" s="49" t="s">
        <v>77</v>
      </c>
      <c r="N668" s="48" t="s">
        <v>86</v>
      </c>
      <c r="O668" s="49" t="s">
        <v>37</v>
      </c>
      <c r="P668" s="11" t="s">
        <v>80</v>
      </c>
      <c r="Q668" s="11" t="s">
        <v>99</v>
      </c>
      <c r="R668" s="11" t="s">
        <v>2955</v>
      </c>
      <c r="S668" s="11" t="s">
        <v>2956</v>
      </c>
      <c r="T668" s="90" t="s">
        <v>10</v>
      </c>
      <c r="U668" s="89"/>
      <c r="V668" s="51">
        <v>45558</v>
      </c>
      <c r="W668" s="49" t="s">
        <v>1609</v>
      </c>
    </row>
    <row r="669" spans="1:23" ht="13" customHeight="1" x14ac:dyDescent="0.35">
      <c r="A669" s="11">
        <v>664</v>
      </c>
      <c r="B669" s="47">
        <v>205236897</v>
      </c>
      <c r="C669" s="94" t="s">
        <v>2482</v>
      </c>
      <c r="D669" s="11" t="s">
        <v>2483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39</v>
      </c>
      <c r="K669" s="49" t="s">
        <v>76</v>
      </c>
      <c r="L669" s="49" t="s">
        <v>88</v>
      </c>
      <c r="M669" s="49" t="s">
        <v>95</v>
      </c>
      <c r="N669" s="48" t="s">
        <v>86</v>
      </c>
      <c r="O669" s="49" t="s">
        <v>37</v>
      </c>
      <c r="P669" s="11" t="s">
        <v>80</v>
      </c>
      <c r="Q669" s="11" t="s">
        <v>90</v>
      </c>
      <c r="R669" s="11" t="s">
        <v>632</v>
      </c>
      <c r="S669" s="11" t="s">
        <v>633</v>
      </c>
      <c r="T669" s="90" t="s">
        <v>1</v>
      </c>
      <c r="U669" s="89"/>
      <c r="V669" s="51">
        <v>45789</v>
      </c>
      <c r="W669" s="49" t="s">
        <v>1610</v>
      </c>
    </row>
    <row r="670" spans="1:23" ht="13" customHeight="1" x14ac:dyDescent="0.35">
      <c r="A670" s="11">
        <v>665</v>
      </c>
      <c r="B670" s="47">
        <v>204013688</v>
      </c>
      <c r="C670" s="94" t="s">
        <v>709</v>
      </c>
      <c r="D670" s="11" t="s">
        <v>710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39</v>
      </c>
      <c r="K670" s="49" t="s">
        <v>76</v>
      </c>
      <c r="L670" s="49" t="s">
        <v>88</v>
      </c>
      <c r="M670" s="49" t="s">
        <v>95</v>
      </c>
      <c r="N670" s="48" t="s">
        <v>79</v>
      </c>
      <c r="O670" s="49" t="s">
        <v>37</v>
      </c>
      <c r="P670" s="11" t="s">
        <v>80</v>
      </c>
      <c r="Q670" s="11" t="s">
        <v>81</v>
      </c>
      <c r="R670" s="49" t="s">
        <v>628</v>
      </c>
      <c r="S670" s="11" t="s">
        <v>629</v>
      </c>
      <c r="T670" s="90" t="s">
        <v>7</v>
      </c>
      <c r="U670" s="90" t="s">
        <v>3004</v>
      </c>
      <c r="V670" s="51">
        <v>45551</v>
      </c>
      <c r="W670" s="49" t="s">
        <v>1610</v>
      </c>
    </row>
    <row r="671" spans="1:23" ht="13" customHeight="1" x14ac:dyDescent="0.35">
      <c r="A671" s="11">
        <v>666</v>
      </c>
      <c r="B671" s="47">
        <v>206897553</v>
      </c>
      <c r="C671" s="94" t="s">
        <v>1967</v>
      </c>
      <c r="D671" s="11" t="s">
        <v>1968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1290</v>
      </c>
      <c r="J671" s="49" t="s">
        <v>39</v>
      </c>
      <c r="K671" s="49" t="s">
        <v>76</v>
      </c>
      <c r="L671" s="49" t="s">
        <v>77</v>
      </c>
      <c r="M671" s="49" t="s">
        <v>78</v>
      </c>
      <c r="N671" s="49" t="s">
        <v>89</v>
      </c>
      <c r="O671" s="48" t="s">
        <v>37</v>
      </c>
      <c r="P671" s="48" t="s">
        <v>80</v>
      </c>
      <c r="Q671" s="11" t="s">
        <v>81</v>
      </c>
      <c r="R671" s="11" t="s">
        <v>1087</v>
      </c>
      <c r="S671" s="11" t="s">
        <v>2823</v>
      </c>
      <c r="T671" s="90" t="s">
        <v>10</v>
      </c>
      <c r="U671" s="90"/>
      <c r="V671" s="51">
        <v>46030</v>
      </c>
      <c r="W671" s="49" t="s">
        <v>1611</v>
      </c>
    </row>
    <row r="672" spans="1:23" ht="13" customHeight="1" x14ac:dyDescent="0.35">
      <c r="A672" s="11">
        <v>667</v>
      </c>
      <c r="B672" s="47">
        <v>205854273</v>
      </c>
      <c r="C672" s="94" t="s">
        <v>711</v>
      </c>
      <c r="D672" s="11" t="s">
        <v>712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32</v>
      </c>
      <c r="K672" s="49" t="s">
        <v>76</v>
      </c>
      <c r="L672" s="49" t="s">
        <v>92</v>
      </c>
      <c r="M672" s="49" t="s">
        <v>84</v>
      </c>
      <c r="N672" s="49" t="s">
        <v>79</v>
      </c>
      <c r="O672" s="49" t="s">
        <v>37</v>
      </c>
      <c r="P672" s="11" t="s">
        <v>80</v>
      </c>
      <c r="Q672" s="11" t="s">
        <v>96</v>
      </c>
      <c r="R672" s="11" t="s">
        <v>632</v>
      </c>
      <c r="S672" s="11" t="s">
        <v>633</v>
      </c>
      <c r="T672" s="90" t="s">
        <v>7</v>
      </c>
      <c r="U672" s="90" t="s">
        <v>3004</v>
      </c>
      <c r="V672" s="51">
        <v>45894</v>
      </c>
      <c r="W672" s="49" t="s">
        <v>1610</v>
      </c>
    </row>
    <row r="673" spans="1:23" ht="13" customHeight="1" x14ac:dyDescent="0.35">
      <c r="A673" s="11">
        <v>668</v>
      </c>
      <c r="B673" s="47">
        <v>206926475</v>
      </c>
      <c r="C673" s="94" t="s">
        <v>2082</v>
      </c>
      <c r="D673" s="11" t="s">
        <v>2091</v>
      </c>
      <c r="E673" s="48" t="s">
        <v>31</v>
      </c>
      <c r="F673" s="48" t="s">
        <v>74</v>
      </c>
      <c r="G673" s="48" t="s">
        <v>64</v>
      </c>
      <c r="H673" s="48" t="s">
        <v>1365</v>
      </c>
      <c r="I673" s="11">
        <v>1299</v>
      </c>
      <c r="J673" s="49" t="s">
        <v>32</v>
      </c>
      <c r="K673" s="49" t="s">
        <v>76</v>
      </c>
      <c r="L673" s="49" t="s">
        <v>78</v>
      </c>
      <c r="M673" s="49" t="s">
        <v>92</v>
      </c>
      <c r="N673" s="49" t="s">
        <v>89</v>
      </c>
      <c r="O673" s="49" t="s">
        <v>37</v>
      </c>
      <c r="P673" s="49" t="s">
        <v>80</v>
      </c>
      <c r="Q673" s="49" t="s">
        <v>90</v>
      </c>
      <c r="R673" s="49" t="s">
        <v>2825</v>
      </c>
      <c r="S673" s="11" t="s">
        <v>643</v>
      </c>
      <c r="T673" s="90" t="s">
        <v>3</v>
      </c>
      <c r="U673" s="90"/>
      <c r="V673" s="51">
        <v>46037</v>
      </c>
      <c r="W673" s="49" t="s">
        <v>2095</v>
      </c>
    </row>
    <row r="674" spans="1:23" ht="13" customHeight="1" x14ac:dyDescent="0.35">
      <c r="A674" s="11">
        <v>669</v>
      </c>
      <c r="B674" s="47">
        <v>206128846</v>
      </c>
      <c r="C674" s="94" t="s">
        <v>713</v>
      </c>
      <c r="D674" s="11" t="s">
        <v>714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32</v>
      </c>
      <c r="K674" s="49" t="s">
        <v>76</v>
      </c>
      <c r="L674" s="49" t="s">
        <v>92</v>
      </c>
      <c r="M674" s="49" t="s">
        <v>84</v>
      </c>
      <c r="N674" s="49" t="s">
        <v>89</v>
      </c>
      <c r="O674" s="49" t="s">
        <v>37</v>
      </c>
      <c r="P674" s="11" t="s">
        <v>80</v>
      </c>
      <c r="Q674" s="11" t="s">
        <v>81</v>
      </c>
      <c r="R674" s="11" t="s">
        <v>640</v>
      </c>
      <c r="S674" s="11" t="s">
        <v>2824</v>
      </c>
      <c r="T674" s="90" t="s">
        <v>1</v>
      </c>
      <c r="U674" s="89"/>
      <c r="V674" s="51">
        <v>45929</v>
      </c>
      <c r="W674" s="49" t="s">
        <v>1610</v>
      </c>
    </row>
    <row r="675" spans="1:23" ht="13" customHeight="1" x14ac:dyDescent="0.35">
      <c r="A675" s="11">
        <v>670</v>
      </c>
      <c r="B675" s="47">
        <v>204013691</v>
      </c>
      <c r="C675" s="94" t="s">
        <v>715</v>
      </c>
      <c r="D675" s="11" t="s">
        <v>716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85</v>
      </c>
      <c r="M675" s="49" t="s">
        <v>88</v>
      </c>
      <c r="N675" s="48" t="s">
        <v>79</v>
      </c>
      <c r="O675" s="49" t="s">
        <v>37</v>
      </c>
      <c r="P675" s="11" t="s">
        <v>80</v>
      </c>
      <c r="Q675" s="11" t="s">
        <v>81</v>
      </c>
      <c r="R675" s="11" t="s">
        <v>632</v>
      </c>
      <c r="S675" s="11" t="s">
        <v>633</v>
      </c>
      <c r="T675" s="90" t="s">
        <v>7</v>
      </c>
      <c r="U675" s="90" t="s">
        <v>3004</v>
      </c>
      <c r="V675" s="51">
        <v>45551</v>
      </c>
      <c r="W675" s="49" t="s">
        <v>1610</v>
      </c>
    </row>
    <row r="676" spans="1:23" ht="13" customHeight="1" x14ac:dyDescent="0.35">
      <c r="A676" s="11">
        <v>671</v>
      </c>
      <c r="B676" s="97">
        <v>205848051</v>
      </c>
      <c r="C676" s="47" t="s">
        <v>2858</v>
      </c>
      <c r="D676" s="94" t="s">
        <v>2859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92</v>
      </c>
      <c r="M676" s="49" t="s">
        <v>84</v>
      </c>
      <c r="N676" s="49" t="s">
        <v>89</v>
      </c>
      <c r="O676" s="49" t="s">
        <v>37</v>
      </c>
      <c r="P676" s="11" t="s">
        <v>80</v>
      </c>
      <c r="Q676" s="11" t="s">
        <v>96</v>
      </c>
      <c r="R676" s="11" t="s">
        <v>648</v>
      </c>
      <c r="S676" s="11" t="s">
        <v>2845</v>
      </c>
      <c r="T676" s="90" t="s">
        <v>1</v>
      </c>
      <c r="U676" s="89"/>
      <c r="V676" s="51">
        <v>45894</v>
      </c>
      <c r="W676" s="49" t="s">
        <v>1610</v>
      </c>
    </row>
    <row r="677" spans="1:23" ht="13" customHeight="1" x14ac:dyDescent="0.35">
      <c r="A677" s="11">
        <v>672</v>
      </c>
      <c r="B677" s="47">
        <v>203908868</v>
      </c>
      <c r="C677" s="94" t="s">
        <v>717</v>
      </c>
      <c r="D677" s="11" t="s">
        <v>718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39</v>
      </c>
      <c r="K677" s="49" t="s">
        <v>76</v>
      </c>
      <c r="L677" s="49" t="s">
        <v>92</v>
      </c>
      <c r="M677" s="49" t="s">
        <v>84</v>
      </c>
      <c r="N677" s="48" t="s">
        <v>79</v>
      </c>
      <c r="O677" s="49" t="s">
        <v>37</v>
      </c>
      <c r="P677" s="11" t="s">
        <v>80</v>
      </c>
      <c r="Q677" s="11" t="s">
        <v>81</v>
      </c>
      <c r="R677" s="11" t="s">
        <v>632</v>
      </c>
      <c r="S677" s="11" t="s">
        <v>633</v>
      </c>
      <c r="T677" s="90" t="s">
        <v>1</v>
      </c>
      <c r="U677" s="90"/>
      <c r="V677" s="51">
        <v>45537</v>
      </c>
      <c r="W677" s="49" t="s">
        <v>1610</v>
      </c>
    </row>
    <row r="678" spans="1:23" ht="13" customHeight="1" x14ac:dyDescent="0.35">
      <c r="A678" s="11">
        <v>673</v>
      </c>
      <c r="B678" s="47">
        <v>206072090</v>
      </c>
      <c r="C678" s="94" t="s">
        <v>719</v>
      </c>
      <c r="D678" s="11" t="s">
        <v>720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32</v>
      </c>
      <c r="K678" s="49" t="s">
        <v>76</v>
      </c>
      <c r="L678" s="49" t="s">
        <v>95</v>
      </c>
      <c r="M678" s="49" t="s">
        <v>77</v>
      </c>
      <c r="N678" s="48" t="s">
        <v>79</v>
      </c>
      <c r="O678" s="49" t="s">
        <v>37</v>
      </c>
      <c r="P678" s="11" t="s">
        <v>80</v>
      </c>
      <c r="Q678" s="11" t="s">
        <v>81</v>
      </c>
      <c r="R678" s="49" t="s">
        <v>648</v>
      </c>
      <c r="S678" s="11" t="s">
        <v>1842</v>
      </c>
      <c r="T678" s="90" t="s">
        <v>10</v>
      </c>
      <c r="U678" s="90"/>
      <c r="V678" s="51">
        <v>45922</v>
      </c>
      <c r="W678" s="49" t="s">
        <v>1610</v>
      </c>
    </row>
    <row r="679" spans="1:23" ht="13" customHeight="1" x14ac:dyDescent="0.35">
      <c r="A679" s="11">
        <v>674</v>
      </c>
      <c r="B679" s="47">
        <v>203965180</v>
      </c>
      <c r="C679" s="94" t="s">
        <v>721</v>
      </c>
      <c r="D679" s="11" t="s">
        <v>722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39</v>
      </c>
      <c r="K679" s="49" t="s">
        <v>76</v>
      </c>
      <c r="L679" s="49" t="s">
        <v>85</v>
      </c>
      <c r="M679" s="49" t="s">
        <v>88</v>
      </c>
      <c r="N679" s="48" t="s">
        <v>79</v>
      </c>
      <c r="O679" s="49" t="s">
        <v>37</v>
      </c>
      <c r="P679" s="11" t="s">
        <v>80</v>
      </c>
      <c r="Q679" s="11" t="s">
        <v>81</v>
      </c>
      <c r="R679" s="11" t="s">
        <v>632</v>
      </c>
      <c r="S679" s="11" t="s">
        <v>633</v>
      </c>
      <c r="T679" s="90" t="s">
        <v>1</v>
      </c>
      <c r="U679" s="89"/>
      <c r="V679" s="51">
        <v>45544</v>
      </c>
      <c r="W679" s="49" t="s">
        <v>1610</v>
      </c>
    </row>
    <row r="680" spans="1:23" ht="13" customHeight="1" x14ac:dyDescent="0.35">
      <c r="A680" s="11">
        <v>675</v>
      </c>
      <c r="B680" s="47">
        <v>201161555</v>
      </c>
      <c r="C680" s="94" t="s">
        <v>723</v>
      </c>
      <c r="D680" s="11" t="s">
        <v>724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39</v>
      </c>
      <c r="K680" s="49" t="s">
        <v>76</v>
      </c>
      <c r="L680" s="49" t="s">
        <v>95</v>
      </c>
      <c r="M680" s="49" t="s">
        <v>77</v>
      </c>
      <c r="N680" s="48" t="s">
        <v>86</v>
      </c>
      <c r="O680" s="49" t="s">
        <v>37</v>
      </c>
      <c r="P680" s="11" t="s">
        <v>80</v>
      </c>
      <c r="Q680" s="11" t="s">
        <v>87</v>
      </c>
      <c r="R680" s="11" t="s">
        <v>632</v>
      </c>
      <c r="S680" s="11" t="s">
        <v>633</v>
      </c>
      <c r="T680" s="90" t="s">
        <v>10</v>
      </c>
      <c r="U680" s="89"/>
      <c r="V680" s="51">
        <v>45586</v>
      </c>
      <c r="W680" s="49" t="s">
        <v>1611</v>
      </c>
    </row>
    <row r="681" spans="1:23" ht="13" customHeight="1" x14ac:dyDescent="0.35">
      <c r="A681" s="11">
        <v>676</v>
      </c>
      <c r="B681" s="47">
        <v>204117188</v>
      </c>
      <c r="C681" s="94" t="s">
        <v>725</v>
      </c>
      <c r="D681" s="11" t="s">
        <v>726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39</v>
      </c>
      <c r="K681" s="49" t="s">
        <v>76</v>
      </c>
      <c r="L681" s="49" t="s">
        <v>85</v>
      </c>
      <c r="M681" s="49" t="s">
        <v>88</v>
      </c>
      <c r="N681" s="48" t="s">
        <v>86</v>
      </c>
      <c r="O681" s="49" t="s">
        <v>37</v>
      </c>
      <c r="P681" s="11" t="s">
        <v>80</v>
      </c>
      <c r="Q681" s="11" t="s">
        <v>87</v>
      </c>
      <c r="R681" s="49" t="s">
        <v>628</v>
      </c>
      <c r="S681" s="11" t="s">
        <v>629</v>
      </c>
      <c r="T681" s="90" t="s">
        <v>7</v>
      </c>
      <c r="U681" s="90" t="s">
        <v>3004</v>
      </c>
      <c r="V681" s="51">
        <v>45561</v>
      </c>
      <c r="W681" s="49" t="s">
        <v>1609</v>
      </c>
    </row>
    <row r="682" spans="1:23" ht="13" customHeight="1" x14ac:dyDescent="0.35">
      <c r="A682" s="11">
        <v>677</v>
      </c>
      <c r="B682" s="97">
        <v>204172234</v>
      </c>
      <c r="C682" s="47" t="s">
        <v>2860</v>
      </c>
      <c r="D682" s="94" t="s">
        <v>2861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39</v>
      </c>
      <c r="K682" s="49" t="s">
        <v>76</v>
      </c>
      <c r="L682" s="49" t="s">
        <v>88</v>
      </c>
      <c r="M682" s="49" t="s">
        <v>95</v>
      </c>
      <c r="N682" s="49" t="s">
        <v>89</v>
      </c>
      <c r="O682" s="49" t="s">
        <v>37</v>
      </c>
      <c r="P682" s="11" t="s">
        <v>80</v>
      </c>
      <c r="Q682" s="11" t="s">
        <v>90</v>
      </c>
      <c r="R682" s="11" t="s">
        <v>648</v>
      </c>
      <c r="S682" s="11" t="s">
        <v>2845</v>
      </c>
      <c r="T682" s="90" t="s">
        <v>1</v>
      </c>
      <c r="U682" s="89"/>
      <c r="V682" s="51">
        <v>45568</v>
      </c>
      <c r="W682" s="49" t="s">
        <v>1610</v>
      </c>
    </row>
    <row r="683" spans="1:23" ht="13" customHeight="1" x14ac:dyDescent="0.35">
      <c r="A683" s="11">
        <v>678</v>
      </c>
      <c r="B683" s="97">
        <v>204009916</v>
      </c>
      <c r="C683" s="47" t="s">
        <v>2862</v>
      </c>
      <c r="D683" s="94" t="s">
        <v>2863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32</v>
      </c>
      <c r="K683" s="49" t="s">
        <v>76</v>
      </c>
      <c r="L683" s="49" t="s">
        <v>92</v>
      </c>
      <c r="M683" s="49" t="s">
        <v>84</v>
      </c>
      <c r="N683" s="48" t="s">
        <v>86</v>
      </c>
      <c r="O683" s="49" t="s">
        <v>37</v>
      </c>
      <c r="P683" s="11" t="s">
        <v>80</v>
      </c>
      <c r="Q683" s="11" t="s">
        <v>90</v>
      </c>
      <c r="R683" s="11" t="s">
        <v>648</v>
      </c>
      <c r="S683" s="11" t="s">
        <v>2845</v>
      </c>
      <c r="T683" s="90" t="s">
        <v>1</v>
      </c>
      <c r="U683" s="90" t="s">
        <v>3003</v>
      </c>
      <c r="V683" s="51">
        <v>45551</v>
      </c>
      <c r="W683" s="49" t="s">
        <v>1610</v>
      </c>
    </row>
    <row r="684" spans="1:23" ht="13" customHeight="1" x14ac:dyDescent="0.35">
      <c r="A684" s="11">
        <v>679</v>
      </c>
      <c r="B684" s="97">
        <v>203908328</v>
      </c>
      <c r="C684" s="47" t="s">
        <v>2864</v>
      </c>
      <c r="D684" s="94" t="s">
        <v>2865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32</v>
      </c>
      <c r="K684" s="49" t="s">
        <v>76</v>
      </c>
      <c r="L684" s="49" t="s">
        <v>84</v>
      </c>
      <c r="M684" s="49" t="s">
        <v>85</v>
      </c>
      <c r="N684" s="49" t="s">
        <v>89</v>
      </c>
      <c r="O684" s="49" t="s">
        <v>37</v>
      </c>
      <c r="P684" s="11" t="s">
        <v>80</v>
      </c>
      <c r="Q684" s="11" t="s">
        <v>90</v>
      </c>
      <c r="R684" s="11" t="s">
        <v>2955</v>
      </c>
      <c r="S684" s="11" t="s">
        <v>2956</v>
      </c>
      <c r="T684" s="90" t="s">
        <v>1</v>
      </c>
      <c r="U684" s="89"/>
      <c r="V684" s="51">
        <v>45537</v>
      </c>
      <c r="W684" s="49" t="s">
        <v>1610</v>
      </c>
    </row>
    <row r="685" spans="1:23" ht="13" customHeight="1" x14ac:dyDescent="0.35">
      <c r="A685" s="11">
        <v>680</v>
      </c>
      <c r="B685" s="47">
        <v>203512948</v>
      </c>
      <c r="C685" s="94" t="s">
        <v>727</v>
      </c>
      <c r="D685" s="11" t="s">
        <v>728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39</v>
      </c>
      <c r="K685" s="49" t="s">
        <v>76</v>
      </c>
      <c r="L685" s="49" t="s">
        <v>88</v>
      </c>
      <c r="M685" s="49" t="s">
        <v>95</v>
      </c>
      <c r="N685" s="48" t="s">
        <v>79</v>
      </c>
      <c r="O685" s="49" t="s">
        <v>37</v>
      </c>
      <c r="P685" s="11" t="s">
        <v>80</v>
      </c>
      <c r="Q685" s="11" t="s">
        <v>81</v>
      </c>
      <c r="R685" s="11" t="s">
        <v>632</v>
      </c>
      <c r="S685" s="11" t="s">
        <v>633</v>
      </c>
      <c r="T685" s="90" t="s">
        <v>1</v>
      </c>
      <c r="U685" s="90"/>
      <c r="V685" s="51">
        <v>45463</v>
      </c>
      <c r="W685" s="49" t="s">
        <v>1610</v>
      </c>
    </row>
    <row r="686" spans="1:23" ht="13" customHeight="1" x14ac:dyDescent="0.35">
      <c r="A686" s="11">
        <v>681</v>
      </c>
      <c r="B686" s="47">
        <v>204137703</v>
      </c>
      <c r="C686" s="94" t="s">
        <v>729</v>
      </c>
      <c r="D686" s="11" t="s">
        <v>730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39</v>
      </c>
      <c r="K686" s="49" t="s">
        <v>76</v>
      </c>
      <c r="L686" s="49" t="s">
        <v>88</v>
      </c>
      <c r="M686" s="49" t="s">
        <v>95</v>
      </c>
      <c r="N686" s="48" t="s">
        <v>86</v>
      </c>
      <c r="O686" s="49" t="s">
        <v>37</v>
      </c>
      <c r="P686" s="11" t="s">
        <v>80</v>
      </c>
      <c r="Q686" s="11" t="s">
        <v>87</v>
      </c>
      <c r="R686" s="11" t="s">
        <v>632</v>
      </c>
      <c r="S686" s="11" t="s">
        <v>633</v>
      </c>
      <c r="T686" s="90" t="s">
        <v>1</v>
      </c>
      <c r="U686" s="90"/>
      <c r="V686" s="51">
        <v>45565</v>
      </c>
      <c r="W686" s="49" t="s">
        <v>1610</v>
      </c>
    </row>
    <row r="687" spans="1:23" ht="13" customHeight="1" x14ac:dyDescent="0.35">
      <c r="A687" s="11">
        <v>682</v>
      </c>
      <c r="B687" s="47">
        <v>204299063</v>
      </c>
      <c r="C687" s="94" t="s">
        <v>731</v>
      </c>
      <c r="D687" s="11" t="s">
        <v>732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39</v>
      </c>
      <c r="K687" s="49" t="s">
        <v>76</v>
      </c>
      <c r="L687" s="49" t="s">
        <v>77</v>
      </c>
      <c r="M687" s="49" t="s">
        <v>78</v>
      </c>
      <c r="N687" s="48" t="s">
        <v>86</v>
      </c>
      <c r="O687" s="49" t="s">
        <v>37</v>
      </c>
      <c r="P687" s="11" t="s">
        <v>80</v>
      </c>
      <c r="Q687" s="11" t="s">
        <v>87</v>
      </c>
      <c r="R687" s="11" t="s">
        <v>632</v>
      </c>
      <c r="S687" s="11" t="s">
        <v>633</v>
      </c>
      <c r="T687" s="90" t="s">
        <v>10</v>
      </c>
      <c r="U687" s="90"/>
      <c r="V687" s="51">
        <v>45586</v>
      </c>
      <c r="W687" s="49" t="s">
        <v>1611</v>
      </c>
    </row>
    <row r="688" spans="1:23" ht="13" customHeight="1" x14ac:dyDescent="0.35">
      <c r="A688" s="11">
        <v>683</v>
      </c>
      <c r="B688" s="47">
        <v>206239521</v>
      </c>
      <c r="C688" s="94" t="s">
        <v>2484</v>
      </c>
      <c r="D688" s="11" t="s">
        <v>2485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39</v>
      </c>
      <c r="K688" s="49" t="s">
        <v>76</v>
      </c>
      <c r="L688" s="49" t="s">
        <v>84</v>
      </c>
      <c r="M688" s="49" t="s">
        <v>85</v>
      </c>
      <c r="N688" s="49" t="s">
        <v>89</v>
      </c>
      <c r="O688" s="49" t="s">
        <v>37</v>
      </c>
      <c r="P688" s="11" t="s">
        <v>80</v>
      </c>
      <c r="Q688" s="11" t="s">
        <v>90</v>
      </c>
      <c r="R688" s="11" t="s">
        <v>632</v>
      </c>
      <c r="S688" s="11" t="s">
        <v>633</v>
      </c>
      <c r="T688" s="90" t="s">
        <v>1</v>
      </c>
      <c r="U688" s="91"/>
      <c r="V688" s="51">
        <v>45943</v>
      </c>
      <c r="W688" s="49" t="s">
        <v>1611</v>
      </c>
    </row>
    <row r="689" spans="1:23" ht="13" customHeight="1" x14ac:dyDescent="0.35">
      <c r="A689" s="11">
        <v>684</v>
      </c>
      <c r="B689" s="47">
        <v>206239750</v>
      </c>
      <c r="C689" s="94" t="s">
        <v>1679</v>
      </c>
      <c r="D689" s="11" t="s">
        <v>1674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88</v>
      </c>
      <c r="M689" s="49" t="s">
        <v>95</v>
      </c>
      <c r="N689" s="49" t="s">
        <v>89</v>
      </c>
      <c r="O689" s="49" t="s">
        <v>37</v>
      </c>
      <c r="P689" s="11" t="s">
        <v>80</v>
      </c>
      <c r="Q689" s="11" t="s">
        <v>90</v>
      </c>
      <c r="R689" s="11" t="s">
        <v>632</v>
      </c>
      <c r="S689" s="11" t="s">
        <v>633</v>
      </c>
      <c r="T689" s="90" t="s">
        <v>1</v>
      </c>
      <c r="U689" s="90"/>
      <c r="V689" s="51">
        <v>45943</v>
      </c>
      <c r="W689" s="49" t="s">
        <v>1611</v>
      </c>
    </row>
    <row r="690" spans="1:23" ht="13" customHeight="1" x14ac:dyDescent="0.35">
      <c r="A690" s="11">
        <v>685</v>
      </c>
      <c r="B690" s="47">
        <v>206897556</v>
      </c>
      <c r="C690" s="94" t="s">
        <v>1955</v>
      </c>
      <c r="D690" s="11" t="s">
        <v>1956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1290</v>
      </c>
      <c r="J690" s="49" t="s">
        <v>39</v>
      </c>
      <c r="K690" s="49" t="s">
        <v>76</v>
      </c>
      <c r="L690" s="49" t="s">
        <v>77</v>
      </c>
      <c r="M690" s="49" t="s">
        <v>78</v>
      </c>
      <c r="N690" s="49" t="s">
        <v>89</v>
      </c>
      <c r="O690" s="48" t="s">
        <v>37</v>
      </c>
      <c r="P690" s="48" t="s">
        <v>80</v>
      </c>
      <c r="Q690" s="11" t="s">
        <v>81</v>
      </c>
      <c r="R690" s="11" t="s">
        <v>1087</v>
      </c>
      <c r="S690" s="11" t="s">
        <v>2823</v>
      </c>
      <c r="T690" s="90" t="s">
        <v>10</v>
      </c>
      <c r="U690" s="89"/>
      <c r="V690" s="51">
        <v>46030</v>
      </c>
      <c r="W690" s="49" t="s">
        <v>1610</v>
      </c>
    </row>
    <row r="691" spans="1:23" ht="13" customHeight="1" x14ac:dyDescent="0.35">
      <c r="A691" s="11">
        <v>686</v>
      </c>
      <c r="B691" s="47">
        <v>203513810</v>
      </c>
      <c r="C691" s="94" t="s">
        <v>733</v>
      </c>
      <c r="D691" s="11" t="s">
        <v>734</v>
      </c>
      <c r="E691" s="48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32</v>
      </c>
      <c r="K691" s="49" t="s">
        <v>76</v>
      </c>
      <c r="L691" s="49" t="s">
        <v>85</v>
      </c>
      <c r="M691" s="49" t="s">
        <v>88</v>
      </c>
      <c r="N691" s="48" t="s">
        <v>79</v>
      </c>
      <c r="O691" s="49" t="s">
        <v>37</v>
      </c>
      <c r="P691" s="11" t="s">
        <v>80</v>
      </c>
      <c r="Q691" s="11" t="s">
        <v>81</v>
      </c>
      <c r="R691" s="49" t="s">
        <v>2825</v>
      </c>
      <c r="S691" s="11" t="s">
        <v>643</v>
      </c>
      <c r="T691" s="90" t="s">
        <v>1</v>
      </c>
      <c r="U691" s="90"/>
      <c r="V691" s="51">
        <v>45463</v>
      </c>
      <c r="W691" s="49" t="s">
        <v>1610</v>
      </c>
    </row>
    <row r="692" spans="1:23" ht="13" customHeight="1" x14ac:dyDescent="0.35">
      <c r="A692" s="11">
        <v>687</v>
      </c>
      <c r="B692" s="47">
        <v>206491327</v>
      </c>
      <c r="C692" s="94" t="s">
        <v>2227</v>
      </c>
      <c r="D692" s="11" t="s">
        <v>2228</v>
      </c>
      <c r="E692" s="113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88" t="s">
        <v>39</v>
      </c>
      <c r="K692" s="49" t="s">
        <v>76</v>
      </c>
      <c r="L692" s="49" t="s">
        <v>78</v>
      </c>
      <c r="M692" s="49" t="s">
        <v>92</v>
      </c>
      <c r="N692" s="49" t="s">
        <v>89</v>
      </c>
      <c r="O692" s="49" t="s">
        <v>37</v>
      </c>
      <c r="P692" s="49" t="s">
        <v>80</v>
      </c>
      <c r="Q692" s="49" t="s">
        <v>96</v>
      </c>
      <c r="R692" s="49" t="s">
        <v>648</v>
      </c>
      <c r="S692" s="49" t="s">
        <v>1842</v>
      </c>
      <c r="T692" s="90" t="s">
        <v>7</v>
      </c>
      <c r="U692" s="90" t="s">
        <v>3004</v>
      </c>
      <c r="V692" s="51">
        <v>46048</v>
      </c>
      <c r="W692" s="49" t="s">
        <v>1610</v>
      </c>
    </row>
    <row r="693" spans="1:23" ht="13" customHeight="1" x14ac:dyDescent="0.35">
      <c r="A693" s="11">
        <v>688</v>
      </c>
      <c r="B693" s="47">
        <v>203512670</v>
      </c>
      <c r="C693" s="94" t="s">
        <v>735</v>
      </c>
      <c r="D693" s="11" t="s">
        <v>736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77</v>
      </c>
      <c r="M693" s="49" t="s">
        <v>78</v>
      </c>
      <c r="N693" s="48" t="s">
        <v>79</v>
      </c>
      <c r="O693" s="49" t="s">
        <v>37</v>
      </c>
      <c r="P693" s="11" t="s">
        <v>80</v>
      </c>
      <c r="Q693" s="11" t="s">
        <v>81</v>
      </c>
      <c r="R693" s="11" t="s">
        <v>632</v>
      </c>
      <c r="S693" s="11" t="s">
        <v>633</v>
      </c>
      <c r="T693" s="90" t="s">
        <v>10</v>
      </c>
      <c r="U693" s="90"/>
      <c r="V693" s="51">
        <v>45463</v>
      </c>
      <c r="W693" s="49" t="s">
        <v>1612</v>
      </c>
    </row>
    <row r="694" spans="1:23" ht="13" customHeight="1" x14ac:dyDescent="0.35">
      <c r="A694" s="11">
        <v>689</v>
      </c>
      <c r="B694" s="47">
        <v>203512667</v>
      </c>
      <c r="C694" s="94" t="s">
        <v>737</v>
      </c>
      <c r="D694" s="11" t="s">
        <v>738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39</v>
      </c>
      <c r="K694" s="49" t="s">
        <v>76</v>
      </c>
      <c r="L694" s="49" t="s">
        <v>77</v>
      </c>
      <c r="M694" s="49" t="s">
        <v>78</v>
      </c>
      <c r="N694" s="48" t="s">
        <v>79</v>
      </c>
      <c r="O694" s="49" t="s">
        <v>37</v>
      </c>
      <c r="P694" s="11" t="s">
        <v>80</v>
      </c>
      <c r="Q694" s="11" t="s">
        <v>81</v>
      </c>
      <c r="R694" s="11" t="s">
        <v>632</v>
      </c>
      <c r="S694" s="11" t="s">
        <v>633</v>
      </c>
      <c r="T694" s="90" t="s">
        <v>10</v>
      </c>
      <c r="U694" s="90"/>
      <c r="V694" s="51">
        <v>45463</v>
      </c>
      <c r="W694" s="49" t="s">
        <v>1611</v>
      </c>
    </row>
    <row r="695" spans="1:23" ht="13" customHeight="1" x14ac:dyDescent="0.35">
      <c r="A695" s="11">
        <v>690</v>
      </c>
      <c r="B695" s="47">
        <v>206890213</v>
      </c>
      <c r="C695" s="94" t="s">
        <v>1887</v>
      </c>
      <c r="D695" s="11" t="s">
        <v>1888</v>
      </c>
      <c r="E695" s="11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32</v>
      </c>
      <c r="K695" s="49" t="s">
        <v>76</v>
      </c>
      <c r="L695" s="49" t="s">
        <v>88</v>
      </c>
      <c r="M695" s="49" t="s">
        <v>95</v>
      </c>
      <c r="N695" s="49" t="s">
        <v>89</v>
      </c>
      <c r="O695" s="49" t="s">
        <v>37</v>
      </c>
      <c r="P695" s="11" t="s">
        <v>80</v>
      </c>
      <c r="Q695" s="11" t="s">
        <v>96</v>
      </c>
      <c r="R695" s="11" t="s">
        <v>2955</v>
      </c>
      <c r="S695" s="11" t="s">
        <v>2956</v>
      </c>
      <c r="T695" s="90" t="s">
        <v>1</v>
      </c>
      <c r="U695" s="90"/>
      <c r="V695" s="51">
        <v>46027</v>
      </c>
      <c r="W695" s="49" t="s">
        <v>1610</v>
      </c>
    </row>
    <row r="696" spans="1:23" ht="13" customHeight="1" x14ac:dyDescent="0.35">
      <c r="A696" s="11">
        <v>691</v>
      </c>
      <c r="B696" s="47">
        <v>205280684</v>
      </c>
      <c r="C696" s="94" t="s">
        <v>2225</v>
      </c>
      <c r="D696" s="11" t="s">
        <v>2226</v>
      </c>
      <c r="E696" s="113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88" t="s">
        <v>39</v>
      </c>
      <c r="K696" s="49" t="s">
        <v>76</v>
      </c>
      <c r="L696" s="49" t="s">
        <v>92</v>
      </c>
      <c r="M696" s="49" t="s">
        <v>84</v>
      </c>
      <c r="N696" s="49" t="s">
        <v>89</v>
      </c>
      <c r="O696" s="49" t="s">
        <v>37</v>
      </c>
      <c r="P696" s="49" t="s">
        <v>80</v>
      </c>
      <c r="Q696" s="49" t="s">
        <v>96</v>
      </c>
      <c r="R696" s="49" t="s">
        <v>648</v>
      </c>
      <c r="S696" s="49" t="s">
        <v>1842</v>
      </c>
      <c r="T696" s="90" t="s">
        <v>1</v>
      </c>
      <c r="U696" s="89"/>
      <c r="V696" s="51">
        <v>46048</v>
      </c>
      <c r="W696" s="49" t="s">
        <v>1610</v>
      </c>
    </row>
    <row r="697" spans="1:23" ht="13" customHeight="1" x14ac:dyDescent="0.35">
      <c r="A697" s="11">
        <v>692</v>
      </c>
      <c r="B697" s="97">
        <v>204172222</v>
      </c>
      <c r="C697" s="47" t="s">
        <v>2866</v>
      </c>
      <c r="D697" s="94" t="s">
        <v>2867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32</v>
      </c>
      <c r="K697" s="49" t="s">
        <v>76</v>
      </c>
      <c r="L697" s="49" t="s">
        <v>77</v>
      </c>
      <c r="M697" s="49" t="s">
        <v>78</v>
      </c>
      <c r="N697" s="48" t="s">
        <v>86</v>
      </c>
      <c r="O697" s="49" t="s">
        <v>37</v>
      </c>
      <c r="P697" s="11" t="s">
        <v>80</v>
      </c>
      <c r="Q697" s="11" t="s">
        <v>90</v>
      </c>
      <c r="R697" s="11" t="s">
        <v>2955</v>
      </c>
      <c r="S697" s="11" t="s">
        <v>2956</v>
      </c>
      <c r="T697" s="90" t="s">
        <v>10</v>
      </c>
      <c r="U697" s="89"/>
      <c r="V697" s="51">
        <v>45568</v>
      </c>
      <c r="W697" s="49" t="s">
        <v>1610</v>
      </c>
    </row>
    <row r="698" spans="1:23" ht="13" customHeight="1" x14ac:dyDescent="0.35">
      <c r="A698" s="11">
        <v>693</v>
      </c>
      <c r="B698" s="47">
        <v>206914994</v>
      </c>
      <c r="C698" s="94" t="s">
        <v>2486</v>
      </c>
      <c r="D698" s="11" t="s">
        <v>2487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32</v>
      </c>
      <c r="K698" s="49" t="s">
        <v>76</v>
      </c>
      <c r="L698" s="49" t="s">
        <v>95</v>
      </c>
      <c r="M698" s="49" t="s">
        <v>77</v>
      </c>
      <c r="N698" s="49" t="s">
        <v>89</v>
      </c>
      <c r="O698" s="49" t="s">
        <v>37</v>
      </c>
      <c r="P698" s="11" t="s">
        <v>80</v>
      </c>
      <c r="Q698" s="11" t="s">
        <v>90</v>
      </c>
      <c r="R698" s="11" t="s">
        <v>2954</v>
      </c>
      <c r="S698" s="11" t="s">
        <v>2822</v>
      </c>
      <c r="T698" s="90" t="s">
        <v>10</v>
      </c>
      <c r="U698" s="89"/>
      <c r="V698" s="51">
        <v>46034</v>
      </c>
      <c r="W698" s="49" t="s">
        <v>1610</v>
      </c>
    </row>
    <row r="699" spans="1:23" ht="13" customHeight="1" x14ac:dyDescent="0.35">
      <c r="A699" s="11">
        <v>694</v>
      </c>
      <c r="B699" s="47">
        <v>206238897</v>
      </c>
      <c r="C699" s="94" t="s">
        <v>1688</v>
      </c>
      <c r="D699" s="11" t="s">
        <v>1661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32</v>
      </c>
      <c r="K699" s="49" t="s">
        <v>76</v>
      </c>
      <c r="L699" s="49" t="s">
        <v>78</v>
      </c>
      <c r="M699" s="49" t="s">
        <v>92</v>
      </c>
      <c r="N699" s="49" t="s">
        <v>89</v>
      </c>
      <c r="O699" s="49" t="s">
        <v>37</v>
      </c>
      <c r="P699" s="11" t="s">
        <v>80</v>
      </c>
      <c r="Q699" s="11" t="s">
        <v>81</v>
      </c>
      <c r="R699" s="49" t="s">
        <v>2825</v>
      </c>
      <c r="S699" s="11" t="s">
        <v>643</v>
      </c>
      <c r="T699" s="90" t="s">
        <v>1</v>
      </c>
      <c r="U699" s="89"/>
      <c r="V699" s="51">
        <v>45943</v>
      </c>
      <c r="W699" s="49" t="s">
        <v>1610</v>
      </c>
    </row>
    <row r="700" spans="1:23" ht="13" customHeight="1" x14ac:dyDescent="0.35">
      <c r="A700" s="11">
        <v>695</v>
      </c>
      <c r="B700" s="47">
        <v>203342654</v>
      </c>
      <c r="C700" s="94" t="s">
        <v>739</v>
      </c>
      <c r="D700" s="11" t="s">
        <v>740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32</v>
      </c>
      <c r="K700" s="49" t="s">
        <v>76</v>
      </c>
      <c r="L700" s="49" t="s">
        <v>77</v>
      </c>
      <c r="M700" s="49" t="s">
        <v>78</v>
      </c>
      <c r="N700" s="48" t="s">
        <v>86</v>
      </c>
      <c r="O700" s="49" t="s">
        <v>37</v>
      </c>
      <c r="P700" s="11" t="s">
        <v>80</v>
      </c>
      <c r="Q700" s="11" t="s">
        <v>99</v>
      </c>
      <c r="R700" s="49" t="s">
        <v>648</v>
      </c>
      <c r="S700" s="11" t="s">
        <v>1842</v>
      </c>
      <c r="T700" s="90" t="s">
        <v>10</v>
      </c>
      <c r="U700" s="89"/>
      <c r="V700" s="51">
        <v>45432</v>
      </c>
      <c r="W700" s="49" t="s">
        <v>1611</v>
      </c>
    </row>
    <row r="701" spans="1:23" ht="13" customHeight="1" x14ac:dyDescent="0.35">
      <c r="A701" s="11">
        <v>696</v>
      </c>
      <c r="B701" s="47">
        <v>205848042</v>
      </c>
      <c r="C701" s="94" t="s">
        <v>741</v>
      </c>
      <c r="D701" s="11" t="s">
        <v>742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32</v>
      </c>
      <c r="K701" s="49" t="s">
        <v>76</v>
      </c>
      <c r="L701" s="49" t="s">
        <v>77</v>
      </c>
      <c r="M701" s="49" t="s">
        <v>78</v>
      </c>
      <c r="N701" s="49" t="s">
        <v>79</v>
      </c>
      <c r="O701" s="49" t="s">
        <v>37</v>
      </c>
      <c r="P701" s="11" t="s">
        <v>80</v>
      </c>
      <c r="Q701" s="11" t="s">
        <v>96</v>
      </c>
      <c r="R701" s="49" t="s">
        <v>648</v>
      </c>
      <c r="S701" s="11" t="s">
        <v>1842</v>
      </c>
      <c r="T701" s="90" t="s">
        <v>10</v>
      </c>
      <c r="U701" s="89"/>
      <c r="V701" s="51">
        <v>45894</v>
      </c>
      <c r="W701" s="49" t="s">
        <v>1610</v>
      </c>
    </row>
    <row r="702" spans="1:23" ht="13" customHeight="1" x14ac:dyDescent="0.35">
      <c r="A702" s="11">
        <v>697</v>
      </c>
      <c r="B702" s="47">
        <v>206128580</v>
      </c>
      <c r="C702" s="94" t="s">
        <v>743</v>
      </c>
      <c r="D702" s="11" t="s">
        <v>744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84</v>
      </c>
      <c r="M702" s="49" t="s">
        <v>85</v>
      </c>
      <c r="N702" s="49" t="s">
        <v>89</v>
      </c>
      <c r="O702" s="49" t="s">
        <v>37</v>
      </c>
      <c r="P702" s="11" t="s">
        <v>80</v>
      </c>
      <c r="Q702" s="11" t="s">
        <v>96</v>
      </c>
      <c r="R702" s="11" t="s">
        <v>1087</v>
      </c>
      <c r="S702" s="11" t="s">
        <v>2823</v>
      </c>
      <c r="T702" s="90" t="s">
        <v>1</v>
      </c>
      <c r="U702" s="89"/>
      <c r="V702" s="51">
        <v>45929</v>
      </c>
      <c r="W702" s="49" t="s">
        <v>1609</v>
      </c>
    </row>
    <row r="703" spans="1:23" ht="13" customHeight="1" x14ac:dyDescent="0.35">
      <c r="A703" s="11">
        <v>698</v>
      </c>
      <c r="B703" s="47">
        <v>206239212</v>
      </c>
      <c r="C703" s="94" t="s">
        <v>1689</v>
      </c>
      <c r="D703" s="11" t="s">
        <v>1664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77</v>
      </c>
      <c r="M703" s="49" t="s">
        <v>78</v>
      </c>
      <c r="N703" s="48" t="s">
        <v>79</v>
      </c>
      <c r="O703" s="49" t="s">
        <v>37</v>
      </c>
      <c r="P703" s="11" t="s">
        <v>80</v>
      </c>
      <c r="Q703" s="11" t="s">
        <v>81</v>
      </c>
      <c r="R703" s="11" t="s">
        <v>1087</v>
      </c>
      <c r="S703" s="11" t="s">
        <v>2823</v>
      </c>
      <c r="T703" s="90" t="s">
        <v>10</v>
      </c>
      <c r="U703" s="90"/>
      <c r="V703" s="51">
        <v>45943</v>
      </c>
      <c r="W703" s="49" t="s">
        <v>1610</v>
      </c>
    </row>
    <row r="704" spans="1:23" ht="13" customHeight="1" x14ac:dyDescent="0.35">
      <c r="A704" s="11">
        <v>699</v>
      </c>
      <c r="B704" s="47">
        <v>206191969</v>
      </c>
      <c r="C704" s="94" t="s">
        <v>1646</v>
      </c>
      <c r="D704" s="11" t="s">
        <v>1637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39</v>
      </c>
      <c r="K704" s="49" t="s">
        <v>76</v>
      </c>
      <c r="L704" s="49" t="s">
        <v>85</v>
      </c>
      <c r="M704" s="49" t="s">
        <v>88</v>
      </c>
      <c r="N704" s="49" t="s">
        <v>89</v>
      </c>
      <c r="O704" s="49" t="s">
        <v>37</v>
      </c>
      <c r="P704" s="11" t="s">
        <v>80</v>
      </c>
      <c r="Q704" s="11" t="s">
        <v>96</v>
      </c>
      <c r="R704" s="11" t="s">
        <v>632</v>
      </c>
      <c r="S704" s="11" t="s">
        <v>633</v>
      </c>
      <c r="T704" s="90" t="s">
        <v>1</v>
      </c>
      <c r="U704" s="90"/>
      <c r="V704" s="51">
        <v>45936</v>
      </c>
      <c r="W704" s="49" t="s">
        <v>1610</v>
      </c>
    </row>
    <row r="705" spans="1:23" ht="13" customHeight="1" x14ac:dyDescent="0.35">
      <c r="A705" s="11">
        <v>700</v>
      </c>
      <c r="B705" s="47">
        <v>108196835</v>
      </c>
      <c r="C705" s="94" t="s">
        <v>745</v>
      </c>
      <c r="D705" s="11" t="s">
        <v>746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39</v>
      </c>
      <c r="K705" s="49" t="s">
        <v>76</v>
      </c>
      <c r="L705" s="49" t="s">
        <v>78</v>
      </c>
      <c r="M705" s="49" t="s">
        <v>92</v>
      </c>
      <c r="N705" s="48" t="s">
        <v>86</v>
      </c>
      <c r="O705" s="49" t="s">
        <v>37</v>
      </c>
      <c r="P705" s="11" t="s">
        <v>80</v>
      </c>
      <c r="Q705" s="11" t="s">
        <v>87</v>
      </c>
      <c r="R705" s="49" t="s">
        <v>628</v>
      </c>
      <c r="S705" s="11" t="s">
        <v>629</v>
      </c>
      <c r="T705" s="90" t="s">
        <v>1</v>
      </c>
      <c r="U705" s="90"/>
      <c r="V705" s="51">
        <v>45589</v>
      </c>
      <c r="W705" s="49" t="s">
        <v>1609</v>
      </c>
    </row>
    <row r="706" spans="1:23" ht="13" customHeight="1" x14ac:dyDescent="0.35">
      <c r="A706" s="11">
        <v>701</v>
      </c>
      <c r="B706" s="47">
        <v>206136720</v>
      </c>
      <c r="C706" s="94" t="s">
        <v>747</v>
      </c>
      <c r="D706" s="11" t="s">
        <v>748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49" t="s">
        <v>39</v>
      </c>
      <c r="K706" s="49" t="s">
        <v>76</v>
      </c>
      <c r="L706" s="49" t="s">
        <v>92</v>
      </c>
      <c r="M706" s="49" t="s">
        <v>84</v>
      </c>
      <c r="N706" s="48" t="s">
        <v>79</v>
      </c>
      <c r="O706" s="49" t="s">
        <v>37</v>
      </c>
      <c r="P706" s="11" t="s">
        <v>80</v>
      </c>
      <c r="Q706" s="11" t="s">
        <v>81</v>
      </c>
      <c r="R706" s="11" t="s">
        <v>632</v>
      </c>
      <c r="S706" s="11" t="s">
        <v>633</v>
      </c>
      <c r="T706" s="90" t="s">
        <v>7</v>
      </c>
      <c r="U706" s="90" t="s">
        <v>3004</v>
      </c>
      <c r="V706" s="51">
        <v>45929</v>
      </c>
      <c r="W706" s="49" t="s">
        <v>1610</v>
      </c>
    </row>
    <row r="707" spans="1:23" ht="13" customHeight="1" x14ac:dyDescent="0.35">
      <c r="A707" s="11">
        <v>702</v>
      </c>
      <c r="B707" s="47">
        <v>203342034</v>
      </c>
      <c r="C707" s="94" t="s">
        <v>749</v>
      </c>
      <c r="D707" s="11" t="s">
        <v>750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32</v>
      </c>
      <c r="K707" s="49" t="s">
        <v>76</v>
      </c>
      <c r="L707" s="49" t="s">
        <v>77</v>
      </c>
      <c r="M707" s="49" t="s">
        <v>78</v>
      </c>
      <c r="N707" s="48" t="s">
        <v>86</v>
      </c>
      <c r="O707" s="49" t="s">
        <v>37</v>
      </c>
      <c r="P707" s="11" t="s">
        <v>80</v>
      </c>
      <c r="Q707" s="11" t="s">
        <v>99</v>
      </c>
      <c r="R707" s="11" t="s">
        <v>2955</v>
      </c>
      <c r="S707" s="11" t="s">
        <v>2956</v>
      </c>
      <c r="T707" s="90" t="s">
        <v>10</v>
      </c>
      <c r="U707" s="90"/>
      <c r="V707" s="51">
        <v>45432</v>
      </c>
      <c r="W707" s="49" t="s">
        <v>1610</v>
      </c>
    </row>
    <row r="708" spans="1:23" ht="13" customHeight="1" x14ac:dyDescent="0.35">
      <c r="A708" s="11">
        <v>703</v>
      </c>
      <c r="B708" s="47">
        <v>206491325</v>
      </c>
      <c r="C708" s="94" t="s">
        <v>2239</v>
      </c>
      <c r="D708" s="11" t="s">
        <v>2240</v>
      </c>
      <c r="E708" s="113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32</v>
      </c>
      <c r="K708" s="49" t="s">
        <v>76</v>
      </c>
      <c r="L708" s="49" t="s">
        <v>92</v>
      </c>
      <c r="M708" s="49" t="s">
        <v>84</v>
      </c>
      <c r="N708" s="49" t="s">
        <v>89</v>
      </c>
      <c r="O708" s="49" t="s">
        <v>37</v>
      </c>
      <c r="P708" s="49" t="s">
        <v>80</v>
      </c>
      <c r="Q708" s="49" t="s">
        <v>96</v>
      </c>
      <c r="R708" s="11" t="s">
        <v>632</v>
      </c>
      <c r="S708" s="49" t="s">
        <v>633</v>
      </c>
      <c r="T708" s="90" t="s">
        <v>1</v>
      </c>
      <c r="U708" s="89"/>
      <c r="V708" s="51">
        <v>46048</v>
      </c>
      <c r="W708" s="49" t="s">
        <v>1610</v>
      </c>
    </row>
    <row r="709" spans="1:23" ht="13" customHeight="1" x14ac:dyDescent="0.35">
      <c r="A709" s="11">
        <v>704</v>
      </c>
      <c r="B709" s="47">
        <v>205848048</v>
      </c>
      <c r="C709" s="94" t="s">
        <v>751</v>
      </c>
      <c r="D709" s="11" t="s">
        <v>752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32</v>
      </c>
      <c r="K709" s="49" t="s">
        <v>76</v>
      </c>
      <c r="L709" s="49" t="s">
        <v>84</v>
      </c>
      <c r="M709" s="49" t="s">
        <v>85</v>
      </c>
      <c r="N709" s="49" t="s">
        <v>89</v>
      </c>
      <c r="O709" s="49" t="s">
        <v>37</v>
      </c>
      <c r="P709" s="11" t="s">
        <v>80</v>
      </c>
      <c r="Q709" s="11" t="s">
        <v>96</v>
      </c>
      <c r="R709" s="11" t="s">
        <v>1087</v>
      </c>
      <c r="S709" s="11" t="s">
        <v>2823</v>
      </c>
      <c r="T709" s="90" t="s">
        <v>1</v>
      </c>
      <c r="U709" s="89"/>
      <c r="V709" s="51">
        <v>45894</v>
      </c>
      <c r="W709" s="49" t="s">
        <v>1610</v>
      </c>
    </row>
    <row r="710" spans="1:23" ht="13" customHeight="1" x14ac:dyDescent="0.35">
      <c r="A710" s="11">
        <v>705</v>
      </c>
      <c r="B710" s="47">
        <v>205854276</v>
      </c>
      <c r="C710" s="94" t="s">
        <v>753</v>
      </c>
      <c r="D710" s="11" t="s">
        <v>754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32</v>
      </c>
      <c r="K710" s="49" t="s">
        <v>76</v>
      </c>
      <c r="L710" s="49" t="s">
        <v>85</v>
      </c>
      <c r="M710" s="49" t="s">
        <v>88</v>
      </c>
      <c r="N710" s="49" t="s">
        <v>89</v>
      </c>
      <c r="O710" s="49" t="s">
        <v>37</v>
      </c>
      <c r="P710" s="11" t="s">
        <v>80</v>
      </c>
      <c r="Q710" s="11" t="s">
        <v>96</v>
      </c>
      <c r="R710" s="11" t="s">
        <v>1087</v>
      </c>
      <c r="S710" s="11" t="s">
        <v>2823</v>
      </c>
      <c r="T710" s="90" t="s">
        <v>7</v>
      </c>
      <c r="U710" s="90" t="s">
        <v>3004</v>
      </c>
      <c r="V710" s="51">
        <v>45894</v>
      </c>
      <c r="W710" s="49" t="s">
        <v>1610</v>
      </c>
    </row>
    <row r="711" spans="1:23" ht="13" customHeight="1" x14ac:dyDescent="0.35">
      <c r="A711" s="11">
        <v>706</v>
      </c>
      <c r="B711" s="47">
        <v>203512665</v>
      </c>
      <c r="C711" s="94" t="s">
        <v>755</v>
      </c>
      <c r="D711" s="11" t="s">
        <v>756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32</v>
      </c>
      <c r="K711" s="49" t="s">
        <v>76</v>
      </c>
      <c r="L711" s="49" t="s">
        <v>88</v>
      </c>
      <c r="M711" s="49" t="s">
        <v>95</v>
      </c>
      <c r="N711" s="48" t="s">
        <v>79</v>
      </c>
      <c r="O711" s="49" t="s">
        <v>37</v>
      </c>
      <c r="P711" s="11" t="s">
        <v>80</v>
      </c>
      <c r="Q711" s="11" t="s">
        <v>81</v>
      </c>
      <c r="R711" s="49" t="s">
        <v>648</v>
      </c>
      <c r="S711" s="11" t="s">
        <v>1842</v>
      </c>
      <c r="T711" s="90" t="s">
        <v>1</v>
      </c>
      <c r="U711" s="89"/>
      <c r="V711" s="51">
        <v>45463</v>
      </c>
      <c r="W711" s="49" t="s">
        <v>1611</v>
      </c>
    </row>
    <row r="712" spans="1:23" ht="13" customHeight="1" x14ac:dyDescent="0.35">
      <c r="A712" s="11">
        <v>707</v>
      </c>
      <c r="B712" s="47">
        <v>203965413</v>
      </c>
      <c r="C712" s="94" t="s">
        <v>757</v>
      </c>
      <c r="D712" s="11" t="s">
        <v>758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32</v>
      </c>
      <c r="K712" s="49" t="s">
        <v>76</v>
      </c>
      <c r="L712" s="49" t="s">
        <v>95</v>
      </c>
      <c r="M712" s="49" t="s">
        <v>77</v>
      </c>
      <c r="N712" s="48" t="s">
        <v>79</v>
      </c>
      <c r="O712" s="49" t="s">
        <v>37</v>
      </c>
      <c r="P712" s="11" t="s">
        <v>80</v>
      </c>
      <c r="Q712" s="11" t="s">
        <v>81</v>
      </c>
      <c r="R712" s="49" t="s">
        <v>2825</v>
      </c>
      <c r="S712" s="11" t="s">
        <v>643</v>
      </c>
      <c r="T712" s="90" t="s">
        <v>10</v>
      </c>
      <c r="U712" s="89"/>
      <c r="V712" s="51">
        <v>45544</v>
      </c>
      <c r="W712" s="49" t="s">
        <v>1610</v>
      </c>
    </row>
    <row r="713" spans="1:23" ht="13" customHeight="1" x14ac:dyDescent="0.35">
      <c r="A713" s="11">
        <v>708</v>
      </c>
      <c r="B713" s="47">
        <v>203881660</v>
      </c>
      <c r="C713" s="94" t="s">
        <v>759</v>
      </c>
      <c r="D713" s="11" t="s">
        <v>760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39</v>
      </c>
      <c r="K713" s="49" t="s">
        <v>76</v>
      </c>
      <c r="L713" s="49" t="s">
        <v>95</v>
      </c>
      <c r="M713" s="49" t="s">
        <v>77</v>
      </c>
      <c r="N713" s="48" t="s">
        <v>79</v>
      </c>
      <c r="O713" s="49" t="s">
        <v>37</v>
      </c>
      <c r="P713" s="11" t="s">
        <v>80</v>
      </c>
      <c r="Q713" s="11" t="s">
        <v>81</v>
      </c>
      <c r="R713" s="49" t="s">
        <v>628</v>
      </c>
      <c r="S713" s="11" t="s">
        <v>629</v>
      </c>
      <c r="T713" s="90" t="s">
        <v>10</v>
      </c>
      <c r="U713" s="89"/>
      <c r="V713" s="51">
        <v>45530</v>
      </c>
      <c r="W713" s="49" t="s">
        <v>1610</v>
      </c>
    </row>
    <row r="714" spans="1:23" ht="13" customHeight="1" x14ac:dyDescent="0.35">
      <c r="A714" s="11">
        <v>709</v>
      </c>
      <c r="B714" s="47">
        <v>203512671</v>
      </c>
      <c r="C714" s="94" t="s">
        <v>761</v>
      </c>
      <c r="D714" s="11" t="s">
        <v>762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32</v>
      </c>
      <c r="K714" s="49" t="s">
        <v>76</v>
      </c>
      <c r="L714" s="49" t="s">
        <v>85</v>
      </c>
      <c r="M714" s="49" t="s">
        <v>88</v>
      </c>
      <c r="N714" s="48" t="s">
        <v>79</v>
      </c>
      <c r="O714" s="49" t="s">
        <v>37</v>
      </c>
      <c r="P714" s="11" t="s">
        <v>80</v>
      </c>
      <c r="Q714" s="11" t="s">
        <v>81</v>
      </c>
      <c r="R714" s="49" t="s">
        <v>2825</v>
      </c>
      <c r="S714" s="11" t="s">
        <v>643</v>
      </c>
      <c r="T714" s="90" t="s">
        <v>1</v>
      </c>
      <c r="U714" s="90"/>
      <c r="V714" s="51">
        <v>45463</v>
      </c>
      <c r="W714" s="49" t="s">
        <v>1611</v>
      </c>
    </row>
    <row r="715" spans="1:23" ht="13" customHeight="1" x14ac:dyDescent="0.35">
      <c r="A715" s="11">
        <v>710</v>
      </c>
      <c r="B715" s="47">
        <v>203881698</v>
      </c>
      <c r="C715" s="94" t="s">
        <v>763</v>
      </c>
      <c r="D715" s="11" t="s">
        <v>764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39</v>
      </c>
      <c r="K715" s="49" t="s">
        <v>76</v>
      </c>
      <c r="L715" s="49" t="s">
        <v>77</v>
      </c>
      <c r="M715" s="49" t="s">
        <v>78</v>
      </c>
      <c r="N715" s="48" t="s">
        <v>79</v>
      </c>
      <c r="O715" s="49" t="s">
        <v>37</v>
      </c>
      <c r="P715" s="11" t="s">
        <v>80</v>
      </c>
      <c r="Q715" s="11" t="s">
        <v>81</v>
      </c>
      <c r="R715" s="49" t="s">
        <v>628</v>
      </c>
      <c r="S715" s="11" t="s">
        <v>629</v>
      </c>
      <c r="T715" s="90" t="s">
        <v>10</v>
      </c>
      <c r="U715" s="90"/>
      <c r="V715" s="51">
        <v>45530</v>
      </c>
      <c r="W715" s="49" t="s">
        <v>1612</v>
      </c>
    </row>
    <row r="716" spans="1:23" ht="13" customHeight="1" x14ac:dyDescent="0.35">
      <c r="A716" s="11">
        <v>711</v>
      </c>
      <c r="B716" s="47">
        <v>204145465</v>
      </c>
      <c r="C716" s="94" t="s">
        <v>765</v>
      </c>
      <c r="D716" s="11" t="s">
        <v>766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32</v>
      </c>
      <c r="K716" s="49" t="s">
        <v>76</v>
      </c>
      <c r="L716" s="49" t="s">
        <v>88</v>
      </c>
      <c r="M716" s="49" t="s">
        <v>95</v>
      </c>
      <c r="N716" s="48" t="s">
        <v>86</v>
      </c>
      <c r="O716" s="49" t="s">
        <v>37</v>
      </c>
      <c r="P716" s="11" t="s">
        <v>80</v>
      </c>
      <c r="Q716" s="11" t="s">
        <v>87</v>
      </c>
      <c r="R716" s="11" t="s">
        <v>1087</v>
      </c>
      <c r="S716" s="11" t="s">
        <v>2823</v>
      </c>
      <c r="T716" s="90" t="s">
        <v>1</v>
      </c>
      <c r="U716" s="89"/>
      <c r="V716" s="51">
        <v>45568</v>
      </c>
      <c r="W716" s="49" t="s">
        <v>1611</v>
      </c>
    </row>
    <row r="717" spans="1:23" ht="13" customHeight="1" x14ac:dyDescent="0.35">
      <c r="A717" s="11">
        <v>712</v>
      </c>
      <c r="B717" s="47">
        <v>206886517</v>
      </c>
      <c r="C717" s="94" t="s">
        <v>1895</v>
      </c>
      <c r="D717" s="11" t="s">
        <v>1896</v>
      </c>
      <c r="E717" s="11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78</v>
      </c>
      <c r="M717" s="49" t="s">
        <v>92</v>
      </c>
      <c r="N717" s="49" t="s">
        <v>89</v>
      </c>
      <c r="O717" s="49" t="s">
        <v>37</v>
      </c>
      <c r="P717" s="11" t="s">
        <v>80</v>
      </c>
      <c r="Q717" s="11" t="s">
        <v>96</v>
      </c>
      <c r="R717" s="11" t="s">
        <v>1087</v>
      </c>
      <c r="S717" s="11" t="s">
        <v>2823</v>
      </c>
      <c r="T717" s="90" t="s">
        <v>1</v>
      </c>
      <c r="U717" s="89"/>
      <c r="V717" s="51">
        <v>46027</v>
      </c>
      <c r="W717" s="49" t="s">
        <v>1610</v>
      </c>
    </row>
    <row r="718" spans="1:23" ht="13" customHeight="1" x14ac:dyDescent="0.35">
      <c r="A718" s="11">
        <v>713</v>
      </c>
      <c r="B718" s="47">
        <v>206145766</v>
      </c>
      <c r="C718" s="94" t="s">
        <v>767</v>
      </c>
      <c r="D718" s="11" t="s">
        <v>768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39</v>
      </c>
      <c r="K718" s="49" t="s">
        <v>76</v>
      </c>
      <c r="L718" s="49" t="s">
        <v>95</v>
      </c>
      <c r="M718" s="49" t="s">
        <v>77</v>
      </c>
      <c r="N718" s="49" t="s">
        <v>89</v>
      </c>
      <c r="O718" s="49" t="s">
        <v>37</v>
      </c>
      <c r="P718" s="11" t="s">
        <v>80</v>
      </c>
      <c r="Q718" s="11" t="s">
        <v>81</v>
      </c>
      <c r="R718" s="11" t="s">
        <v>632</v>
      </c>
      <c r="S718" s="11" t="s">
        <v>633</v>
      </c>
      <c r="T718" s="90" t="s">
        <v>10</v>
      </c>
      <c r="U718" s="89"/>
      <c r="V718" s="51">
        <v>45929</v>
      </c>
      <c r="W718" s="49" t="s">
        <v>1610</v>
      </c>
    </row>
    <row r="719" spans="1:23" ht="13" customHeight="1" x14ac:dyDescent="0.35">
      <c r="A719" s="11">
        <v>714</v>
      </c>
      <c r="B719" s="97">
        <v>205227534</v>
      </c>
      <c r="C719" s="47" t="s">
        <v>2868</v>
      </c>
      <c r="D719" s="94" t="s">
        <v>2869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88</v>
      </c>
      <c r="M719" s="49" t="s">
        <v>95</v>
      </c>
      <c r="N719" s="48" t="s">
        <v>2848</v>
      </c>
      <c r="O719" s="49" t="s">
        <v>37</v>
      </c>
      <c r="P719" s="11" t="s">
        <v>80</v>
      </c>
      <c r="Q719" s="11" t="s">
        <v>90</v>
      </c>
      <c r="R719" s="11" t="s">
        <v>1087</v>
      </c>
      <c r="S719" s="11" t="s">
        <v>2855</v>
      </c>
      <c r="T719" s="90" t="s">
        <v>1</v>
      </c>
      <c r="U719" s="89"/>
      <c r="V719" s="51">
        <v>45789</v>
      </c>
      <c r="W719" s="49" t="s">
        <v>1610</v>
      </c>
    </row>
    <row r="720" spans="1:23" ht="13" customHeight="1" x14ac:dyDescent="0.35">
      <c r="A720" s="11">
        <v>715</v>
      </c>
      <c r="B720" s="47">
        <v>205257390</v>
      </c>
      <c r="C720" s="95" t="s">
        <v>2151</v>
      </c>
      <c r="D720" s="11" t="s">
        <v>2152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88" t="s">
        <v>39</v>
      </c>
      <c r="K720" s="49" t="s">
        <v>76</v>
      </c>
      <c r="L720" s="49" t="s">
        <v>77</v>
      </c>
      <c r="M720" s="49" t="s">
        <v>78</v>
      </c>
      <c r="N720" s="49" t="s">
        <v>89</v>
      </c>
      <c r="O720" s="49" t="s">
        <v>37</v>
      </c>
      <c r="P720" s="11" t="s">
        <v>80</v>
      </c>
      <c r="Q720" s="11" t="s">
        <v>96</v>
      </c>
      <c r="R720" s="11" t="s">
        <v>2954</v>
      </c>
      <c r="S720" s="11" t="s">
        <v>2822</v>
      </c>
      <c r="T720" s="90" t="s">
        <v>10</v>
      </c>
      <c r="U720" s="90"/>
      <c r="V720" s="51">
        <v>46048</v>
      </c>
      <c r="W720" s="49" t="s">
        <v>1610</v>
      </c>
    </row>
    <row r="721" spans="1:23" ht="13" customHeight="1" x14ac:dyDescent="0.35">
      <c r="A721" s="11">
        <v>716</v>
      </c>
      <c r="B721" s="47">
        <v>206491331</v>
      </c>
      <c r="C721" s="94" t="s">
        <v>2229</v>
      </c>
      <c r="D721" s="11" t="s">
        <v>2230</v>
      </c>
      <c r="E721" s="113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88" t="s">
        <v>39</v>
      </c>
      <c r="K721" s="49" t="s">
        <v>76</v>
      </c>
      <c r="L721" s="49" t="s">
        <v>78</v>
      </c>
      <c r="M721" s="49" t="s">
        <v>92</v>
      </c>
      <c r="N721" s="49" t="s">
        <v>89</v>
      </c>
      <c r="O721" s="49" t="s">
        <v>37</v>
      </c>
      <c r="P721" s="49" t="s">
        <v>80</v>
      </c>
      <c r="Q721" s="49" t="s">
        <v>96</v>
      </c>
      <c r="R721" s="49" t="s">
        <v>648</v>
      </c>
      <c r="S721" s="49" t="s">
        <v>1842</v>
      </c>
      <c r="T721" s="90" t="s">
        <v>1</v>
      </c>
      <c r="U721" s="90"/>
      <c r="V721" s="51">
        <v>46048</v>
      </c>
      <c r="W721" s="49" t="s">
        <v>1610</v>
      </c>
    </row>
    <row r="722" spans="1:23" ht="13" customHeight="1" x14ac:dyDescent="0.35">
      <c r="A722" s="11">
        <v>717</v>
      </c>
      <c r="B722" s="47">
        <v>203993306</v>
      </c>
      <c r="C722" s="94" t="s">
        <v>769</v>
      </c>
      <c r="D722" s="11" t="s">
        <v>770</v>
      </c>
      <c r="E722" s="48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32</v>
      </c>
      <c r="K722" s="49" t="s">
        <v>76</v>
      </c>
      <c r="L722" s="49" t="s">
        <v>77</v>
      </c>
      <c r="M722" s="49" t="s">
        <v>78</v>
      </c>
      <c r="N722" s="48" t="s">
        <v>79</v>
      </c>
      <c r="O722" s="49" t="s">
        <v>37</v>
      </c>
      <c r="P722" s="11" t="s">
        <v>80</v>
      </c>
      <c r="Q722" s="11" t="s">
        <v>81</v>
      </c>
      <c r="R722" s="11" t="s">
        <v>1087</v>
      </c>
      <c r="S722" s="11" t="s">
        <v>2823</v>
      </c>
      <c r="T722" s="90" t="s">
        <v>10</v>
      </c>
      <c r="U722" s="89"/>
      <c r="V722" s="51">
        <v>45547</v>
      </c>
      <c r="W722" s="49" t="s">
        <v>1610</v>
      </c>
    </row>
    <row r="723" spans="1:23" ht="13" customHeight="1" x14ac:dyDescent="0.35">
      <c r="A723" s="11">
        <v>718</v>
      </c>
      <c r="B723" s="47">
        <v>205271074</v>
      </c>
      <c r="C723" s="94" t="s">
        <v>2173</v>
      </c>
      <c r="D723" s="11" t="s">
        <v>2174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88" t="s">
        <v>39</v>
      </c>
      <c r="K723" s="49" t="s">
        <v>76</v>
      </c>
      <c r="L723" s="49" t="s">
        <v>88</v>
      </c>
      <c r="M723" s="49" t="s">
        <v>95</v>
      </c>
      <c r="N723" s="49" t="s">
        <v>89</v>
      </c>
      <c r="O723" s="49" t="s">
        <v>37</v>
      </c>
      <c r="P723" s="11" t="s">
        <v>80</v>
      </c>
      <c r="Q723" s="11" t="s">
        <v>96</v>
      </c>
      <c r="R723" s="11" t="s">
        <v>632</v>
      </c>
      <c r="S723" s="11" t="s">
        <v>633</v>
      </c>
      <c r="T723" s="90" t="s">
        <v>1</v>
      </c>
      <c r="U723" s="91"/>
      <c r="V723" s="51">
        <v>46048</v>
      </c>
      <c r="W723" s="49" t="s">
        <v>1610</v>
      </c>
    </row>
    <row r="724" spans="1:23" ht="13" customHeight="1" x14ac:dyDescent="0.35">
      <c r="A724" s="11">
        <v>719</v>
      </c>
      <c r="B724" s="47">
        <v>204013689</v>
      </c>
      <c r="C724" s="94" t="s">
        <v>771</v>
      </c>
      <c r="D724" s="11" t="s">
        <v>772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39</v>
      </c>
      <c r="K724" s="49" t="s">
        <v>76</v>
      </c>
      <c r="L724" s="49" t="s">
        <v>95</v>
      </c>
      <c r="M724" s="49" t="s">
        <v>77</v>
      </c>
      <c r="N724" s="48" t="s">
        <v>79</v>
      </c>
      <c r="O724" s="49" t="s">
        <v>37</v>
      </c>
      <c r="P724" s="11" t="s">
        <v>80</v>
      </c>
      <c r="Q724" s="11" t="s">
        <v>81</v>
      </c>
      <c r="R724" s="49" t="s">
        <v>628</v>
      </c>
      <c r="S724" s="11" t="s">
        <v>629</v>
      </c>
      <c r="T724" s="90" t="s">
        <v>10</v>
      </c>
      <c r="U724" s="89"/>
      <c r="V724" s="51">
        <v>45551</v>
      </c>
      <c r="W724" s="49" t="s">
        <v>1610</v>
      </c>
    </row>
    <row r="725" spans="1:23" ht="13" customHeight="1" x14ac:dyDescent="0.35">
      <c r="A725" s="11">
        <v>720</v>
      </c>
      <c r="B725" s="11">
        <v>205854274</v>
      </c>
      <c r="C725" s="94" t="s">
        <v>2940</v>
      </c>
      <c r="D725" s="11" t="s">
        <v>2941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39</v>
      </c>
      <c r="K725" s="49" t="s">
        <v>76</v>
      </c>
      <c r="L725" s="49" t="s">
        <v>92</v>
      </c>
      <c r="M725" s="49" t="s">
        <v>84</v>
      </c>
      <c r="N725" s="11" t="s">
        <v>89</v>
      </c>
      <c r="O725" s="11" t="s">
        <v>37</v>
      </c>
      <c r="P725" s="11" t="s">
        <v>80</v>
      </c>
      <c r="Q725" s="11" t="s">
        <v>96</v>
      </c>
      <c r="R725" s="11" t="s">
        <v>632</v>
      </c>
      <c r="S725" s="11" t="s">
        <v>633</v>
      </c>
      <c r="T725" s="90" t="s">
        <v>1</v>
      </c>
      <c r="U725" s="90" t="s">
        <v>3006</v>
      </c>
      <c r="V725" s="51">
        <v>46226</v>
      </c>
      <c r="W725" s="11" t="s">
        <v>1610</v>
      </c>
    </row>
    <row r="726" spans="1:23" ht="13" customHeight="1" x14ac:dyDescent="0.35">
      <c r="A726" s="11">
        <v>721</v>
      </c>
      <c r="B726" s="47">
        <v>205852634</v>
      </c>
      <c r="C726" s="94" t="s">
        <v>773</v>
      </c>
      <c r="D726" s="11" t="s">
        <v>774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39</v>
      </c>
      <c r="K726" s="49" t="s">
        <v>76</v>
      </c>
      <c r="L726" s="49" t="s">
        <v>77</v>
      </c>
      <c r="M726" s="49" t="s">
        <v>78</v>
      </c>
      <c r="N726" s="49" t="s">
        <v>79</v>
      </c>
      <c r="O726" s="49" t="s">
        <v>37</v>
      </c>
      <c r="P726" s="11" t="s">
        <v>80</v>
      </c>
      <c r="Q726" s="11" t="s">
        <v>96</v>
      </c>
      <c r="R726" s="11" t="s">
        <v>632</v>
      </c>
      <c r="S726" s="11" t="s">
        <v>633</v>
      </c>
      <c r="T726" s="90" t="s">
        <v>10</v>
      </c>
      <c r="U726" s="90"/>
      <c r="V726" s="51">
        <v>45894</v>
      </c>
      <c r="W726" s="49" t="s">
        <v>1610</v>
      </c>
    </row>
    <row r="727" spans="1:23" ht="13" customHeight="1" x14ac:dyDescent="0.35">
      <c r="A727" s="11">
        <v>722</v>
      </c>
      <c r="B727" s="47">
        <v>204010041</v>
      </c>
      <c r="C727" s="94" t="s">
        <v>775</v>
      </c>
      <c r="D727" s="11" t="s">
        <v>776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39</v>
      </c>
      <c r="K727" s="49" t="s">
        <v>76</v>
      </c>
      <c r="L727" s="49" t="s">
        <v>85</v>
      </c>
      <c r="M727" s="49" t="s">
        <v>88</v>
      </c>
      <c r="N727" s="48" t="s">
        <v>86</v>
      </c>
      <c r="O727" s="49" t="s">
        <v>37</v>
      </c>
      <c r="P727" s="11" t="s">
        <v>80</v>
      </c>
      <c r="Q727" s="11" t="s">
        <v>90</v>
      </c>
      <c r="R727" s="11" t="s">
        <v>632</v>
      </c>
      <c r="S727" s="11" t="s">
        <v>633</v>
      </c>
      <c r="T727" s="90" t="s">
        <v>1</v>
      </c>
      <c r="U727" s="90"/>
      <c r="V727" s="51">
        <v>45551</v>
      </c>
      <c r="W727" s="49" t="s">
        <v>1611</v>
      </c>
    </row>
    <row r="728" spans="1:23" ht="13" customHeight="1" x14ac:dyDescent="0.35">
      <c r="A728" s="11">
        <v>723</v>
      </c>
      <c r="B728" s="47">
        <v>205839583</v>
      </c>
      <c r="C728" s="94" t="s">
        <v>2488</v>
      </c>
      <c r="D728" s="11" t="s">
        <v>2489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39</v>
      </c>
      <c r="K728" s="49" t="s">
        <v>76</v>
      </c>
      <c r="L728" s="49" t="s">
        <v>85</v>
      </c>
      <c r="M728" s="49" t="s">
        <v>88</v>
      </c>
      <c r="N728" s="49" t="s">
        <v>89</v>
      </c>
      <c r="O728" s="49" t="s">
        <v>37</v>
      </c>
      <c r="P728" s="11" t="s">
        <v>80</v>
      </c>
      <c r="Q728" s="11" t="s">
        <v>90</v>
      </c>
      <c r="R728" s="49" t="s">
        <v>628</v>
      </c>
      <c r="S728" s="11" t="s">
        <v>629</v>
      </c>
      <c r="T728" s="90" t="s">
        <v>1</v>
      </c>
      <c r="U728" s="89"/>
      <c r="V728" s="51">
        <v>45894</v>
      </c>
      <c r="W728" s="49" t="s">
        <v>1609</v>
      </c>
    </row>
    <row r="729" spans="1:23" ht="13" customHeight="1" x14ac:dyDescent="0.35">
      <c r="A729" s="11">
        <v>724</v>
      </c>
      <c r="B729" s="97">
        <v>204967147</v>
      </c>
      <c r="C729" s="47" t="s">
        <v>2870</v>
      </c>
      <c r="D729" s="94" t="s">
        <v>2871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84</v>
      </c>
      <c r="M729" s="49" t="s">
        <v>85</v>
      </c>
      <c r="N729" s="48" t="s">
        <v>86</v>
      </c>
      <c r="O729" s="49" t="s">
        <v>37</v>
      </c>
      <c r="P729" s="11" t="s">
        <v>80</v>
      </c>
      <c r="Q729" s="11" t="s">
        <v>90</v>
      </c>
      <c r="R729" s="11" t="s">
        <v>648</v>
      </c>
      <c r="S729" s="11" t="s">
        <v>2845</v>
      </c>
      <c r="T729" s="90" t="s">
        <v>1</v>
      </c>
      <c r="U729" s="89"/>
      <c r="V729" s="51">
        <v>45789</v>
      </c>
      <c r="W729" s="49" t="s">
        <v>1610</v>
      </c>
    </row>
    <row r="730" spans="1:23" ht="13" customHeight="1" x14ac:dyDescent="0.35">
      <c r="A730" s="11">
        <v>725</v>
      </c>
      <c r="B730" s="47">
        <v>204138497</v>
      </c>
      <c r="C730" s="94" t="s">
        <v>777</v>
      </c>
      <c r="D730" s="11" t="s">
        <v>778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39</v>
      </c>
      <c r="K730" s="49" t="s">
        <v>76</v>
      </c>
      <c r="L730" s="49" t="s">
        <v>77</v>
      </c>
      <c r="M730" s="49" t="s">
        <v>78</v>
      </c>
      <c r="N730" s="48" t="s">
        <v>79</v>
      </c>
      <c r="O730" s="49" t="s">
        <v>37</v>
      </c>
      <c r="P730" s="11" t="s">
        <v>80</v>
      </c>
      <c r="Q730" s="11" t="s">
        <v>81</v>
      </c>
      <c r="R730" s="49" t="s">
        <v>628</v>
      </c>
      <c r="S730" s="11" t="s">
        <v>629</v>
      </c>
      <c r="T730" s="90" t="s">
        <v>10</v>
      </c>
      <c r="U730" s="89"/>
      <c r="V730" s="51">
        <v>45565</v>
      </c>
      <c r="W730" s="49" t="s">
        <v>1610</v>
      </c>
    </row>
    <row r="731" spans="1:23" ht="13" customHeight="1" x14ac:dyDescent="0.35">
      <c r="A731" s="11">
        <v>726</v>
      </c>
      <c r="B731" s="47">
        <v>206846688</v>
      </c>
      <c r="C731" s="94" t="s">
        <v>1859</v>
      </c>
      <c r="D731" s="47" t="s">
        <v>1860</v>
      </c>
      <c r="E731" s="47" t="s">
        <v>31</v>
      </c>
      <c r="F731" s="48" t="s">
        <v>74</v>
      </c>
      <c r="G731" s="11" t="s">
        <v>64</v>
      </c>
      <c r="H731" s="11" t="s">
        <v>75</v>
      </c>
      <c r="I731" s="47">
        <v>1299</v>
      </c>
      <c r="J731" s="49" t="s">
        <v>39</v>
      </c>
      <c r="K731" s="49" t="s">
        <v>76</v>
      </c>
      <c r="L731" s="49" t="s">
        <v>78</v>
      </c>
      <c r="M731" s="49" t="s">
        <v>92</v>
      </c>
      <c r="N731" s="49" t="s">
        <v>89</v>
      </c>
      <c r="O731" s="49" t="s">
        <v>37</v>
      </c>
      <c r="P731" s="11" t="s">
        <v>80</v>
      </c>
      <c r="Q731" s="47" t="s">
        <v>90</v>
      </c>
      <c r="R731" s="11" t="s">
        <v>2954</v>
      </c>
      <c r="S731" s="47" t="s">
        <v>2822</v>
      </c>
      <c r="T731" s="90" t="s">
        <v>1</v>
      </c>
      <c r="U731" s="89"/>
      <c r="V731" s="51">
        <v>46013</v>
      </c>
      <c r="W731" s="49" t="s">
        <v>1610</v>
      </c>
    </row>
    <row r="732" spans="1:23" ht="13" customHeight="1" x14ac:dyDescent="0.35">
      <c r="A732" s="11">
        <v>727</v>
      </c>
      <c r="B732" s="47">
        <v>203965177</v>
      </c>
      <c r="C732" s="94" t="s">
        <v>779</v>
      </c>
      <c r="D732" s="11" t="s">
        <v>780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32</v>
      </c>
      <c r="K732" s="49" t="s">
        <v>76</v>
      </c>
      <c r="L732" s="49" t="s">
        <v>85</v>
      </c>
      <c r="M732" s="49" t="s">
        <v>88</v>
      </c>
      <c r="N732" s="48" t="s">
        <v>79</v>
      </c>
      <c r="O732" s="49" t="s">
        <v>37</v>
      </c>
      <c r="P732" s="11" t="s">
        <v>80</v>
      </c>
      <c r="Q732" s="11" t="s">
        <v>81</v>
      </c>
      <c r="R732" s="49" t="s">
        <v>2825</v>
      </c>
      <c r="S732" s="11" t="s">
        <v>643</v>
      </c>
      <c r="T732" s="90" t="s">
        <v>1</v>
      </c>
      <c r="U732" s="89"/>
      <c r="V732" s="51">
        <v>45544</v>
      </c>
      <c r="W732" s="49" t="s">
        <v>1610</v>
      </c>
    </row>
    <row r="733" spans="1:23" ht="13" customHeight="1" x14ac:dyDescent="0.35">
      <c r="A733" s="11">
        <v>728</v>
      </c>
      <c r="B733" s="47">
        <v>102434089</v>
      </c>
      <c r="C733" s="94" t="s">
        <v>781</v>
      </c>
      <c r="D733" s="11" t="s">
        <v>782</v>
      </c>
      <c r="E733" s="48" t="s">
        <v>34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32</v>
      </c>
      <c r="K733" s="49" t="s">
        <v>76</v>
      </c>
      <c r="L733" s="49" t="s">
        <v>95</v>
      </c>
      <c r="M733" s="49" t="s">
        <v>77</v>
      </c>
      <c r="N733" s="48" t="s">
        <v>97</v>
      </c>
      <c r="O733" s="49" t="s">
        <v>37</v>
      </c>
      <c r="P733" s="11" t="s">
        <v>80</v>
      </c>
      <c r="Q733" s="11" t="s">
        <v>98</v>
      </c>
      <c r="R733" s="11" t="s">
        <v>632</v>
      </c>
      <c r="S733" s="11" t="s">
        <v>633</v>
      </c>
      <c r="T733" s="90" t="s">
        <v>10</v>
      </c>
      <c r="U733" s="89"/>
      <c r="V733" s="51">
        <v>42897</v>
      </c>
      <c r="W733" s="49" t="s">
        <v>1612</v>
      </c>
    </row>
    <row r="734" spans="1:23" ht="13" customHeight="1" x14ac:dyDescent="0.35">
      <c r="A734" s="11">
        <v>729</v>
      </c>
      <c r="B734" s="47">
        <v>206199998</v>
      </c>
      <c r="C734" s="94" t="s">
        <v>1625</v>
      </c>
      <c r="D734" s="11" t="s">
        <v>1619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32</v>
      </c>
      <c r="K734" s="49" t="s">
        <v>76</v>
      </c>
      <c r="L734" s="49" t="s">
        <v>78</v>
      </c>
      <c r="M734" s="49" t="s">
        <v>92</v>
      </c>
      <c r="N734" s="49" t="s">
        <v>89</v>
      </c>
      <c r="O734" s="49" t="s">
        <v>37</v>
      </c>
      <c r="P734" s="11" t="s">
        <v>80</v>
      </c>
      <c r="Q734" s="11" t="s">
        <v>81</v>
      </c>
      <c r="R734" s="11" t="s">
        <v>1087</v>
      </c>
      <c r="S734" s="11" t="s">
        <v>2823</v>
      </c>
      <c r="T734" s="90" t="s">
        <v>4</v>
      </c>
      <c r="U734" s="90"/>
      <c r="V734" s="51">
        <v>45936</v>
      </c>
      <c r="W734" s="49" t="s">
        <v>1610</v>
      </c>
    </row>
    <row r="735" spans="1:23" ht="13" customHeight="1" x14ac:dyDescent="0.35">
      <c r="A735" s="11">
        <v>730</v>
      </c>
      <c r="B735" s="47">
        <v>205861618</v>
      </c>
      <c r="C735" s="94" t="s">
        <v>2169</v>
      </c>
      <c r="D735" s="11" t="s">
        <v>2170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88</v>
      </c>
      <c r="M735" s="49" t="s">
        <v>95</v>
      </c>
      <c r="N735" s="49" t="s">
        <v>89</v>
      </c>
      <c r="O735" s="49" t="s">
        <v>37</v>
      </c>
      <c r="P735" s="11" t="s">
        <v>80</v>
      </c>
      <c r="Q735" s="11" t="s">
        <v>96</v>
      </c>
      <c r="R735" s="49" t="s">
        <v>628</v>
      </c>
      <c r="S735" s="11" t="s">
        <v>629</v>
      </c>
      <c r="T735" s="90" t="s">
        <v>1</v>
      </c>
      <c r="U735" s="89"/>
      <c r="V735" s="51">
        <v>46048</v>
      </c>
      <c r="W735" s="49" t="s">
        <v>1610</v>
      </c>
    </row>
    <row r="736" spans="1:23" ht="13" customHeight="1" x14ac:dyDescent="0.35">
      <c r="A736" s="11">
        <v>731</v>
      </c>
      <c r="B736" s="11">
        <v>206247771</v>
      </c>
      <c r="C736" s="94" t="s">
        <v>2944</v>
      </c>
      <c r="D736" s="11" t="s">
        <v>2945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39</v>
      </c>
      <c r="K736" s="49" t="s">
        <v>76</v>
      </c>
      <c r="L736" s="49" t="s">
        <v>95</v>
      </c>
      <c r="M736" s="49" t="s">
        <v>77</v>
      </c>
      <c r="N736" s="11" t="s">
        <v>89</v>
      </c>
      <c r="O736" s="11" t="s">
        <v>37</v>
      </c>
      <c r="P736" s="11" t="s">
        <v>80</v>
      </c>
      <c r="Q736" s="11" t="s">
        <v>96</v>
      </c>
      <c r="R736" s="11" t="s">
        <v>628</v>
      </c>
      <c r="S736" s="11" t="s">
        <v>629</v>
      </c>
      <c r="T736" s="90" t="s">
        <v>10</v>
      </c>
      <c r="U736" s="90"/>
      <c r="V736" s="51">
        <v>46226</v>
      </c>
      <c r="W736" s="11" t="s">
        <v>1610</v>
      </c>
    </row>
    <row r="737" spans="1:23" ht="13" customHeight="1" x14ac:dyDescent="0.35">
      <c r="A737" s="11">
        <v>732</v>
      </c>
      <c r="B737" s="47">
        <v>204319798</v>
      </c>
      <c r="C737" s="94" t="s">
        <v>783</v>
      </c>
      <c r="D737" s="11" t="s">
        <v>784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39</v>
      </c>
      <c r="K737" s="49" t="s">
        <v>76</v>
      </c>
      <c r="L737" s="49" t="s">
        <v>95</v>
      </c>
      <c r="M737" s="49" t="s">
        <v>77</v>
      </c>
      <c r="N737" s="48" t="s">
        <v>86</v>
      </c>
      <c r="O737" s="49" t="s">
        <v>37</v>
      </c>
      <c r="P737" s="11" t="s">
        <v>80</v>
      </c>
      <c r="Q737" s="11" t="s">
        <v>87</v>
      </c>
      <c r="R737" s="11" t="s">
        <v>2955</v>
      </c>
      <c r="S737" s="11" t="s">
        <v>2956</v>
      </c>
      <c r="T737" s="90" t="s">
        <v>10</v>
      </c>
      <c r="U737" s="89"/>
      <c r="V737" s="51">
        <v>45589</v>
      </c>
      <c r="W737" s="49" t="s">
        <v>1612</v>
      </c>
    </row>
    <row r="738" spans="1:23" ht="13" customHeight="1" x14ac:dyDescent="0.35">
      <c r="A738" s="11">
        <v>733</v>
      </c>
      <c r="B738" s="47">
        <v>206915474</v>
      </c>
      <c r="C738" s="94" t="s">
        <v>1989</v>
      </c>
      <c r="D738" s="11" t="s">
        <v>1972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32</v>
      </c>
      <c r="K738" s="49" t="s">
        <v>76</v>
      </c>
      <c r="L738" s="49" t="s">
        <v>88</v>
      </c>
      <c r="M738" s="49" t="s">
        <v>95</v>
      </c>
      <c r="N738" s="49" t="s">
        <v>89</v>
      </c>
      <c r="O738" s="49" t="s">
        <v>37</v>
      </c>
      <c r="P738" s="11" t="s">
        <v>80</v>
      </c>
      <c r="Q738" s="11" t="s">
        <v>90</v>
      </c>
      <c r="R738" s="11" t="s">
        <v>632</v>
      </c>
      <c r="S738" s="11" t="s">
        <v>633</v>
      </c>
      <c r="T738" s="90" t="s">
        <v>1</v>
      </c>
      <c r="U738" s="90"/>
      <c r="V738" s="51">
        <v>46034</v>
      </c>
      <c r="W738" s="49" t="s">
        <v>1610</v>
      </c>
    </row>
    <row r="739" spans="1:23" ht="13" customHeight="1" x14ac:dyDescent="0.35">
      <c r="A739" s="11">
        <v>734</v>
      </c>
      <c r="B739" s="47">
        <v>203850766</v>
      </c>
      <c r="C739" s="94" t="s">
        <v>2490</v>
      </c>
      <c r="D739" s="11" t="s">
        <v>2491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39</v>
      </c>
      <c r="K739" s="49" t="s">
        <v>76</v>
      </c>
      <c r="L739" s="49" t="s">
        <v>84</v>
      </c>
      <c r="M739" s="49" t="s">
        <v>85</v>
      </c>
      <c r="N739" s="48" t="s">
        <v>86</v>
      </c>
      <c r="O739" s="49" t="s">
        <v>37</v>
      </c>
      <c r="P739" s="11" t="s">
        <v>80</v>
      </c>
      <c r="Q739" s="11" t="s">
        <v>90</v>
      </c>
      <c r="R739" s="49" t="s">
        <v>628</v>
      </c>
      <c r="S739" s="11" t="s">
        <v>629</v>
      </c>
      <c r="T739" s="90" t="s">
        <v>1</v>
      </c>
      <c r="U739" s="91"/>
      <c r="V739" s="51">
        <v>45524</v>
      </c>
      <c r="W739" s="49" t="s">
        <v>1610</v>
      </c>
    </row>
    <row r="740" spans="1:23" ht="13" customHeight="1" x14ac:dyDescent="0.35">
      <c r="A740" s="11">
        <v>735</v>
      </c>
      <c r="B740" s="47">
        <v>203908841</v>
      </c>
      <c r="C740" s="94" t="s">
        <v>785</v>
      </c>
      <c r="D740" s="11" t="s">
        <v>786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32</v>
      </c>
      <c r="K740" s="49" t="s">
        <v>76</v>
      </c>
      <c r="L740" s="49" t="s">
        <v>78</v>
      </c>
      <c r="M740" s="49" t="s">
        <v>92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49" t="s">
        <v>648</v>
      </c>
      <c r="S740" s="11" t="s">
        <v>1842</v>
      </c>
      <c r="T740" s="90" t="s">
        <v>1</v>
      </c>
      <c r="U740" s="90"/>
      <c r="V740" s="51">
        <v>45537</v>
      </c>
      <c r="W740" s="49" t="s">
        <v>1610</v>
      </c>
    </row>
    <row r="741" spans="1:23" ht="13" customHeight="1" x14ac:dyDescent="0.35">
      <c r="A741" s="11">
        <v>736</v>
      </c>
      <c r="B741" s="47">
        <v>206930333</v>
      </c>
      <c r="C741" s="94" t="s">
        <v>2080</v>
      </c>
      <c r="D741" s="11" t="s">
        <v>2090</v>
      </c>
      <c r="E741" s="48" t="s">
        <v>31</v>
      </c>
      <c r="F741" s="48" t="s">
        <v>74</v>
      </c>
      <c r="G741" s="48" t="s">
        <v>64</v>
      </c>
      <c r="H741" s="48" t="s">
        <v>75</v>
      </c>
      <c r="I741" s="11">
        <v>1299</v>
      </c>
      <c r="J741" s="49" t="s">
        <v>32</v>
      </c>
      <c r="K741" s="49" t="s">
        <v>76</v>
      </c>
      <c r="L741" s="49" t="s">
        <v>77</v>
      </c>
      <c r="M741" s="49" t="s">
        <v>78</v>
      </c>
      <c r="N741" s="49" t="s">
        <v>89</v>
      </c>
      <c r="O741" s="49" t="s">
        <v>37</v>
      </c>
      <c r="P741" s="49" t="s">
        <v>80</v>
      </c>
      <c r="Q741" s="49" t="s">
        <v>96</v>
      </c>
      <c r="R741" s="49" t="s">
        <v>628</v>
      </c>
      <c r="S741" s="49" t="s">
        <v>629</v>
      </c>
      <c r="T741" s="90" t="s">
        <v>10</v>
      </c>
      <c r="U741" s="91"/>
      <c r="V741" s="51">
        <v>46037</v>
      </c>
      <c r="W741" s="49" t="s">
        <v>1610</v>
      </c>
    </row>
    <row r="742" spans="1:23" ht="13" customHeight="1" x14ac:dyDescent="0.35">
      <c r="A742" s="11">
        <v>737</v>
      </c>
      <c r="B742" s="47">
        <v>203813032</v>
      </c>
      <c r="C742" s="94" t="s">
        <v>787</v>
      </c>
      <c r="D742" s="11" t="s">
        <v>788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39</v>
      </c>
      <c r="K742" s="49" t="s">
        <v>76</v>
      </c>
      <c r="L742" s="49" t="s">
        <v>88</v>
      </c>
      <c r="M742" s="49" t="s">
        <v>95</v>
      </c>
      <c r="N742" s="48" t="s">
        <v>86</v>
      </c>
      <c r="O742" s="49" t="s">
        <v>37</v>
      </c>
      <c r="P742" s="11" t="s">
        <v>80</v>
      </c>
      <c r="Q742" s="11" t="s">
        <v>99</v>
      </c>
      <c r="R742" s="11" t="s">
        <v>2955</v>
      </c>
      <c r="S742" s="11" t="s">
        <v>2956</v>
      </c>
      <c r="T742" s="90" t="s">
        <v>4</v>
      </c>
      <c r="U742" s="91"/>
      <c r="V742" s="51">
        <v>45517</v>
      </c>
      <c r="W742" s="49" t="s">
        <v>1610</v>
      </c>
    </row>
    <row r="743" spans="1:23" ht="13" customHeight="1" x14ac:dyDescent="0.35">
      <c r="A743" s="11">
        <v>738</v>
      </c>
      <c r="B743" s="47">
        <v>204009619</v>
      </c>
      <c r="C743" s="94" t="s">
        <v>789</v>
      </c>
      <c r="D743" s="11" t="s">
        <v>790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39</v>
      </c>
      <c r="K743" s="49" t="s">
        <v>76</v>
      </c>
      <c r="L743" s="49" t="s">
        <v>78</v>
      </c>
      <c r="M743" s="49" t="s">
        <v>92</v>
      </c>
      <c r="N743" s="48" t="s">
        <v>86</v>
      </c>
      <c r="O743" s="49" t="s">
        <v>37</v>
      </c>
      <c r="P743" s="11" t="s">
        <v>80</v>
      </c>
      <c r="Q743" s="11" t="s">
        <v>90</v>
      </c>
      <c r="R743" s="49" t="s">
        <v>648</v>
      </c>
      <c r="S743" s="11" t="s">
        <v>1842</v>
      </c>
      <c r="T743" s="90" t="s">
        <v>1</v>
      </c>
      <c r="U743" s="90"/>
      <c r="V743" s="51">
        <v>45551</v>
      </c>
      <c r="W743" s="49" t="s">
        <v>1610</v>
      </c>
    </row>
    <row r="744" spans="1:23" ht="13" customHeight="1" x14ac:dyDescent="0.35">
      <c r="A744" s="11">
        <v>739</v>
      </c>
      <c r="B744" s="47">
        <v>204094216</v>
      </c>
      <c r="C744" s="94" t="s">
        <v>2447</v>
      </c>
      <c r="D744" s="11" t="s">
        <v>2448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85</v>
      </c>
      <c r="M744" s="49" t="s">
        <v>88</v>
      </c>
      <c r="N744" s="48" t="s">
        <v>86</v>
      </c>
      <c r="O744" s="49" t="s">
        <v>37</v>
      </c>
      <c r="P744" s="11" t="s">
        <v>80</v>
      </c>
      <c r="Q744" s="11" t="s">
        <v>87</v>
      </c>
      <c r="R744" s="11" t="s">
        <v>632</v>
      </c>
      <c r="S744" s="11" t="s">
        <v>633</v>
      </c>
      <c r="T744" s="90" t="s">
        <v>1</v>
      </c>
      <c r="U744" s="91"/>
      <c r="V744" s="51">
        <v>45561</v>
      </c>
      <c r="W744" s="49" t="s">
        <v>1609</v>
      </c>
    </row>
    <row r="745" spans="1:23" ht="13" customHeight="1" x14ac:dyDescent="0.35">
      <c r="A745" s="11">
        <v>740</v>
      </c>
      <c r="B745" s="47">
        <v>202516581</v>
      </c>
      <c r="C745" s="94" t="s">
        <v>791</v>
      </c>
      <c r="D745" s="11" t="s">
        <v>792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77</v>
      </c>
      <c r="M745" s="49" t="s">
        <v>78</v>
      </c>
      <c r="N745" s="48" t="s">
        <v>79</v>
      </c>
      <c r="O745" s="49" t="s">
        <v>37</v>
      </c>
      <c r="P745" s="11" t="s">
        <v>80</v>
      </c>
      <c r="Q745" s="11" t="s">
        <v>81</v>
      </c>
      <c r="R745" s="49" t="s">
        <v>648</v>
      </c>
      <c r="S745" s="11" t="s">
        <v>1842</v>
      </c>
      <c r="T745" s="90" t="s">
        <v>10</v>
      </c>
      <c r="U745" s="89"/>
      <c r="V745" s="51">
        <v>45530</v>
      </c>
      <c r="W745" s="49" t="s">
        <v>1610</v>
      </c>
    </row>
    <row r="746" spans="1:23" ht="13" customHeight="1" x14ac:dyDescent="0.35">
      <c r="A746" s="11">
        <v>741</v>
      </c>
      <c r="B746" s="47">
        <v>203908859</v>
      </c>
      <c r="C746" s="94" t="s">
        <v>793</v>
      </c>
      <c r="D746" s="11" t="s">
        <v>794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32</v>
      </c>
      <c r="K746" s="49" t="s">
        <v>76</v>
      </c>
      <c r="L746" s="49" t="s">
        <v>78</v>
      </c>
      <c r="M746" s="49" t="s">
        <v>92</v>
      </c>
      <c r="N746" s="48" t="s">
        <v>79</v>
      </c>
      <c r="O746" s="49" t="s">
        <v>37</v>
      </c>
      <c r="P746" s="11" t="s">
        <v>80</v>
      </c>
      <c r="Q746" s="11" t="s">
        <v>81</v>
      </c>
      <c r="R746" s="49" t="s">
        <v>648</v>
      </c>
      <c r="S746" s="11" t="s">
        <v>1842</v>
      </c>
      <c r="T746" s="90" t="s">
        <v>1</v>
      </c>
      <c r="U746" s="90"/>
      <c r="V746" s="51">
        <v>45537</v>
      </c>
      <c r="W746" s="49" t="s">
        <v>1610</v>
      </c>
    </row>
    <row r="747" spans="1:23" ht="13" customHeight="1" x14ac:dyDescent="0.35">
      <c r="A747" s="11">
        <v>742</v>
      </c>
      <c r="B747" s="47">
        <v>206073363</v>
      </c>
      <c r="C747" s="94" t="s">
        <v>795</v>
      </c>
      <c r="D747" s="11" t="s">
        <v>796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32</v>
      </c>
      <c r="K747" s="49" t="s">
        <v>76</v>
      </c>
      <c r="L747" s="49" t="s">
        <v>77</v>
      </c>
      <c r="M747" s="49" t="s">
        <v>78</v>
      </c>
      <c r="N747" s="48" t="s">
        <v>79</v>
      </c>
      <c r="O747" s="49" t="s">
        <v>37</v>
      </c>
      <c r="P747" s="11" t="s">
        <v>80</v>
      </c>
      <c r="Q747" s="11" t="s">
        <v>81</v>
      </c>
      <c r="R747" s="49" t="s">
        <v>648</v>
      </c>
      <c r="S747" s="11" t="s">
        <v>1842</v>
      </c>
      <c r="T747" s="90" t="s">
        <v>10</v>
      </c>
      <c r="U747" s="90"/>
      <c r="V747" s="51">
        <v>45929</v>
      </c>
      <c r="W747" s="49" t="s">
        <v>1610</v>
      </c>
    </row>
    <row r="748" spans="1:23" ht="13" customHeight="1" x14ac:dyDescent="0.35">
      <c r="A748" s="11">
        <v>743</v>
      </c>
      <c r="B748" s="47">
        <v>205839586</v>
      </c>
      <c r="C748" s="94" t="s">
        <v>797</v>
      </c>
      <c r="D748" s="11" t="s">
        <v>798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32</v>
      </c>
      <c r="K748" s="49" t="s">
        <v>76</v>
      </c>
      <c r="L748" s="49" t="s">
        <v>77</v>
      </c>
      <c r="M748" s="49" t="s">
        <v>78</v>
      </c>
      <c r="N748" s="48" t="s">
        <v>86</v>
      </c>
      <c r="O748" s="49" t="s">
        <v>37</v>
      </c>
      <c r="P748" s="11" t="s">
        <v>80</v>
      </c>
      <c r="Q748" s="11" t="s">
        <v>90</v>
      </c>
      <c r="R748" s="11" t="s">
        <v>2955</v>
      </c>
      <c r="S748" s="11" t="s">
        <v>2956</v>
      </c>
      <c r="T748" s="90" t="s">
        <v>10</v>
      </c>
      <c r="U748" s="89"/>
      <c r="V748" s="51">
        <v>45894</v>
      </c>
      <c r="W748" s="49" t="s">
        <v>1610</v>
      </c>
    </row>
    <row r="749" spans="1:23" ht="13" customHeight="1" x14ac:dyDescent="0.35">
      <c r="A749" s="11">
        <v>744</v>
      </c>
      <c r="B749" s="47">
        <v>204172862</v>
      </c>
      <c r="C749" s="94" t="s">
        <v>799</v>
      </c>
      <c r="D749" s="11" t="s">
        <v>800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39</v>
      </c>
      <c r="K749" s="49" t="s">
        <v>76</v>
      </c>
      <c r="L749" s="49" t="s">
        <v>88</v>
      </c>
      <c r="M749" s="49" t="s">
        <v>95</v>
      </c>
      <c r="N749" s="48" t="s">
        <v>79</v>
      </c>
      <c r="O749" s="49" t="s">
        <v>37</v>
      </c>
      <c r="P749" s="11" t="s">
        <v>80</v>
      </c>
      <c r="Q749" s="11" t="s">
        <v>81</v>
      </c>
      <c r="R749" s="49" t="s">
        <v>628</v>
      </c>
      <c r="S749" s="11" t="s">
        <v>629</v>
      </c>
      <c r="T749" s="90" t="s">
        <v>1</v>
      </c>
      <c r="U749" s="89"/>
      <c r="V749" s="51">
        <v>45568</v>
      </c>
      <c r="W749" s="49" t="s">
        <v>1609</v>
      </c>
    </row>
    <row r="750" spans="1:23" ht="13" customHeight="1" x14ac:dyDescent="0.35">
      <c r="A750" s="11">
        <v>745</v>
      </c>
      <c r="B750" s="47">
        <v>203741316</v>
      </c>
      <c r="C750" s="94" t="s">
        <v>801</v>
      </c>
      <c r="D750" s="11" t="s">
        <v>802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32</v>
      </c>
      <c r="K750" s="49" t="s">
        <v>76</v>
      </c>
      <c r="L750" s="49" t="s">
        <v>78</v>
      </c>
      <c r="M750" s="49" t="s">
        <v>92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49" t="s">
        <v>648</v>
      </c>
      <c r="S750" s="11" t="s">
        <v>1842</v>
      </c>
      <c r="T750" s="90" t="s">
        <v>1</v>
      </c>
      <c r="U750" s="90"/>
      <c r="V750" s="51">
        <v>45502</v>
      </c>
      <c r="W750" s="49" t="s">
        <v>1610</v>
      </c>
    </row>
    <row r="751" spans="1:23" ht="13" customHeight="1" x14ac:dyDescent="0.35">
      <c r="A751" s="11">
        <v>746</v>
      </c>
      <c r="B751" s="47">
        <v>204116867</v>
      </c>
      <c r="C751" s="94" t="s">
        <v>803</v>
      </c>
      <c r="D751" s="11" t="s">
        <v>804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39</v>
      </c>
      <c r="K751" s="49" t="s">
        <v>76</v>
      </c>
      <c r="L751" s="49" t="s">
        <v>85</v>
      </c>
      <c r="M751" s="49" t="s">
        <v>88</v>
      </c>
      <c r="N751" s="48" t="s">
        <v>86</v>
      </c>
      <c r="O751" s="49" t="s">
        <v>37</v>
      </c>
      <c r="P751" s="11" t="s">
        <v>80</v>
      </c>
      <c r="Q751" s="11" t="s">
        <v>87</v>
      </c>
      <c r="R751" s="11" t="s">
        <v>632</v>
      </c>
      <c r="S751" s="11" t="s">
        <v>633</v>
      </c>
      <c r="T751" s="90" t="s">
        <v>7</v>
      </c>
      <c r="U751" s="90" t="s">
        <v>3004</v>
      </c>
      <c r="V751" s="51">
        <v>45561</v>
      </c>
      <c r="W751" s="49" t="s">
        <v>1609</v>
      </c>
    </row>
    <row r="752" spans="1:23" ht="13" customHeight="1" x14ac:dyDescent="0.35">
      <c r="A752" s="11">
        <v>747</v>
      </c>
      <c r="B752" s="47">
        <v>203800485</v>
      </c>
      <c r="C752" s="94" t="s">
        <v>2492</v>
      </c>
      <c r="D752" s="11" t="s">
        <v>2493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32</v>
      </c>
      <c r="K752" s="49" t="s">
        <v>76</v>
      </c>
      <c r="L752" s="49" t="s">
        <v>85</v>
      </c>
      <c r="M752" s="49" t="s">
        <v>88</v>
      </c>
      <c r="N752" s="48" t="s">
        <v>86</v>
      </c>
      <c r="O752" s="49" t="s">
        <v>37</v>
      </c>
      <c r="P752" s="11" t="s">
        <v>80</v>
      </c>
      <c r="Q752" s="11" t="s">
        <v>90</v>
      </c>
      <c r="R752" s="49" t="s">
        <v>648</v>
      </c>
      <c r="S752" s="11" t="s">
        <v>1842</v>
      </c>
      <c r="T752" s="90" t="s">
        <v>1</v>
      </c>
      <c r="U752" s="90"/>
      <c r="V752" s="51">
        <v>45516</v>
      </c>
      <c r="W752" s="49" t="s">
        <v>1610</v>
      </c>
    </row>
    <row r="753" spans="1:23" ht="13" customHeight="1" x14ac:dyDescent="0.35">
      <c r="A753" s="11">
        <v>748</v>
      </c>
      <c r="B753" s="47">
        <v>205127248</v>
      </c>
      <c r="C753" s="94" t="s">
        <v>2183</v>
      </c>
      <c r="D753" s="11" t="s">
        <v>2184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88" t="s">
        <v>39</v>
      </c>
      <c r="K753" s="49" t="s">
        <v>76</v>
      </c>
      <c r="L753" s="49" t="s">
        <v>85</v>
      </c>
      <c r="M753" s="49" t="s">
        <v>88</v>
      </c>
      <c r="N753" s="49" t="s">
        <v>89</v>
      </c>
      <c r="O753" s="49" t="s">
        <v>37</v>
      </c>
      <c r="P753" s="11" t="s">
        <v>80</v>
      </c>
      <c r="Q753" s="11" t="s">
        <v>96</v>
      </c>
      <c r="R753" s="49" t="s">
        <v>2825</v>
      </c>
      <c r="S753" s="49" t="s">
        <v>643</v>
      </c>
      <c r="T753" s="90" t="s">
        <v>1</v>
      </c>
      <c r="U753" s="89"/>
      <c r="V753" s="51">
        <v>46048</v>
      </c>
      <c r="W753" s="49" t="s">
        <v>1610</v>
      </c>
    </row>
    <row r="754" spans="1:23" ht="13" customHeight="1" x14ac:dyDescent="0.35">
      <c r="A754" s="11">
        <v>749</v>
      </c>
      <c r="B754" s="47">
        <v>206897637</v>
      </c>
      <c r="C754" s="94" t="s">
        <v>1957</v>
      </c>
      <c r="D754" s="11" t="s">
        <v>1958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1290</v>
      </c>
      <c r="J754" s="49" t="s">
        <v>32</v>
      </c>
      <c r="K754" s="49" t="s">
        <v>76</v>
      </c>
      <c r="L754" s="49" t="s">
        <v>95</v>
      </c>
      <c r="M754" s="49" t="s">
        <v>77</v>
      </c>
      <c r="N754" s="49" t="s">
        <v>89</v>
      </c>
      <c r="O754" s="48" t="s">
        <v>37</v>
      </c>
      <c r="P754" s="48" t="s">
        <v>80</v>
      </c>
      <c r="Q754" s="11" t="s">
        <v>81</v>
      </c>
      <c r="R754" s="11" t="s">
        <v>1087</v>
      </c>
      <c r="S754" s="11" t="s">
        <v>2823</v>
      </c>
      <c r="T754" s="90" t="s">
        <v>10</v>
      </c>
      <c r="U754" s="89"/>
      <c r="V754" s="51">
        <v>46030</v>
      </c>
      <c r="W754" s="49" t="s">
        <v>1610</v>
      </c>
    </row>
    <row r="755" spans="1:23" ht="13" customHeight="1" x14ac:dyDescent="0.35">
      <c r="A755" s="11">
        <v>750</v>
      </c>
      <c r="B755" s="47">
        <v>204010535</v>
      </c>
      <c r="C755" s="94" t="s">
        <v>805</v>
      </c>
      <c r="D755" s="11" t="s">
        <v>806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39</v>
      </c>
      <c r="K755" s="49" t="s">
        <v>76</v>
      </c>
      <c r="L755" s="49" t="s">
        <v>88</v>
      </c>
      <c r="M755" s="49" t="s">
        <v>95</v>
      </c>
      <c r="N755" s="48" t="s">
        <v>86</v>
      </c>
      <c r="O755" s="49" t="s">
        <v>37</v>
      </c>
      <c r="P755" s="11" t="s">
        <v>80</v>
      </c>
      <c r="Q755" s="11" t="s">
        <v>90</v>
      </c>
      <c r="R755" s="49" t="s">
        <v>628</v>
      </c>
      <c r="S755" s="11" t="s">
        <v>629</v>
      </c>
      <c r="T755" s="90" t="s">
        <v>1</v>
      </c>
      <c r="U755" s="89"/>
      <c r="V755" s="51">
        <v>45551</v>
      </c>
      <c r="W755" s="49" t="s">
        <v>1610</v>
      </c>
    </row>
    <row r="756" spans="1:23" ht="13" customHeight="1" x14ac:dyDescent="0.35">
      <c r="A756" s="11">
        <v>751</v>
      </c>
      <c r="B756" s="47">
        <v>203514419</v>
      </c>
      <c r="C756" s="94" t="s">
        <v>807</v>
      </c>
      <c r="D756" s="11" t="s">
        <v>808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85</v>
      </c>
      <c r="M756" s="49" t="s">
        <v>88</v>
      </c>
      <c r="N756" s="48" t="s">
        <v>79</v>
      </c>
      <c r="O756" s="49" t="s">
        <v>37</v>
      </c>
      <c r="P756" s="11" t="s">
        <v>80</v>
      </c>
      <c r="Q756" s="11" t="s">
        <v>81</v>
      </c>
      <c r="R756" s="11" t="s">
        <v>1087</v>
      </c>
      <c r="S756" s="11" t="s">
        <v>2823</v>
      </c>
      <c r="T756" s="90" t="s">
        <v>1</v>
      </c>
      <c r="U756" s="89"/>
      <c r="V756" s="51">
        <v>45463</v>
      </c>
      <c r="W756" s="49" t="s">
        <v>1610</v>
      </c>
    </row>
    <row r="757" spans="1:23" ht="13" customHeight="1" x14ac:dyDescent="0.35">
      <c r="A757" s="11">
        <v>752</v>
      </c>
      <c r="B757" s="47">
        <v>203851106</v>
      </c>
      <c r="C757" s="94" t="s">
        <v>809</v>
      </c>
      <c r="D757" s="11" t="s">
        <v>810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88</v>
      </c>
      <c r="M757" s="49" t="s">
        <v>95</v>
      </c>
      <c r="N757" s="48" t="s">
        <v>79</v>
      </c>
      <c r="O757" s="49" t="s">
        <v>37</v>
      </c>
      <c r="P757" s="11" t="s">
        <v>80</v>
      </c>
      <c r="Q757" s="11" t="s">
        <v>81</v>
      </c>
      <c r="R757" s="49" t="s">
        <v>648</v>
      </c>
      <c r="S757" s="11" t="s">
        <v>1842</v>
      </c>
      <c r="T757" s="90" t="s">
        <v>1</v>
      </c>
      <c r="U757" s="90"/>
      <c r="V757" s="51">
        <v>45524</v>
      </c>
      <c r="W757" s="49" t="s">
        <v>1612</v>
      </c>
    </row>
    <row r="758" spans="1:23" ht="13" customHeight="1" x14ac:dyDescent="0.35">
      <c r="A758" s="11">
        <v>753</v>
      </c>
      <c r="B758" s="11">
        <v>206930332</v>
      </c>
      <c r="C758" s="94" t="s">
        <v>2938</v>
      </c>
      <c r="D758" s="11" t="s">
        <v>2939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39</v>
      </c>
      <c r="K758" s="49" t="s">
        <v>76</v>
      </c>
      <c r="L758" s="49" t="s">
        <v>77</v>
      </c>
      <c r="M758" s="49" t="s">
        <v>78</v>
      </c>
      <c r="N758" s="11" t="s">
        <v>89</v>
      </c>
      <c r="O758" s="11" t="s">
        <v>37</v>
      </c>
      <c r="P758" s="11" t="s">
        <v>80</v>
      </c>
      <c r="Q758" s="11" t="s">
        <v>96</v>
      </c>
      <c r="R758" s="11" t="s">
        <v>628</v>
      </c>
      <c r="S758" s="11" t="s">
        <v>629</v>
      </c>
      <c r="T758" s="90" t="s">
        <v>10</v>
      </c>
      <c r="U758" s="90"/>
      <c r="V758" s="51">
        <v>46226</v>
      </c>
      <c r="W758" s="11" t="s">
        <v>1610</v>
      </c>
    </row>
    <row r="759" spans="1:23" ht="13" customHeight="1" x14ac:dyDescent="0.35">
      <c r="A759" s="11">
        <v>754</v>
      </c>
      <c r="B759" s="97">
        <v>203908894</v>
      </c>
      <c r="C759" s="47" t="s">
        <v>2872</v>
      </c>
      <c r="D759" s="94" t="s">
        <v>2873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39</v>
      </c>
      <c r="K759" s="49" t="s">
        <v>76</v>
      </c>
      <c r="L759" s="49" t="s">
        <v>85</v>
      </c>
      <c r="M759" s="49" t="s">
        <v>88</v>
      </c>
      <c r="N759" s="49" t="s">
        <v>89</v>
      </c>
      <c r="O759" s="49" t="s">
        <v>37</v>
      </c>
      <c r="P759" s="11" t="s">
        <v>80</v>
      </c>
      <c r="Q759" s="11" t="s">
        <v>90</v>
      </c>
      <c r="R759" s="11" t="s">
        <v>2955</v>
      </c>
      <c r="S759" s="11" t="s">
        <v>2956</v>
      </c>
      <c r="T759" s="90" t="s">
        <v>1</v>
      </c>
      <c r="U759" s="91"/>
      <c r="V759" s="51">
        <v>45537</v>
      </c>
      <c r="W759" s="49" t="s">
        <v>1610</v>
      </c>
    </row>
    <row r="760" spans="1:23" ht="13" customHeight="1" x14ac:dyDescent="0.35">
      <c r="A760" s="11">
        <v>755</v>
      </c>
      <c r="B760" s="47">
        <v>203468752</v>
      </c>
      <c r="C760" s="94" t="s">
        <v>811</v>
      </c>
      <c r="D760" s="11" t="s">
        <v>812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1299</v>
      </c>
      <c r="J760" s="49" t="s">
        <v>39</v>
      </c>
      <c r="K760" s="49" t="s">
        <v>76</v>
      </c>
      <c r="L760" s="49" t="s">
        <v>77</v>
      </c>
      <c r="M760" s="49" t="s">
        <v>78</v>
      </c>
      <c r="N760" s="48" t="s">
        <v>79</v>
      </c>
      <c r="O760" s="49" t="s">
        <v>37</v>
      </c>
      <c r="P760" s="11" t="s">
        <v>80</v>
      </c>
      <c r="Q760" s="11" t="s">
        <v>81</v>
      </c>
      <c r="R760" s="49" t="s">
        <v>628</v>
      </c>
      <c r="S760" s="11" t="s">
        <v>629</v>
      </c>
      <c r="T760" s="90" t="s">
        <v>10</v>
      </c>
      <c r="U760" s="90"/>
      <c r="V760" s="51">
        <v>45456</v>
      </c>
      <c r="W760" s="49" t="s">
        <v>1612</v>
      </c>
    </row>
    <row r="761" spans="1:23" ht="13" customHeight="1" x14ac:dyDescent="0.35">
      <c r="A761" s="11">
        <v>756</v>
      </c>
      <c r="B761" s="47">
        <v>203965409</v>
      </c>
      <c r="C761" s="94" t="s">
        <v>813</v>
      </c>
      <c r="D761" s="11" t="s">
        <v>814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32</v>
      </c>
      <c r="K761" s="49" t="s">
        <v>76</v>
      </c>
      <c r="L761" s="49" t="s">
        <v>88</v>
      </c>
      <c r="M761" s="49" t="s">
        <v>95</v>
      </c>
      <c r="N761" s="48" t="s">
        <v>79</v>
      </c>
      <c r="O761" s="49" t="s">
        <v>37</v>
      </c>
      <c r="P761" s="11" t="s">
        <v>80</v>
      </c>
      <c r="Q761" s="11" t="s">
        <v>81</v>
      </c>
      <c r="R761" s="49" t="s">
        <v>648</v>
      </c>
      <c r="S761" s="11" t="s">
        <v>1842</v>
      </c>
      <c r="T761" s="90" t="s">
        <v>1</v>
      </c>
      <c r="U761" s="89"/>
      <c r="V761" s="51">
        <v>45544</v>
      </c>
      <c r="W761" s="49" t="s">
        <v>1610</v>
      </c>
    </row>
    <row r="762" spans="1:23" ht="13" customHeight="1" x14ac:dyDescent="0.35">
      <c r="A762" s="11">
        <v>757</v>
      </c>
      <c r="B762" s="47">
        <v>203965407</v>
      </c>
      <c r="C762" s="94" t="s">
        <v>815</v>
      </c>
      <c r="D762" s="11" t="s">
        <v>816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39</v>
      </c>
      <c r="K762" s="49" t="s">
        <v>76</v>
      </c>
      <c r="L762" s="49" t="s">
        <v>77</v>
      </c>
      <c r="M762" s="49" t="s">
        <v>78</v>
      </c>
      <c r="N762" s="48" t="s">
        <v>79</v>
      </c>
      <c r="O762" s="49" t="s">
        <v>37</v>
      </c>
      <c r="P762" s="11" t="s">
        <v>80</v>
      </c>
      <c r="Q762" s="11" t="s">
        <v>81</v>
      </c>
      <c r="R762" s="49" t="s">
        <v>628</v>
      </c>
      <c r="S762" s="11" t="s">
        <v>629</v>
      </c>
      <c r="T762" s="90" t="s">
        <v>10</v>
      </c>
      <c r="U762" s="90"/>
      <c r="V762" s="51">
        <v>45544</v>
      </c>
      <c r="W762" s="49" t="s">
        <v>1610</v>
      </c>
    </row>
    <row r="763" spans="1:23" ht="13" customHeight="1" x14ac:dyDescent="0.35">
      <c r="A763" s="11">
        <v>758</v>
      </c>
      <c r="B763" s="47">
        <v>203965522</v>
      </c>
      <c r="C763" s="94" t="s">
        <v>817</v>
      </c>
      <c r="D763" s="11" t="s">
        <v>818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39</v>
      </c>
      <c r="K763" s="49" t="s">
        <v>76</v>
      </c>
      <c r="L763" s="49" t="s">
        <v>84</v>
      </c>
      <c r="M763" s="49" t="s">
        <v>85</v>
      </c>
      <c r="N763" s="48" t="s">
        <v>79</v>
      </c>
      <c r="O763" s="49" t="s">
        <v>37</v>
      </c>
      <c r="P763" s="11" t="s">
        <v>80</v>
      </c>
      <c r="Q763" s="11" t="s">
        <v>81</v>
      </c>
      <c r="R763" s="49" t="s">
        <v>628</v>
      </c>
      <c r="S763" s="11" t="s">
        <v>629</v>
      </c>
      <c r="T763" s="90" t="s">
        <v>1</v>
      </c>
      <c r="U763" s="91"/>
      <c r="V763" s="51">
        <v>45544</v>
      </c>
      <c r="W763" s="49" t="s">
        <v>1610</v>
      </c>
    </row>
    <row r="764" spans="1:23" ht="13" customHeight="1" x14ac:dyDescent="0.35">
      <c r="A764" s="11">
        <v>759</v>
      </c>
      <c r="B764" s="47">
        <v>204138500</v>
      </c>
      <c r="C764" s="94" t="s">
        <v>819</v>
      </c>
      <c r="D764" s="11" t="s">
        <v>820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32</v>
      </c>
      <c r="K764" s="49" t="s">
        <v>76</v>
      </c>
      <c r="L764" s="49" t="s">
        <v>84</v>
      </c>
      <c r="M764" s="49" t="s">
        <v>85</v>
      </c>
      <c r="N764" s="48" t="s">
        <v>86</v>
      </c>
      <c r="O764" s="49" t="s">
        <v>37</v>
      </c>
      <c r="P764" s="11" t="s">
        <v>80</v>
      </c>
      <c r="Q764" s="11" t="s">
        <v>87</v>
      </c>
      <c r="R764" s="11" t="s">
        <v>1087</v>
      </c>
      <c r="S764" s="11" t="s">
        <v>2823</v>
      </c>
      <c r="T764" s="90" t="s">
        <v>7</v>
      </c>
      <c r="U764" s="90" t="s">
        <v>3004</v>
      </c>
      <c r="V764" s="51">
        <v>45565</v>
      </c>
      <c r="W764" s="49" t="s">
        <v>1612</v>
      </c>
    </row>
    <row r="765" spans="1:23" ht="13" customHeight="1" x14ac:dyDescent="0.35">
      <c r="A765" s="11">
        <v>760</v>
      </c>
      <c r="B765" s="47">
        <v>203468749</v>
      </c>
      <c r="C765" s="94" t="s">
        <v>821</v>
      </c>
      <c r="D765" s="11" t="s">
        <v>822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39</v>
      </c>
      <c r="K765" s="49" t="s">
        <v>76</v>
      </c>
      <c r="L765" s="49" t="s">
        <v>95</v>
      </c>
      <c r="M765" s="49" t="s">
        <v>77</v>
      </c>
      <c r="N765" s="48" t="s">
        <v>79</v>
      </c>
      <c r="O765" s="49" t="s">
        <v>37</v>
      </c>
      <c r="P765" s="11" t="s">
        <v>80</v>
      </c>
      <c r="Q765" s="11" t="s">
        <v>81</v>
      </c>
      <c r="R765" s="11" t="s">
        <v>632</v>
      </c>
      <c r="S765" s="11" t="s">
        <v>633</v>
      </c>
      <c r="T765" s="90" t="s">
        <v>10</v>
      </c>
      <c r="U765" s="90"/>
      <c r="V765" s="51">
        <v>45456</v>
      </c>
      <c r="W765" s="49" t="s">
        <v>1612</v>
      </c>
    </row>
    <row r="766" spans="1:23" ht="13" customHeight="1" x14ac:dyDescent="0.35">
      <c r="A766" s="11">
        <v>761</v>
      </c>
      <c r="B766" s="47">
        <v>206129606</v>
      </c>
      <c r="C766" s="94" t="s">
        <v>823</v>
      </c>
      <c r="D766" s="11" t="s">
        <v>824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85</v>
      </c>
      <c r="M766" s="49" t="s">
        <v>88</v>
      </c>
      <c r="N766" s="48" t="s">
        <v>79</v>
      </c>
      <c r="O766" s="49" t="s">
        <v>37</v>
      </c>
      <c r="P766" s="11" t="s">
        <v>80</v>
      </c>
      <c r="Q766" s="11" t="s">
        <v>81</v>
      </c>
      <c r="R766" s="11" t="s">
        <v>1087</v>
      </c>
      <c r="S766" s="11" t="s">
        <v>2823</v>
      </c>
      <c r="T766" s="90" t="s">
        <v>1</v>
      </c>
      <c r="U766" s="90"/>
      <c r="V766" s="51">
        <v>45929</v>
      </c>
      <c r="W766" s="49" t="s">
        <v>1610</v>
      </c>
    </row>
    <row r="767" spans="1:23" ht="13" customHeight="1" x14ac:dyDescent="0.35">
      <c r="A767" s="11">
        <v>762</v>
      </c>
      <c r="B767" s="11">
        <v>206915012</v>
      </c>
      <c r="C767" s="94" t="s">
        <v>2952</v>
      </c>
      <c r="D767" s="11" t="s">
        <v>2953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39</v>
      </c>
      <c r="K767" s="49" t="s">
        <v>76</v>
      </c>
      <c r="L767" s="49" t="s">
        <v>77</v>
      </c>
      <c r="M767" s="49" t="s">
        <v>78</v>
      </c>
      <c r="N767" s="11" t="s">
        <v>89</v>
      </c>
      <c r="O767" s="11" t="s">
        <v>37</v>
      </c>
      <c r="P767" s="11" t="s">
        <v>80</v>
      </c>
      <c r="Q767" s="11" t="s">
        <v>90</v>
      </c>
      <c r="R767" s="11" t="s">
        <v>632</v>
      </c>
      <c r="S767" s="11" t="s">
        <v>633</v>
      </c>
      <c r="T767" s="90" t="s">
        <v>10</v>
      </c>
      <c r="U767" s="89"/>
      <c r="V767" s="51">
        <v>46226</v>
      </c>
      <c r="W767" s="11" t="s">
        <v>1610</v>
      </c>
    </row>
    <row r="768" spans="1:23" ht="13" customHeight="1" x14ac:dyDescent="0.35">
      <c r="A768" s="11">
        <v>763</v>
      </c>
      <c r="B768" s="47">
        <v>204319808</v>
      </c>
      <c r="C768" s="94" t="s">
        <v>825</v>
      </c>
      <c r="D768" s="11" t="s">
        <v>826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78</v>
      </c>
      <c r="M768" s="49" t="s">
        <v>92</v>
      </c>
      <c r="N768" s="48" t="s">
        <v>86</v>
      </c>
      <c r="O768" s="49" t="s">
        <v>37</v>
      </c>
      <c r="P768" s="11" t="s">
        <v>80</v>
      </c>
      <c r="Q768" s="11" t="s">
        <v>87</v>
      </c>
      <c r="R768" s="11" t="s">
        <v>632</v>
      </c>
      <c r="S768" s="11" t="s">
        <v>633</v>
      </c>
      <c r="T768" s="90" t="s">
        <v>1</v>
      </c>
      <c r="U768" s="91"/>
      <c r="V768" s="51">
        <v>45589</v>
      </c>
      <c r="W768" s="49" t="s">
        <v>1612</v>
      </c>
    </row>
    <row r="769" spans="1:23" ht="13" customHeight="1" x14ac:dyDescent="0.35">
      <c r="A769" s="11">
        <v>764</v>
      </c>
      <c r="B769" s="47">
        <v>204009355</v>
      </c>
      <c r="C769" s="94" t="s">
        <v>2494</v>
      </c>
      <c r="D769" s="11" t="s">
        <v>2495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32</v>
      </c>
      <c r="K769" s="49" t="s">
        <v>76</v>
      </c>
      <c r="L769" s="49" t="s">
        <v>88</v>
      </c>
      <c r="M769" s="49" t="s">
        <v>95</v>
      </c>
      <c r="N769" s="48" t="s">
        <v>86</v>
      </c>
      <c r="O769" s="49" t="s">
        <v>37</v>
      </c>
      <c r="P769" s="11" t="s">
        <v>80</v>
      </c>
      <c r="Q769" s="11" t="s">
        <v>90</v>
      </c>
      <c r="R769" s="11" t="s">
        <v>2955</v>
      </c>
      <c r="S769" s="11" t="s">
        <v>2956</v>
      </c>
      <c r="T769" s="90" t="s">
        <v>1</v>
      </c>
      <c r="U769" s="91"/>
      <c r="V769" s="51">
        <v>45551</v>
      </c>
      <c r="W769" s="49" t="s">
        <v>1610</v>
      </c>
    </row>
    <row r="770" spans="1:23" ht="13" customHeight="1" x14ac:dyDescent="0.35">
      <c r="A770" s="11">
        <v>765</v>
      </c>
      <c r="B770" s="47">
        <v>206846111</v>
      </c>
      <c r="C770" s="94" t="s">
        <v>1867</v>
      </c>
      <c r="D770" s="47" t="s">
        <v>1868</v>
      </c>
      <c r="E770" s="47" t="s">
        <v>31</v>
      </c>
      <c r="F770" s="48" t="s">
        <v>74</v>
      </c>
      <c r="G770" s="11" t="s">
        <v>64</v>
      </c>
      <c r="H770" s="11" t="s">
        <v>75</v>
      </c>
      <c r="I770" s="47">
        <v>1299</v>
      </c>
      <c r="J770" s="49" t="s">
        <v>39</v>
      </c>
      <c r="K770" s="49" t="s">
        <v>76</v>
      </c>
      <c r="L770" s="49" t="s">
        <v>88</v>
      </c>
      <c r="M770" s="49" t="s">
        <v>95</v>
      </c>
      <c r="N770" s="49" t="s">
        <v>89</v>
      </c>
      <c r="O770" s="49" t="s">
        <v>37</v>
      </c>
      <c r="P770" s="11" t="s">
        <v>80</v>
      </c>
      <c r="Q770" s="47" t="s">
        <v>90</v>
      </c>
      <c r="R770" s="49" t="s">
        <v>2825</v>
      </c>
      <c r="S770" s="47" t="s">
        <v>643</v>
      </c>
      <c r="T770" s="90" t="s">
        <v>1</v>
      </c>
      <c r="U770" s="89"/>
      <c r="V770" s="51">
        <v>46013</v>
      </c>
      <c r="W770" s="49" t="s">
        <v>1610</v>
      </c>
    </row>
    <row r="771" spans="1:23" ht="13" customHeight="1" x14ac:dyDescent="0.35">
      <c r="A771" s="11">
        <v>766</v>
      </c>
      <c r="B771" s="47">
        <v>206897636</v>
      </c>
      <c r="C771" s="94" t="s">
        <v>1969</v>
      </c>
      <c r="D771" s="11" t="s">
        <v>1970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1290</v>
      </c>
      <c r="J771" s="49" t="s">
        <v>32</v>
      </c>
      <c r="K771" s="49" t="s">
        <v>76</v>
      </c>
      <c r="L771" s="49" t="s">
        <v>77</v>
      </c>
      <c r="M771" s="49" t="s">
        <v>78</v>
      </c>
      <c r="N771" s="49" t="s">
        <v>89</v>
      </c>
      <c r="O771" s="48" t="s">
        <v>37</v>
      </c>
      <c r="P771" s="48" t="s">
        <v>80</v>
      </c>
      <c r="Q771" s="11" t="s">
        <v>81</v>
      </c>
      <c r="R771" s="11" t="s">
        <v>1087</v>
      </c>
      <c r="S771" s="11" t="s">
        <v>2823</v>
      </c>
      <c r="T771" s="90" t="s">
        <v>10</v>
      </c>
      <c r="U771" s="90"/>
      <c r="V771" s="51">
        <v>46030</v>
      </c>
      <c r="W771" s="49" t="s">
        <v>1611</v>
      </c>
    </row>
    <row r="772" spans="1:23" ht="13" customHeight="1" x14ac:dyDescent="0.35">
      <c r="A772" s="11">
        <v>767</v>
      </c>
      <c r="B772" s="47">
        <v>206138681</v>
      </c>
      <c r="C772" s="94" t="s">
        <v>827</v>
      </c>
      <c r="D772" s="11" t="s">
        <v>828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1299</v>
      </c>
      <c r="J772" s="49" t="s">
        <v>39</v>
      </c>
      <c r="K772" s="49" t="s">
        <v>76</v>
      </c>
      <c r="L772" s="49" t="s">
        <v>85</v>
      </c>
      <c r="M772" s="49" t="s">
        <v>88</v>
      </c>
      <c r="N772" s="49" t="s">
        <v>89</v>
      </c>
      <c r="O772" s="49" t="s">
        <v>37</v>
      </c>
      <c r="P772" s="11" t="s">
        <v>80</v>
      </c>
      <c r="Q772" s="11" t="s">
        <v>81</v>
      </c>
      <c r="R772" s="11" t="s">
        <v>632</v>
      </c>
      <c r="S772" s="11" t="s">
        <v>633</v>
      </c>
      <c r="T772" s="90" t="s">
        <v>1</v>
      </c>
      <c r="U772" s="91"/>
      <c r="V772" s="51">
        <v>45929</v>
      </c>
      <c r="W772" s="49" t="s">
        <v>1610</v>
      </c>
    </row>
    <row r="773" spans="1:23" ht="13" customHeight="1" x14ac:dyDescent="0.35">
      <c r="A773" s="11">
        <v>768</v>
      </c>
      <c r="B773" s="47">
        <v>204946697</v>
      </c>
      <c r="C773" s="94" t="s">
        <v>829</v>
      </c>
      <c r="D773" s="11" t="s">
        <v>830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92</v>
      </c>
      <c r="M773" s="49" t="s">
        <v>84</v>
      </c>
      <c r="N773" s="48" t="s">
        <v>86</v>
      </c>
      <c r="O773" s="49" t="s">
        <v>37</v>
      </c>
      <c r="P773" s="11" t="s">
        <v>80</v>
      </c>
      <c r="Q773" s="11" t="s">
        <v>90</v>
      </c>
      <c r="R773" s="49" t="s">
        <v>648</v>
      </c>
      <c r="S773" s="11" t="s">
        <v>1842</v>
      </c>
      <c r="T773" s="90" t="s">
        <v>1</v>
      </c>
      <c r="U773" s="91"/>
      <c r="V773" s="51">
        <v>45719</v>
      </c>
      <c r="W773" s="49" t="s">
        <v>1610</v>
      </c>
    </row>
    <row r="774" spans="1:23" ht="13" customHeight="1" x14ac:dyDescent="0.35">
      <c r="A774" s="11">
        <v>769</v>
      </c>
      <c r="B774" s="47">
        <v>204967053</v>
      </c>
      <c r="C774" s="94" t="s">
        <v>831</v>
      </c>
      <c r="D774" s="11" t="s">
        <v>832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32</v>
      </c>
      <c r="K774" s="49" t="s">
        <v>76</v>
      </c>
      <c r="L774" s="49" t="s">
        <v>84</v>
      </c>
      <c r="M774" s="49" t="s">
        <v>85</v>
      </c>
      <c r="N774" s="48" t="s">
        <v>86</v>
      </c>
      <c r="O774" s="49" t="s">
        <v>37</v>
      </c>
      <c r="P774" s="11" t="s">
        <v>80</v>
      </c>
      <c r="Q774" s="11" t="s">
        <v>90</v>
      </c>
      <c r="R774" s="49" t="s">
        <v>648</v>
      </c>
      <c r="S774" s="11" t="s">
        <v>1842</v>
      </c>
      <c r="T774" s="90" t="s">
        <v>1</v>
      </c>
      <c r="U774" s="90"/>
      <c r="V774" s="51">
        <v>45719</v>
      </c>
      <c r="W774" s="49" t="s">
        <v>1610</v>
      </c>
    </row>
    <row r="775" spans="1:23" ht="13" customHeight="1" x14ac:dyDescent="0.35">
      <c r="A775" s="11">
        <v>770</v>
      </c>
      <c r="B775" s="47">
        <v>206137344</v>
      </c>
      <c r="C775" s="94" t="s">
        <v>1681</v>
      </c>
      <c r="D775" s="11" t="s">
        <v>1676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32</v>
      </c>
      <c r="K775" s="49" t="s">
        <v>76</v>
      </c>
      <c r="L775" s="49" t="s">
        <v>92</v>
      </c>
      <c r="M775" s="49" t="s">
        <v>84</v>
      </c>
      <c r="N775" s="49" t="s">
        <v>89</v>
      </c>
      <c r="O775" s="49" t="s">
        <v>37</v>
      </c>
      <c r="P775" s="11" t="s">
        <v>80</v>
      </c>
      <c r="Q775" s="11" t="s">
        <v>81</v>
      </c>
      <c r="R775" s="49" t="s">
        <v>628</v>
      </c>
      <c r="S775" s="11" t="s">
        <v>629</v>
      </c>
      <c r="T775" s="90" t="s">
        <v>1</v>
      </c>
      <c r="U775" s="91"/>
      <c r="V775" s="51">
        <v>45943</v>
      </c>
      <c r="W775" s="49" t="s">
        <v>1609</v>
      </c>
    </row>
    <row r="776" spans="1:23" ht="13" customHeight="1" x14ac:dyDescent="0.35">
      <c r="A776" s="11">
        <v>771</v>
      </c>
      <c r="B776" s="47">
        <v>206192264</v>
      </c>
      <c r="C776" s="94" t="s">
        <v>1651</v>
      </c>
      <c r="D776" s="11" t="s">
        <v>1642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95</v>
      </c>
      <c r="M776" s="49" t="s">
        <v>77</v>
      </c>
      <c r="N776" s="49" t="s">
        <v>89</v>
      </c>
      <c r="O776" s="49" t="s">
        <v>37</v>
      </c>
      <c r="P776" s="11" t="s">
        <v>80</v>
      </c>
      <c r="Q776" s="11" t="s">
        <v>96</v>
      </c>
      <c r="R776" s="49" t="s">
        <v>628</v>
      </c>
      <c r="S776" s="11" t="s">
        <v>629</v>
      </c>
      <c r="T776" s="90" t="s">
        <v>10</v>
      </c>
      <c r="U776" s="90"/>
      <c r="V776" s="51">
        <v>45936</v>
      </c>
      <c r="W776" s="49" t="s">
        <v>1610</v>
      </c>
    </row>
    <row r="777" spans="1:23" ht="13" customHeight="1" x14ac:dyDescent="0.35">
      <c r="A777" s="11">
        <v>772</v>
      </c>
      <c r="B777" s="47">
        <v>203850771</v>
      </c>
      <c r="C777" s="94" t="s">
        <v>2496</v>
      </c>
      <c r="D777" s="11" t="s">
        <v>2497</v>
      </c>
      <c r="E777" s="48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39</v>
      </c>
      <c r="K777" s="49" t="s">
        <v>76</v>
      </c>
      <c r="L777" s="49" t="s">
        <v>84</v>
      </c>
      <c r="M777" s="49" t="s">
        <v>85</v>
      </c>
      <c r="N777" s="48" t="s">
        <v>86</v>
      </c>
      <c r="O777" s="49" t="s">
        <v>37</v>
      </c>
      <c r="P777" s="11" t="s">
        <v>80</v>
      </c>
      <c r="Q777" s="11" t="s">
        <v>90</v>
      </c>
      <c r="R777" s="49" t="s">
        <v>648</v>
      </c>
      <c r="S777" s="11" t="s">
        <v>1842</v>
      </c>
      <c r="T777" s="90" t="s">
        <v>1</v>
      </c>
      <c r="U777" s="91"/>
      <c r="V777" s="51">
        <v>45524</v>
      </c>
      <c r="W777" s="49" t="s">
        <v>1610</v>
      </c>
    </row>
    <row r="778" spans="1:23" ht="13" customHeight="1" x14ac:dyDescent="0.35">
      <c r="A778" s="11">
        <v>773</v>
      </c>
      <c r="B778" s="47">
        <v>206137334</v>
      </c>
      <c r="C778" s="94" t="s">
        <v>833</v>
      </c>
      <c r="D778" s="11" t="s">
        <v>834</v>
      </c>
      <c r="E778" s="48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39</v>
      </c>
      <c r="K778" s="49" t="s">
        <v>76</v>
      </c>
      <c r="L778" s="49" t="s">
        <v>84</v>
      </c>
      <c r="M778" s="49" t="s">
        <v>85</v>
      </c>
      <c r="N778" s="49" t="s">
        <v>89</v>
      </c>
      <c r="O778" s="49" t="s">
        <v>37</v>
      </c>
      <c r="P778" s="11" t="s">
        <v>80</v>
      </c>
      <c r="Q778" s="11" t="s">
        <v>81</v>
      </c>
      <c r="R778" s="49" t="s">
        <v>628</v>
      </c>
      <c r="S778" s="11" t="s">
        <v>629</v>
      </c>
      <c r="T778" s="90" t="s">
        <v>1</v>
      </c>
      <c r="U778" s="90"/>
      <c r="V778" s="51">
        <v>45929</v>
      </c>
      <c r="W778" s="49" t="s">
        <v>1610</v>
      </c>
    </row>
    <row r="779" spans="1:23" ht="13" customHeight="1" x14ac:dyDescent="0.35">
      <c r="A779" s="11">
        <v>774</v>
      </c>
      <c r="B779" s="47">
        <v>203908324</v>
      </c>
      <c r="C779" s="94" t="s">
        <v>835</v>
      </c>
      <c r="D779" s="11" t="s">
        <v>836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39</v>
      </c>
      <c r="K779" s="49" t="s">
        <v>76</v>
      </c>
      <c r="L779" s="49" t="s">
        <v>85</v>
      </c>
      <c r="M779" s="49" t="s">
        <v>88</v>
      </c>
      <c r="N779" s="48" t="s">
        <v>79</v>
      </c>
      <c r="O779" s="49" t="s">
        <v>37</v>
      </c>
      <c r="P779" s="11" t="s">
        <v>80</v>
      </c>
      <c r="Q779" s="11" t="s">
        <v>81</v>
      </c>
      <c r="R779" s="11" t="s">
        <v>2955</v>
      </c>
      <c r="S779" s="11" t="s">
        <v>2956</v>
      </c>
      <c r="T779" s="90" t="s">
        <v>10</v>
      </c>
      <c r="U779" s="104" t="s">
        <v>3008</v>
      </c>
      <c r="V779" s="51">
        <v>45537</v>
      </c>
      <c r="W779" s="49" t="s">
        <v>1610</v>
      </c>
    </row>
    <row r="780" spans="1:23" ht="13" customHeight="1" x14ac:dyDescent="0.35">
      <c r="A780" s="11">
        <v>775</v>
      </c>
      <c r="B780" s="47">
        <v>203881658</v>
      </c>
      <c r="C780" s="94" t="s">
        <v>837</v>
      </c>
      <c r="D780" s="11" t="s">
        <v>838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32</v>
      </c>
      <c r="K780" s="49" t="s">
        <v>76</v>
      </c>
      <c r="L780" s="49" t="s">
        <v>92</v>
      </c>
      <c r="M780" s="49" t="s">
        <v>84</v>
      </c>
      <c r="N780" s="48" t="s">
        <v>79</v>
      </c>
      <c r="O780" s="49" t="s">
        <v>37</v>
      </c>
      <c r="P780" s="11" t="s">
        <v>80</v>
      </c>
      <c r="Q780" s="11" t="s">
        <v>81</v>
      </c>
      <c r="R780" s="49" t="s">
        <v>628</v>
      </c>
      <c r="S780" s="11" t="s">
        <v>629</v>
      </c>
      <c r="T780" s="90" t="s">
        <v>7</v>
      </c>
      <c r="U780" s="90" t="s">
        <v>3004</v>
      </c>
      <c r="V780" s="51">
        <v>45530</v>
      </c>
      <c r="W780" s="49" t="s">
        <v>1610</v>
      </c>
    </row>
    <row r="781" spans="1:23" ht="13" customHeight="1" x14ac:dyDescent="0.35">
      <c r="A781" s="11">
        <v>776</v>
      </c>
      <c r="B781" s="47">
        <v>205854275</v>
      </c>
      <c r="C781" s="94" t="s">
        <v>839</v>
      </c>
      <c r="D781" s="11" t="s">
        <v>840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39</v>
      </c>
      <c r="K781" s="49" t="s">
        <v>76</v>
      </c>
      <c r="L781" s="49" t="s">
        <v>84</v>
      </c>
      <c r="M781" s="49" t="s">
        <v>85</v>
      </c>
      <c r="N781" s="49" t="s">
        <v>79</v>
      </c>
      <c r="O781" s="49" t="s">
        <v>37</v>
      </c>
      <c r="P781" s="11" t="s">
        <v>80</v>
      </c>
      <c r="Q781" s="11" t="s">
        <v>96</v>
      </c>
      <c r="R781" s="11" t="s">
        <v>632</v>
      </c>
      <c r="S781" s="11" t="s">
        <v>633</v>
      </c>
      <c r="T781" s="90" t="s">
        <v>7</v>
      </c>
      <c r="U781" s="90" t="s">
        <v>3004</v>
      </c>
      <c r="V781" s="51">
        <v>45894</v>
      </c>
      <c r="W781" s="49" t="s">
        <v>1610</v>
      </c>
    </row>
    <row r="782" spans="1:23" ht="13" customHeight="1" x14ac:dyDescent="0.35">
      <c r="A782" s="11">
        <v>777</v>
      </c>
      <c r="B782" s="47">
        <v>205252530</v>
      </c>
      <c r="C782" s="94" t="s">
        <v>2231</v>
      </c>
      <c r="D782" s="11" t="s">
        <v>2232</v>
      </c>
      <c r="E782" s="113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88" t="s">
        <v>39</v>
      </c>
      <c r="K782" s="49" t="s">
        <v>76</v>
      </c>
      <c r="L782" s="49" t="s">
        <v>84</v>
      </c>
      <c r="M782" s="49" t="s">
        <v>85</v>
      </c>
      <c r="N782" s="49" t="s">
        <v>89</v>
      </c>
      <c r="O782" s="49" t="s">
        <v>37</v>
      </c>
      <c r="P782" s="49" t="s">
        <v>80</v>
      </c>
      <c r="Q782" s="49" t="s">
        <v>96</v>
      </c>
      <c r="R782" s="11" t="s">
        <v>1087</v>
      </c>
      <c r="S782" s="49" t="s">
        <v>2823</v>
      </c>
      <c r="T782" s="90" t="s">
        <v>1</v>
      </c>
      <c r="U782" s="90"/>
      <c r="V782" s="51">
        <v>46048</v>
      </c>
      <c r="W782" s="49" t="s">
        <v>1610</v>
      </c>
    </row>
    <row r="783" spans="1:23" ht="13" customHeight="1" x14ac:dyDescent="0.35">
      <c r="A783" s="11">
        <v>778</v>
      </c>
      <c r="B783" s="47">
        <v>206192267</v>
      </c>
      <c r="C783" s="94" t="s">
        <v>1644</v>
      </c>
      <c r="D783" s="11" t="s">
        <v>1635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39</v>
      </c>
      <c r="K783" s="49" t="s">
        <v>76</v>
      </c>
      <c r="L783" s="49" t="s">
        <v>78</v>
      </c>
      <c r="M783" s="49" t="s">
        <v>92</v>
      </c>
      <c r="N783" s="49" t="s">
        <v>79</v>
      </c>
      <c r="O783" s="49" t="s">
        <v>37</v>
      </c>
      <c r="P783" s="11" t="s">
        <v>80</v>
      </c>
      <c r="Q783" s="11" t="s">
        <v>96</v>
      </c>
      <c r="R783" s="11" t="s">
        <v>632</v>
      </c>
      <c r="S783" s="11" t="s">
        <v>633</v>
      </c>
      <c r="T783" s="90" t="s">
        <v>1</v>
      </c>
      <c r="U783" s="91"/>
      <c r="V783" s="51">
        <v>45936</v>
      </c>
      <c r="W783" s="49" t="s">
        <v>1610</v>
      </c>
    </row>
    <row r="784" spans="1:23" ht="13" customHeight="1" x14ac:dyDescent="0.35">
      <c r="A784" s="11">
        <v>779</v>
      </c>
      <c r="B784" s="47">
        <v>206192230</v>
      </c>
      <c r="C784" s="94" t="s">
        <v>1645</v>
      </c>
      <c r="D784" s="11" t="s">
        <v>1636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78</v>
      </c>
      <c r="M784" s="49" t="s">
        <v>92</v>
      </c>
      <c r="N784" s="49" t="s">
        <v>79</v>
      </c>
      <c r="O784" s="49" t="s">
        <v>37</v>
      </c>
      <c r="P784" s="11" t="s">
        <v>80</v>
      </c>
      <c r="Q784" s="11" t="s">
        <v>96</v>
      </c>
      <c r="R784" s="11" t="s">
        <v>632</v>
      </c>
      <c r="S784" s="11" t="s">
        <v>633</v>
      </c>
      <c r="T784" s="90" t="s">
        <v>1</v>
      </c>
      <c r="U784" s="89"/>
      <c r="V784" s="51">
        <v>45936</v>
      </c>
      <c r="W784" s="49" t="s">
        <v>1610</v>
      </c>
    </row>
    <row r="785" spans="1:23" ht="13" customHeight="1" x14ac:dyDescent="0.35">
      <c r="A785" s="11">
        <v>780</v>
      </c>
      <c r="B785" s="47">
        <v>205852637</v>
      </c>
      <c r="C785" s="94" t="s">
        <v>841</v>
      </c>
      <c r="D785" s="11" t="s">
        <v>842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39</v>
      </c>
      <c r="K785" s="49" t="s">
        <v>76</v>
      </c>
      <c r="L785" s="49" t="s">
        <v>84</v>
      </c>
      <c r="M785" s="49" t="s">
        <v>85</v>
      </c>
      <c r="N785" s="49" t="s">
        <v>79</v>
      </c>
      <c r="O785" s="49" t="s">
        <v>37</v>
      </c>
      <c r="P785" s="11" t="s">
        <v>80</v>
      </c>
      <c r="Q785" s="11" t="s">
        <v>96</v>
      </c>
      <c r="R785" s="11" t="s">
        <v>632</v>
      </c>
      <c r="S785" s="11" t="s">
        <v>633</v>
      </c>
      <c r="T785" s="90" t="s">
        <v>7</v>
      </c>
      <c r="U785" s="90" t="s">
        <v>3004</v>
      </c>
      <c r="V785" s="51">
        <v>45894</v>
      </c>
      <c r="W785" s="49" t="s">
        <v>1610</v>
      </c>
    </row>
    <row r="786" spans="1:23" ht="13" customHeight="1" x14ac:dyDescent="0.35">
      <c r="A786" s="11">
        <v>781</v>
      </c>
      <c r="B786" s="47">
        <v>203908323</v>
      </c>
      <c r="C786" s="94" t="s">
        <v>843</v>
      </c>
      <c r="D786" s="11" t="s">
        <v>844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39</v>
      </c>
      <c r="K786" s="49" t="s">
        <v>76</v>
      </c>
      <c r="L786" s="49" t="s">
        <v>88</v>
      </c>
      <c r="M786" s="49" t="s">
        <v>95</v>
      </c>
      <c r="N786" s="48" t="s">
        <v>86</v>
      </c>
      <c r="O786" s="49" t="s">
        <v>37</v>
      </c>
      <c r="P786" s="11" t="s">
        <v>80</v>
      </c>
      <c r="Q786" s="11" t="s">
        <v>90</v>
      </c>
      <c r="R786" s="49" t="s">
        <v>2825</v>
      </c>
      <c r="S786" s="11" t="s">
        <v>643</v>
      </c>
      <c r="T786" s="90" t="s">
        <v>7</v>
      </c>
      <c r="U786" s="90" t="s">
        <v>3004</v>
      </c>
      <c r="V786" s="51">
        <v>45789</v>
      </c>
      <c r="W786" s="49" t="s">
        <v>1610</v>
      </c>
    </row>
    <row r="787" spans="1:23" ht="13" customHeight="1" x14ac:dyDescent="0.35">
      <c r="A787" s="11">
        <v>782</v>
      </c>
      <c r="B787" s="47">
        <v>105485458</v>
      </c>
      <c r="C787" s="94" t="s">
        <v>363</v>
      </c>
      <c r="D787" s="11" t="s">
        <v>364</v>
      </c>
      <c r="E787" s="48" t="s">
        <v>34</v>
      </c>
      <c r="F787" s="48" t="s">
        <v>74</v>
      </c>
      <c r="G787" s="11" t="s">
        <v>64</v>
      </c>
      <c r="H787" s="11" t="s">
        <v>75</v>
      </c>
      <c r="I787" s="11">
        <v>1182</v>
      </c>
      <c r="J787" s="49" t="s">
        <v>32</v>
      </c>
      <c r="K787" s="49" t="s">
        <v>76</v>
      </c>
      <c r="L787" s="49" t="s">
        <v>88</v>
      </c>
      <c r="M787" s="49" t="s">
        <v>95</v>
      </c>
      <c r="N787" s="48" t="s">
        <v>97</v>
      </c>
      <c r="O787" s="49" t="s">
        <v>37</v>
      </c>
      <c r="P787" s="11" t="s">
        <v>80</v>
      </c>
      <c r="Q787" s="11" t="s">
        <v>98</v>
      </c>
      <c r="R787" s="49" t="s">
        <v>2955</v>
      </c>
      <c r="S787" s="11" t="s">
        <v>2956</v>
      </c>
      <c r="T787" s="90" t="s">
        <v>1</v>
      </c>
      <c r="U787" s="91"/>
      <c r="V787" s="51">
        <v>44728</v>
      </c>
      <c r="W787" s="49" t="s">
        <v>1614</v>
      </c>
    </row>
    <row r="788" spans="1:23" ht="13" customHeight="1" x14ac:dyDescent="0.35">
      <c r="A788" s="11">
        <v>783</v>
      </c>
      <c r="B788" s="47">
        <v>204373722</v>
      </c>
      <c r="C788" s="94" t="s">
        <v>845</v>
      </c>
      <c r="D788" s="11" t="s">
        <v>846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85</v>
      </c>
      <c r="M788" s="49" t="s">
        <v>88</v>
      </c>
      <c r="N788" s="48" t="s">
        <v>86</v>
      </c>
      <c r="O788" s="49" t="s">
        <v>37</v>
      </c>
      <c r="P788" s="11" t="s">
        <v>80</v>
      </c>
      <c r="Q788" s="11" t="s">
        <v>99</v>
      </c>
      <c r="R788" s="49" t="s">
        <v>648</v>
      </c>
      <c r="S788" s="11" t="s">
        <v>1842</v>
      </c>
      <c r="T788" s="90" t="s">
        <v>1</v>
      </c>
      <c r="U788" s="91"/>
      <c r="V788" s="51">
        <v>45593</v>
      </c>
      <c r="W788" s="49" t="s">
        <v>1610</v>
      </c>
    </row>
    <row r="789" spans="1:23" ht="13" customHeight="1" x14ac:dyDescent="0.35">
      <c r="A789" s="11">
        <v>784</v>
      </c>
      <c r="B789" s="47">
        <v>205839585</v>
      </c>
      <c r="C789" s="94" t="s">
        <v>2498</v>
      </c>
      <c r="D789" s="11" t="s">
        <v>2499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32</v>
      </c>
      <c r="K789" s="49" t="s">
        <v>76</v>
      </c>
      <c r="L789" s="49" t="s">
        <v>95</v>
      </c>
      <c r="M789" s="49" t="s">
        <v>77</v>
      </c>
      <c r="N789" s="49" t="s">
        <v>89</v>
      </c>
      <c r="O789" s="49" t="s">
        <v>37</v>
      </c>
      <c r="P789" s="11" t="s">
        <v>80</v>
      </c>
      <c r="Q789" s="11" t="s">
        <v>90</v>
      </c>
      <c r="R789" s="49" t="s">
        <v>628</v>
      </c>
      <c r="S789" s="11" t="s">
        <v>629</v>
      </c>
      <c r="T789" s="90" t="s">
        <v>10</v>
      </c>
      <c r="U789" s="91"/>
      <c r="V789" s="51">
        <v>45894</v>
      </c>
      <c r="W789" s="49" t="s">
        <v>1609</v>
      </c>
    </row>
    <row r="790" spans="1:23" ht="13" customHeight="1" x14ac:dyDescent="0.35">
      <c r="A790" s="11">
        <v>785</v>
      </c>
      <c r="B790" s="47">
        <v>204094215</v>
      </c>
      <c r="C790" s="94" t="s">
        <v>847</v>
      </c>
      <c r="D790" s="11" t="s">
        <v>848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39</v>
      </c>
      <c r="K790" s="49" t="s">
        <v>76</v>
      </c>
      <c r="L790" s="49" t="s">
        <v>88</v>
      </c>
      <c r="M790" s="49" t="s">
        <v>95</v>
      </c>
      <c r="N790" s="48" t="s">
        <v>86</v>
      </c>
      <c r="O790" s="49" t="s">
        <v>37</v>
      </c>
      <c r="P790" s="11" t="s">
        <v>80</v>
      </c>
      <c r="Q790" s="11" t="s">
        <v>87</v>
      </c>
      <c r="R790" s="11" t="s">
        <v>632</v>
      </c>
      <c r="S790" s="11" t="s">
        <v>633</v>
      </c>
      <c r="T790" s="90" t="s">
        <v>1</v>
      </c>
      <c r="U790" s="90"/>
      <c r="V790" s="51">
        <v>45561</v>
      </c>
      <c r="W790" s="49" t="s">
        <v>1611</v>
      </c>
    </row>
    <row r="791" spans="1:23" ht="13" customHeight="1" x14ac:dyDescent="0.35">
      <c r="A791" s="11">
        <v>786</v>
      </c>
      <c r="B791" s="47">
        <v>102582339</v>
      </c>
      <c r="C791" s="94" t="s">
        <v>849</v>
      </c>
      <c r="D791" s="11" t="s">
        <v>850</v>
      </c>
      <c r="E791" s="48" t="s">
        <v>34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32</v>
      </c>
      <c r="K791" s="49" t="s">
        <v>76</v>
      </c>
      <c r="L791" s="49" t="s">
        <v>84</v>
      </c>
      <c r="M791" s="49" t="s">
        <v>85</v>
      </c>
      <c r="N791" s="48" t="s">
        <v>97</v>
      </c>
      <c r="O791" s="49" t="s">
        <v>37</v>
      </c>
      <c r="P791" s="11" t="s">
        <v>80</v>
      </c>
      <c r="Q791" s="11" t="s">
        <v>98</v>
      </c>
      <c r="R791" s="11" t="s">
        <v>1087</v>
      </c>
      <c r="S791" s="11" t="s">
        <v>2823</v>
      </c>
      <c r="T791" s="90" t="s">
        <v>7</v>
      </c>
      <c r="U791" s="90" t="s">
        <v>3004</v>
      </c>
      <c r="V791" s="51">
        <v>42960</v>
      </c>
      <c r="W791" s="49" t="s">
        <v>1614</v>
      </c>
    </row>
    <row r="792" spans="1:23" ht="13" customHeight="1" x14ac:dyDescent="0.35">
      <c r="A792" s="11">
        <v>787</v>
      </c>
      <c r="B792" s="47">
        <v>206886514</v>
      </c>
      <c r="C792" s="94" t="s">
        <v>1879</v>
      </c>
      <c r="D792" s="11" t="s">
        <v>1880</v>
      </c>
      <c r="E792" s="11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32</v>
      </c>
      <c r="K792" s="49" t="s">
        <v>76</v>
      </c>
      <c r="L792" s="49" t="s">
        <v>88</v>
      </c>
      <c r="M792" s="49" t="s">
        <v>95</v>
      </c>
      <c r="N792" s="49" t="s">
        <v>89</v>
      </c>
      <c r="O792" s="49" t="s">
        <v>37</v>
      </c>
      <c r="P792" s="11" t="s">
        <v>80</v>
      </c>
      <c r="Q792" s="11" t="s">
        <v>96</v>
      </c>
      <c r="R792" s="11" t="s">
        <v>2955</v>
      </c>
      <c r="S792" s="11" t="s">
        <v>2956</v>
      </c>
      <c r="T792" s="90" t="s">
        <v>1</v>
      </c>
      <c r="U792" s="90"/>
      <c r="V792" s="51">
        <v>46027</v>
      </c>
      <c r="W792" s="49" t="s">
        <v>1610</v>
      </c>
    </row>
    <row r="793" spans="1:23" ht="13" customHeight="1" x14ac:dyDescent="0.35">
      <c r="A793" s="11">
        <v>788</v>
      </c>
      <c r="B793" s="47">
        <v>206868289</v>
      </c>
      <c r="C793" s="94" t="s">
        <v>1877</v>
      </c>
      <c r="D793" s="11" t="s">
        <v>1878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95</v>
      </c>
      <c r="M793" s="49" t="s">
        <v>77</v>
      </c>
      <c r="N793" s="49" t="s">
        <v>89</v>
      </c>
      <c r="O793" s="49" t="s">
        <v>37</v>
      </c>
      <c r="P793" s="11" t="s">
        <v>80</v>
      </c>
      <c r="Q793" s="11" t="s">
        <v>81</v>
      </c>
      <c r="R793" s="49" t="s">
        <v>628</v>
      </c>
      <c r="S793" s="11" t="s">
        <v>629</v>
      </c>
      <c r="T793" s="90" t="s">
        <v>10</v>
      </c>
      <c r="U793" s="90"/>
      <c r="V793" s="51">
        <v>46016</v>
      </c>
      <c r="W793" s="11" t="s">
        <v>1609</v>
      </c>
    </row>
    <row r="794" spans="1:23" ht="13" customHeight="1" x14ac:dyDescent="0.35">
      <c r="A794" s="11">
        <v>789</v>
      </c>
      <c r="B794" s="47">
        <v>204138116</v>
      </c>
      <c r="C794" s="94" t="s">
        <v>851</v>
      </c>
      <c r="D794" s="11" t="s">
        <v>852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88</v>
      </c>
      <c r="M794" s="49" t="s">
        <v>95</v>
      </c>
      <c r="N794" s="48" t="s">
        <v>86</v>
      </c>
      <c r="O794" s="49" t="s">
        <v>37</v>
      </c>
      <c r="P794" s="11" t="s">
        <v>80</v>
      </c>
      <c r="Q794" s="11" t="s">
        <v>87</v>
      </c>
      <c r="R794" s="49" t="s">
        <v>648</v>
      </c>
      <c r="S794" s="11" t="s">
        <v>1842</v>
      </c>
      <c r="T794" s="90" t="s">
        <v>1</v>
      </c>
      <c r="U794" s="90"/>
      <c r="V794" s="51">
        <v>45565</v>
      </c>
      <c r="W794" s="49" t="s">
        <v>1610</v>
      </c>
    </row>
    <row r="795" spans="1:23" ht="13" customHeight="1" x14ac:dyDescent="0.35">
      <c r="A795" s="11">
        <v>790</v>
      </c>
      <c r="B795" s="47">
        <v>205996132</v>
      </c>
      <c r="C795" s="94" t="s">
        <v>853</v>
      </c>
      <c r="D795" s="11" t="s">
        <v>854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39</v>
      </c>
      <c r="K795" s="49" t="s">
        <v>76</v>
      </c>
      <c r="L795" s="49" t="s">
        <v>95</v>
      </c>
      <c r="M795" s="49" t="s">
        <v>77</v>
      </c>
      <c r="N795" s="49" t="s">
        <v>89</v>
      </c>
      <c r="O795" s="49" t="s">
        <v>37</v>
      </c>
      <c r="P795" s="11" t="s">
        <v>80</v>
      </c>
      <c r="Q795" s="11" t="s">
        <v>81</v>
      </c>
      <c r="R795" s="49" t="s">
        <v>2825</v>
      </c>
      <c r="S795" s="11" t="s">
        <v>643</v>
      </c>
      <c r="T795" s="90" t="s">
        <v>10</v>
      </c>
      <c r="U795" s="89"/>
      <c r="V795" s="51">
        <v>45915</v>
      </c>
      <c r="W795" s="49" t="s">
        <v>1610</v>
      </c>
    </row>
    <row r="796" spans="1:23" ht="13" customHeight="1" x14ac:dyDescent="0.35">
      <c r="A796" s="11">
        <v>791</v>
      </c>
      <c r="B796" s="47">
        <v>206915147</v>
      </c>
      <c r="C796" s="94" t="s">
        <v>1990</v>
      </c>
      <c r="D796" s="11" t="s">
        <v>1973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32</v>
      </c>
      <c r="K796" s="49" t="s">
        <v>76</v>
      </c>
      <c r="L796" s="49" t="s">
        <v>88</v>
      </c>
      <c r="M796" s="49" t="s">
        <v>95</v>
      </c>
      <c r="N796" s="49" t="s">
        <v>89</v>
      </c>
      <c r="O796" s="49" t="s">
        <v>37</v>
      </c>
      <c r="P796" s="11" t="s">
        <v>80</v>
      </c>
      <c r="Q796" s="11" t="s">
        <v>90</v>
      </c>
      <c r="R796" s="49" t="s">
        <v>628</v>
      </c>
      <c r="S796" s="11" t="s">
        <v>629</v>
      </c>
      <c r="T796" s="90" t="s">
        <v>1</v>
      </c>
      <c r="U796" s="89"/>
      <c r="V796" s="51">
        <v>46034</v>
      </c>
      <c r="W796" s="49" t="s">
        <v>1610</v>
      </c>
    </row>
    <row r="797" spans="1:23" ht="13" customHeight="1" x14ac:dyDescent="0.35">
      <c r="A797" s="11">
        <v>792</v>
      </c>
      <c r="B797" s="11">
        <v>206065208</v>
      </c>
      <c r="C797" s="94" t="s">
        <v>2948</v>
      </c>
      <c r="D797" s="11" t="s">
        <v>2949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32</v>
      </c>
      <c r="K797" s="49" t="s">
        <v>76</v>
      </c>
      <c r="L797" s="49" t="s">
        <v>85</v>
      </c>
      <c r="M797" s="49" t="s">
        <v>88</v>
      </c>
      <c r="N797" s="11" t="s">
        <v>89</v>
      </c>
      <c r="O797" s="11" t="s">
        <v>37</v>
      </c>
      <c r="P797" s="11" t="s">
        <v>80</v>
      </c>
      <c r="Q797" s="11" t="s">
        <v>81</v>
      </c>
      <c r="R797" s="11" t="s">
        <v>2825</v>
      </c>
      <c r="S797" s="11" t="s">
        <v>643</v>
      </c>
      <c r="T797" s="90" t="s">
        <v>1</v>
      </c>
      <c r="U797" s="105"/>
      <c r="V797" s="51">
        <v>46226</v>
      </c>
      <c r="W797" s="11" t="s">
        <v>1610</v>
      </c>
    </row>
    <row r="798" spans="1:23" ht="13" customHeight="1" x14ac:dyDescent="0.35">
      <c r="A798" s="11">
        <v>793</v>
      </c>
      <c r="B798" s="97">
        <v>204865035</v>
      </c>
      <c r="C798" s="47" t="s">
        <v>2874</v>
      </c>
      <c r="D798" s="94" t="s">
        <v>2875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85</v>
      </c>
      <c r="M798" s="49" t="s">
        <v>88</v>
      </c>
      <c r="N798" s="49" t="s">
        <v>89</v>
      </c>
      <c r="O798" s="49" t="s">
        <v>37</v>
      </c>
      <c r="P798" s="11" t="s">
        <v>80</v>
      </c>
      <c r="Q798" s="11" t="s">
        <v>90</v>
      </c>
      <c r="R798" s="11" t="s">
        <v>648</v>
      </c>
      <c r="S798" s="11" t="s">
        <v>2845</v>
      </c>
      <c r="T798" s="90" t="s">
        <v>1</v>
      </c>
      <c r="U798" s="90"/>
      <c r="V798" s="51">
        <v>45894</v>
      </c>
      <c r="W798" s="49" t="s">
        <v>1610</v>
      </c>
    </row>
    <row r="799" spans="1:23" ht="13" customHeight="1" x14ac:dyDescent="0.35">
      <c r="A799" s="11">
        <v>794</v>
      </c>
      <c r="B799" s="47">
        <v>203850767</v>
      </c>
      <c r="C799" s="94" t="s">
        <v>2429</v>
      </c>
      <c r="D799" s="11" t="s">
        <v>2430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1299</v>
      </c>
      <c r="J799" s="49" t="s">
        <v>39</v>
      </c>
      <c r="K799" s="49" t="s">
        <v>76</v>
      </c>
      <c r="L799" s="49" t="s">
        <v>78</v>
      </c>
      <c r="M799" s="49" t="s">
        <v>92</v>
      </c>
      <c r="N799" s="49" t="s">
        <v>89</v>
      </c>
      <c r="O799" s="49" t="s">
        <v>37</v>
      </c>
      <c r="P799" s="11" t="s">
        <v>80</v>
      </c>
      <c r="Q799" s="11" t="s">
        <v>90</v>
      </c>
      <c r="R799" s="49" t="s">
        <v>628</v>
      </c>
      <c r="S799" s="11" t="s">
        <v>629</v>
      </c>
      <c r="T799" s="90" t="s">
        <v>1</v>
      </c>
      <c r="U799" s="89"/>
      <c r="V799" s="51">
        <v>45524</v>
      </c>
      <c r="W799" s="49" t="s">
        <v>1610</v>
      </c>
    </row>
    <row r="800" spans="1:23" ht="13" customHeight="1" x14ac:dyDescent="0.35">
      <c r="A800" s="11">
        <v>795</v>
      </c>
      <c r="B800" s="97">
        <v>204865037</v>
      </c>
      <c r="C800" s="47" t="s">
        <v>2876</v>
      </c>
      <c r="D800" s="94" t="s">
        <v>2877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32</v>
      </c>
      <c r="K800" s="49" t="s">
        <v>76</v>
      </c>
      <c r="L800" s="49" t="s">
        <v>85</v>
      </c>
      <c r="M800" s="49" t="s">
        <v>88</v>
      </c>
      <c r="N800" s="48" t="s">
        <v>86</v>
      </c>
      <c r="O800" s="49" t="s">
        <v>37</v>
      </c>
      <c r="P800" s="11" t="s">
        <v>80</v>
      </c>
      <c r="Q800" s="11" t="s">
        <v>90</v>
      </c>
      <c r="R800" s="11" t="s">
        <v>648</v>
      </c>
      <c r="S800" s="11" t="s">
        <v>2845</v>
      </c>
      <c r="T800" s="90" t="s">
        <v>1</v>
      </c>
      <c r="U800" s="89"/>
      <c r="V800" s="51">
        <v>45894</v>
      </c>
      <c r="W800" s="49" t="s">
        <v>1610</v>
      </c>
    </row>
    <row r="801" spans="1:23" ht="13" customHeight="1" x14ac:dyDescent="0.35">
      <c r="A801" s="11">
        <v>796</v>
      </c>
      <c r="B801" s="47">
        <v>204137705</v>
      </c>
      <c r="C801" s="94" t="s">
        <v>855</v>
      </c>
      <c r="D801" s="11" t="s">
        <v>856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39</v>
      </c>
      <c r="K801" s="49" t="s">
        <v>76</v>
      </c>
      <c r="L801" s="49" t="s">
        <v>92</v>
      </c>
      <c r="M801" s="49" t="s">
        <v>84</v>
      </c>
      <c r="N801" s="48" t="s">
        <v>86</v>
      </c>
      <c r="O801" s="49" t="s">
        <v>37</v>
      </c>
      <c r="P801" s="11" t="s">
        <v>80</v>
      </c>
      <c r="Q801" s="11" t="s">
        <v>87</v>
      </c>
      <c r="R801" s="11" t="s">
        <v>632</v>
      </c>
      <c r="S801" s="11" t="s">
        <v>633</v>
      </c>
      <c r="T801" s="90" t="s">
        <v>1</v>
      </c>
      <c r="U801" s="91"/>
      <c r="V801" s="51">
        <v>45565</v>
      </c>
      <c r="W801" s="49" t="s">
        <v>1610</v>
      </c>
    </row>
    <row r="802" spans="1:23" ht="13" customHeight="1" x14ac:dyDescent="0.35">
      <c r="A802" s="11">
        <v>797</v>
      </c>
      <c r="B802" s="47">
        <v>206897644</v>
      </c>
      <c r="C802" s="94" t="s">
        <v>1949</v>
      </c>
      <c r="D802" s="11" t="s">
        <v>1950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1290</v>
      </c>
      <c r="J802" s="49" t="s">
        <v>32</v>
      </c>
      <c r="K802" s="49" t="s">
        <v>76</v>
      </c>
      <c r="L802" s="49" t="s">
        <v>92</v>
      </c>
      <c r="M802" s="49" t="s">
        <v>84</v>
      </c>
      <c r="N802" s="49" t="s">
        <v>89</v>
      </c>
      <c r="O802" s="48" t="s">
        <v>37</v>
      </c>
      <c r="P802" s="48" t="s">
        <v>80</v>
      </c>
      <c r="Q802" s="11" t="s">
        <v>81</v>
      </c>
      <c r="R802" s="49" t="s">
        <v>648</v>
      </c>
      <c r="S802" s="11" t="s">
        <v>1842</v>
      </c>
      <c r="T802" s="90" t="s">
        <v>1</v>
      </c>
      <c r="U802" s="91" t="s">
        <v>3003</v>
      </c>
      <c r="V802" s="51">
        <v>46030</v>
      </c>
      <c r="W802" s="49" t="s">
        <v>1610</v>
      </c>
    </row>
    <row r="803" spans="1:23" ht="13" customHeight="1" x14ac:dyDescent="0.35">
      <c r="A803" s="11">
        <v>798</v>
      </c>
      <c r="B803" s="47">
        <v>203737010</v>
      </c>
      <c r="C803" s="94" t="s">
        <v>857</v>
      </c>
      <c r="D803" s="11" t="s">
        <v>858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39</v>
      </c>
      <c r="K803" s="49" t="s">
        <v>76</v>
      </c>
      <c r="L803" s="49" t="s">
        <v>84</v>
      </c>
      <c r="M803" s="49" t="s">
        <v>85</v>
      </c>
      <c r="N803" s="48" t="s">
        <v>79</v>
      </c>
      <c r="O803" s="49" t="s">
        <v>37</v>
      </c>
      <c r="P803" s="11" t="s">
        <v>80</v>
      </c>
      <c r="Q803" s="11" t="s">
        <v>81</v>
      </c>
      <c r="R803" s="11" t="s">
        <v>1087</v>
      </c>
      <c r="S803" s="11" t="s">
        <v>2823</v>
      </c>
      <c r="T803" s="90" t="s">
        <v>1</v>
      </c>
      <c r="U803" s="89"/>
      <c r="V803" s="51">
        <v>45502</v>
      </c>
      <c r="W803" s="49" t="s">
        <v>1610</v>
      </c>
    </row>
    <row r="804" spans="1:23" ht="13" customHeight="1" x14ac:dyDescent="0.35">
      <c r="A804" s="11">
        <v>799</v>
      </c>
      <c r="B804" s="47">
        <v>206906443</v>
      </c>
      <c r="C804" s="94" t="s">
        <v>1937</v>
      </c>
      <c r="D804" s="11" t="s">
        <v>1938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1299</v>
      </c>
      <c r="J804" s="49" t="s">
        <v>39</v>
      </c>
      <c r="K804" s="49" t="s">
        <v>76</v>
      </c>
      <c r="L804" s="49" t="s">
        <v>84</v>
      </c>
      <c r="M804" s="49" t="s">
        <v>85</v>
      </c>
      <c r="N804" s="49" t="s">
        <v>89</v>
      </c>
      <c r="O804" s="48" t="s">
        <v>37</v>
      </c>
      <c r="P804" s="48" t="s">
        <v>80</v>
      </c>
      <c r="Q804" s="11" t="s">
        <v>90</v>
      </c>
      <c r="R804" s="49" t="s">
        <v>648</v>
      </c>
      <c r="S804" s="11" t="s">
        <v>1842</v>
      </c>
      <c r="T804" s="90" t="s">
        <v>1</v>
      </c>
      <c r="U804" s="90"/>
      <c r="V804" s="51">
        <v>46030</v>
      </c>
      <c r="W804" s="49" t="s">
        <v>1610</v>
      </c>
    </row>
    <row r="805" spans="1:23" ht="13" customHeight="1" x14ac:dyDescent="0.35">
      <c r="A805" s="11">
        <v>800</v>
      </c>
      <c r="B805" s="97">
        <v>203993509</v>
      </c>
      <c r="C805" s="47" t="s">
        <v>2878</v>
      </c>
      <c r="D805" s="94" t="s">
        <v>2879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32</v>
      </c>
      <c r="K805" s="49" t="s">
        <v>76</v>
      </c>
      <c r="L805" s="49" t="s">
        <v>85</v>
      </c>
      <c r="M805" s="49" t="s">
        <v>88</v>
      </c>
      <c r="N805" s="48" t="s">
        <v>86</v>
      </c>
      <c r="O805" s="49" t="s">
        <v>37</v>
      </c>
      <c r="P805" s="11" t="s">
        <v>80</v>
      </c>
      <c r="Q805" s="11" t="s">
        <v>90</v>
      </c>
      <c r="R805" s="11" t="s">
        <v>648</v>
      </c>
      <c r="S805" s="11" t="s">
        <v>2845</v>
      </c>
      <c r="T805" s="90" t="s">
        <v>1</v>
      </c>
      <c r="U805" s="91"/>
      <c r="V805" s="51">
        <v>45894</v>
      </c>
      <c r="W805" s="49" t="s">
        <v>1610</v>
      </c>
    </row>
    <row r="806" spans="1:23" ht="13" customHeight="1" x14ac:dyDescent="0.35">
      <c r="A806" s="11">
        <v>801</v>
      </c>
      <c r="B806" s="47">
        <v>206915764</v>
      </c>
      <c r="C806" s="94" t="s">
        <v>1979</v>
      </c>
      <c r="D806" s="11" t="s">
        <v>1986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39</v>
      </c>
      <c r="K806" s="49" t="s">
        <v>76</v>
      </c>
      <c r="L806" s="49" t="s">
        <v>92</v>
      </c>
      <c r="M806" s="49" t="s">
        <v>84</v>
      </c>
      <c r="N806" s="49" t="s">
        <v>89</v>
      </c>
      <c r="O806" s="49" t="s">
        <v>37</v>
      </c>
      <c r="P806" s="49" t="s">
        <v>80</v>
      </c>
      <c r="Q806" s="49" t="s">
        <v>90</v>
      </c>
      <c r="R806" s="49" t="s">
        <v>648</v>
      </c>
      <c r="S806" s="49" t="s">
        <v>1842</v>
      </c>
      <c r="T806" s="90" t="s">
        <v>3</v>
      </c>
      <c r="U806" s="90"/>
      <c r="V806" s="51">
        <v>46034</v>
      </c>
      <c r="W806" s="49" t="s">
        <v>1609</v>
      </c>
    </row>
    <row r="807" spans="1:23" ht="13" customHeight="1" x14ac:dyDescent="0.35">
      <c r="A807" s="11">
        <v>802</v>
      </c>
      <c r="B807" s="47">
        <v>206850959</v>
      </c>
      <c r="C807" s="94" t="s">
        <v>1847</v>
      </c>
      <c r="D807" s="47" t="s">
        <v>1848</v>
      </c>
      <c r="E807" s="47" t="s">
        <v>31</v>
      </c>
      <c r="F807" s="48" t="s">
        <v>74</v>
      </c>
      <c r="G807" s="11" t="s">
        <v>64</v>
      </c>
      <c r="H807" s="11" t="s">
        <v>75</v>
      </c>
      <c r="I807" s="47">
        <v>1299</v>
      </c>
      <c r="J807" s="49" t="s">
        <v>32</v>
      </c>
      <c r="K807" s="49" t="s">
        <v>76</v>
      </c>
      <c r="L807" s="49" t="s">
        <v>88</v>
      </c>
      <c r="M807" s="49" t="s">
        <v>95</v>
      </c>
      <c r="N807" s="49" t="s">
        <v>89</v>
      </c>
      <c r="O807" s="49" t="s">
        <v>37</v>
      </c>
      <c r="P807" s="11" t="s">
        <v>80</v>
      </c>
      <c r="Q807" s="47" t="s">
        <v>90</v>
      </c>
      <c r="R807" s="11" t="s">
        <v>1087</v>
      </c>
      <c r="S807" s="11" t="s">
        <v>2823</v>
      </c>
      <c r="T807" s="90" t="s">
        <v>1</v>
      </c>
      <c r="U807" s="90"/>
      <c r="V807" s="51">
        <v>46013</v>
      </c>
      <c r="W807" s="49" t="s">
        <v>1610</v>
      </c>
    </row>
    <row r="808" spans="1:23" ht="13" customHeight="1" x14ac:dyDescent="0.35">
      <c r="A808" s="11">
        <v>803</v>
      </c>
      <c r="B808" s="47">
        <v>206128855</v>
      </c>
      <c r="C808" s="94" t="s">
        <v>859</v>
      </c>
      <c r="D808" s="11" t="s">
        <v>860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32</v>
      </c>
      <c r="K808" s="49" t="s">
        <v>76</v>
      </c>
      <c r="L808" s="49" t="s">
        <v>92</v>
      </c>
      <c r="M808" s="49" t="s">
        <v>84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11" t="s">
        <v>2955</v>
      </c>
      <c r="S808" s="11" t="s">
        <v>2956</v>
      </c>
      <c r="T808" s="90" t="s">
        <v>1</v>
      </c>
      <c r="U808" s="91"/>
      <c r="V808" s="51">
        <v>45929</v>
      </c>
      <c r="W808" s="49" t="s">
        <v>1610</v>
      </c>
    </row>
    <row r="809" spans="1:23" ht="13" customHeight="1" x14ac:dyDescent="0.35">
      <c r="A809" s="11">
        <v>804</v>
      </c>
      <c r="B809" s="47">
        <v>206605136</v>
      </c>
      <c r="C809" s="94" t="s">
        <v>2147</v>
      </c>
      <c r="D809" s="11" t="s">
        <v>2148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88" t="s">
        <v>39</v>
      </c>
      <c r="K809" s="49" t="s">
        <v>76</v>
      </c>
      <c r="L809" s="49" t="s">
        <v>92</v>
      </c>
      <c r="M809" s="49" t="s">
        <v>84</v>
      </c>
      <c r="N809" s="49" t="s">
        <v>89</v>
      </c>
      <c r="O809" s="49" t="s">
        <v>37</v>
      </c>
      <c r="P809" s="11" t="s">
        <v>80</v>
      </c>
      <c r="Q809" s="11" t="s">
        <v>96</v>
      </c>
      <c r="R809" s="11" t="s">
        <v>2954</v>
      </c>
      <c r="S809" s="11" t="s">
        <v>2822</v>
      </c>
      <c r="T809" s="90" t="s">
        <v>7</v>
      </c>
      <c r="U809" s="90" t="s">
        <v>3004</v>
      </c>
      <c r="V809" s="51">
        <v>46048</v>
      </c>
      <c r="W809" s="49" t="s">
        <v>1610</v>
      </c>
    </row>
    <row r="810" spans="1:23" ht="13" customHeight="1" x14ac:dyDescent="0.35">
      <c r="A810" s="11">
        <v>805</v>
      </c>
      <c r="B810" s="47">
        <v>203965176</v>
      </c>
      <c r="C810" s="94" t="s">
        <v>861</v>
      </c>
      <c r="D810" s="11" t="s">
        <v>862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32</v>
      </c>
      <c r="K810" s="49" t="s">
        <v>76</v>
      </c>
      <c r="L810" s="49" t="s">
        <v>77</v>
      </c>
      <c r="M810" s="49" t="s">
        <v>78</v>
      </c>
      <c r="N810" s="48" t="s">
        <v>79</v>
      </c>
      <c r="O810" s="49" t="s">
        <v>37</v>
      </c>
      <c r="P810" s="11" t="s">
        <v>80</v>
      </c>
      <c r="Q810" s="11" t="s">
        <v>81</v>
      </c>
      <c r="R810" s="49" t="s">
        <v>648</v>
      </c>
      <c r="S810" s="11" t="s">
        <v>1842</v>
      </c>
      <c r="T810" s="90" t="s">
        <v>10</v>
      </c>
      <c r="U810" s="90"/>
      <c r="V810" s="51">
        <v>45544</v>
      </c>
      <c r="W810" s="49" t="s">
        <v>1610</v>
      </c>
    </row>
    <row r="811" spans="1:23" ht="13" customHeight="1" x14ac:dyDescent="0.35">
      <c r="A811" s="11">
        <v>806</v>
      </c>
      <c r="B811" s="47">
        <v>205852638</v>
      </c>
      <c r="C811" s="94" t="s">
        <v>863</v>
      </c>
      <c r="D811" s="11" t="s">
        <v>864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92</v>
      </c>
      <c r="M811" s="49" t="s">
        <v>84</v>
      </c>
      <c r="N811" s="49" t="s">
        <v>89</v>
      </c>
      <c r="O811" s="49" t="s">
        <v>37</v>
      </c>
      <c r="P811" s="11" t="s">
        <v>80</v>
      </c>
      <c r="Q811" s="11" t="s">
        <v>96</v>
      </c>
      <c r="R811" s="11" t="s">
        <v>632</v>
      </c>
      <c r="S811" s="11" t="s">
        <v>633</v>
      </c>
      <c r="T811" s="90" t="s">
        <v>7</v>
      </c>
      <c r="U811" s="90" t="s">
        <v>3004</v>
      </c>
      <c r="V811" s="51">
        <v>45894</v>
      </c>
      <c r="W811" s="49" t="s">
        <v>1610</v>
      </c>
    </row>
    <row r="812" spans="1:23" ht="13" customHeight="1" x14ac:dyDescent="0.35">
      <c r="A812" s="11">
        <v>807</v>
      </c>
      <c r="B812" s="47">
        <v>206192269</v>
      </c>
      <c r="C812" s="94" t="s">
        <v>1630</v>
      </c>
      <c r="D812" s="11" t="s">
        <v>1624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39</v>
      </c>
      <c r="K812" s="49" t="s">
        <v>76</v>
      </c>
      <c r="L812" s="49" t="s">
        <v>95</v>
      </c>
      <c r="M812" s="49" t="s">
        <v>77</v>
      </c>
      <c r="N812" s="49" t="s">
        <v>89</v>
      </c>
      <c r="O812" s="49" t="s">
        <v>37</v>
      </c>
      <c r="P812" s="11" t="s">
        <v>80</v>
      </c>
      <c r="Q812" s="11" t="s">
        <v>96</v>
      </c>
      <c r="R812" s="11" t="s">
        <v>2955</v>
      </c>
      <c r="S812" s="11" t="s">
        <v>2956</v>
      </c>
      <c r="T812" s="90" t="s">
        <v>10</v>
      </c>
      <c r="U812" s="90"/>
      <c r="V812" s="51">
        <v>45936</v>
      </c>
      <c r="W812" s="49" t="s">
        <v>1610</v>
      </c>
    </row>
    <row r="813" spans="1:23" ht="13" customHeight="1" x14ac:dyDescent="0.35">
      <c r="A813" s="11">
        <v>808</v>
      </c>
      <c r="B813" s="47">
        <v>206886736</v>
      </c>
      <c r="C813" s="94" t="s">
        <v>1919</v>
      </c>
      <c r="D813" s="11" t="s">
        <v>1920</v>
      </c>
      <c r="E813" s="11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32</v>
      </c>
      <c r="K813" s="49" t="s">
        <v>76</v>
      </c>
      <c r="L813" s="49" t="s">
        <v>92</v>
      </c>
      <c r="M813" s="49" t="s">
        <v>84</v>
      </c>
      <c r="N813" s="49" t="s">
        <v>89</v>
      </c>
      <c r="O813" s="49" t="s">
        <v>37</v>
      </c>
      <c r="P813" s="11" t="s">
        <v>80</v>
      </c>
      <c r="Q813" s="11" t="s">
        <v>96</v>
      </c>
      <c r="R813" s="49" t="s">
        <v>628</v>
      </c>
      <c r="S813" s="11" t="s">
        <v>629</v>
      </c>
      <c r="T813" s="90" t="s">
        <v>1</v>
      </c>
      <c r="U813" s="89"/>
      <c r="V813" s="51">
        <v>46027</v>
      </c>
      <c r="W813" s="11" t="s">
        <v>1611</v>
      </c>
    </row>
    <row r="814" spans="1:23" ht="13" customHeight="1" x14ac:dyDescent="0.35">
      <c r="A814" s="11">
        <v>809</v>
      </c>
      <c r="B814" s="47">
        <v>204070590</v>
      </c>
      <c r="C814" s="94" t="s">
        <v>2500</v>
      </c>
      <c r="D814" s="11" t="s">
        <v>2501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32</v>
      </c>
      <c r="K814" s="49" t="s">
        <v>76</v>
      </c>
      <c r="L814" s="49" t="s">
        <v>77</v>
      </c>
      <c r="M814" s="49" t="s">
        <v>78</v>
      </c>
      <c r="N814" s="48" t="s">
        <v>86</v>
      </c>
      <c r="O814" s="49" t="s">
        <v>37</v>
      </c>
      <c r="P814" s="11" t="s">
        <v>80</v>
      </c>
      <c r="Q814" s="11" t="s">
        <v>90</v>
      </c>
      <c r="R814" s="11" t="s">
        <v>2955</v>
      </c>
      <c r="S814" s="11" t="s">
        <v>2956</v>
      </c>
      <c r="T814" s="90" t="s">
        <v>10</v>
      </c>
      <c r="U814" s="90"/>
      <c r="V814" s="51">
        <v>45558</v>
      </c>
      <c r="W814" s="49" t="s">
        <v>1610</v>
      </c>
    </row>
    <row r="815" spans="1:23" ht="13" customHeight="1" x14ac:dyDescent="0.35">
      <c r="A815" s="11">
        <v>810</v>
      </c>
      <c r="B815" s="97">
        <v>204010424</v>
      </c>
      <c r="C815" s="47" t="s">
        <v>2880</v>
      </c>
      <c r="D815" s="94" t="s">
        <v>2881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39</v>
      </c>
      <c r="K815" s="49" t="s">
        <v>76</v>
      </c>
      <c r="L815" s="49" t="s">
        <v>84</v>
      </c>
      <c r="M815" s="49" t="s">
        <v>85</v>
      </c>
      <c r="N815" s="49" t="s">
        <v>89</v>
      </c>
      <c r="O815" s="49" t="s">
        <v>37</v>
      </c>
      <c r="P815" s="11" t="s">
        <v>80</v>
      </c>
      <c r="Q815" s="11" t="s">
        <v>90</v>
      </c>
      <c r="R815" s="11" t="s">
        <v>2955</v>
      </c>
      <c r="S815" s="11" t="s">
        <v>2956</v>
      </c>
      <c r="T815" s="90" t="s">
        <v>1</v>
      </c>
      <c r="U815" s="91"/>
      <c r="V815" s="51">
        <v>45551</v>
      </c>
      <c r="W815" s="49" t="s">
        <v>1610</v>
      </c>
    </row>
    <row r="816" spans="1:23" ht="13" customHeight="1" x14ac:dyDescent="0.35">
      <c r="A816" s="11">
        <v>811</v>
      </c>
      <c r="B816" s="47">
        <v>206897652</v>
      </c>
      <c r="C816" s="94" t="s">
        <v>1963</v>
      </c>
      <c r="D816" s="11" t="s">
        <v>1964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1290</v>
      </c>
      <c r="J816" s="49" t="s">
        <v>39</v>
      </c>
      <c r="K816" s="49" t="s">
        <v>76</v>
      </c>
      <c r="L816" s="49" t="s">
        <v>92</v>
      </c>
      <c r="M816" s="49" t="s">
        <v>84</v>
      </c>
      <c r="N816" s="49" t="s">
        <v>89</v>
      </c>
      <c r="O816" s="48" t="s">
        <v>37</v>
      </c>
      <c r="P816" s="48" t="s">
        <v>80</v>
      </c>
      <c r="Q816" s="11" t="s">
        <v>81</v>
      </c>
      <c r="R816" s="11" t="s">
        <v>1087</v>
      </c>
      <c r="S816" s="11" t="s">
        <v>2823</v>
      </c>
      <c r="T816" s="90" t="s">
        <v>1</v>
      </c>
      <c r="U816" s="89"/>
      <c r="V816" s="51">
        <v>46030</v>
      </c>
      <c r="W816" s="49" t="s">
        <v>1611</v>
      </c>
    </row>
    <row r="817" spans="1:23" ht="13" customHeight="1" x14ac:dyDescent="0.35">
      <c r="A817" s="11">
        <v>812</v>
      </c>
      <c r="B817" s="47">
        <v>202460493</v>
      </c>
      <c r="C817" s="94" t="s">
        <v>865</v>
      </c>
      <c r="D817" s="11" t="s">
        <v>866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32</v>
      </c>
      <c r="K817" s="49" t="s">
        <v>76</v>
      </c>
      <c r="L817" s="49" t="s">
        <v>84</v>
      </c>
      <c r="M817" s="49" t="s">
        <v>85</v>
      </c>
      <c r="N817" s="48" t="s">
        <v>86</v>
      </c>
      <c r="O817" s="49" t="s">
        <v>37</v>
      </c>
      <c r="P817" s="11" t="s">
        <v>80</v>
      </c>
      <c r="Q817" s="11" t="s">
        <v>87</v>
      </c>
      <c r="R817" s="49" t="s">
        <v>628</v>
      </c>
      <c r="S817" s="11" t="s">
        <v>629</v>
      </c>
      <c r="T817" s="90" t="s">
        <v>7</v>
      </c>
      <c r="U817" s="90" t="s">
        <v>3004</v>
      </c>
      <c r="V817" s="51">
        <v>45586</v>
      </c>
      <c r="W817" s="49" t="s">
        <v>1611</v>
      </c>
    </row>
    <row r="818" spans="1:23" ht="13" customHeight="1" x14ac:dyDescent="0.35">
      <c r="A818" s="11">
        <v>813</v>
      </c>
      <c r="B818" s="47">
        <v>202351580</v>
      </c>
      <c r="C818" s="94" t="s">
        <v>867</v>
      </c>
      <c r="D818" s="11" t="s">
        <v>868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39</v>
      </c>
      <c r="K818" s="49" t="s">
        <v>76</v>
      </c>
      <c r="L818" s="49" t="s">
        <v>77</v>
      </c>
      <c r="M818" s="49" t="s">
        <v>78</v>
      </c>
      <c r="N818" s="48" t="s">
        <v>79</v>
      </c>
      <c r="O818" s="49" t="s">
        <v>37</v>
      </c>
      <c r="P818" s="11" t="s">
        <v>80</v>
      </c>
      <c r="Q818" s="11" t="s">
        <v>81</v>
      </c>
      <c r="R818" s="11" t="s">
        <v>632</v>
      </c>
      <c r="S818" s="11" t="s">
        <v>633</v>
      </c>
      <c r="T818" s="90" t="s">
        <v>10</v>
      </c>
      <c r="U818" s="90"/>
      <c r="V818" s="51">
        <v>45544</v>
      </c>
      <c r="W818" s="49" t="s">
        <v>1611</v>
      </c>
    </row>
    <row r="819" spans="1:23" ht="13" customHeight="1" x14ac:dyDescent="0.35">
      <c r="A819" s="11">
        <v>814</v>
      </c>
      <c r="B819" s="47">
        <v>204011443</v>
      </c>
      <c r="C819" s="94" t="s">
        <v>2431</v>
      </c>
      <c r="D819" s="11" t="s">
        <v>2432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84</v>
      </c>
      <c r="M819" s="49" t="s">
        <v>85</v>
      </c>
      <c r="N819" s="48" t="s">
        <v>86</v>
      </c>
      <c r="O819" s="49" t="s">
        <v>37</v>
      </c>
      <c r="P819" s="11" t="s">
        <v>80</v>
      </c>
      <c r="Q819" s="11" t="s">
        <v>90</v>
      </c>
      <c r="R819" s="49" t="s">
        <v>628</v>
      </c>
      <c r="S819" s="11" t="s">
        <v>629</v>
      </c>
      <c r="T819" s="90" t="s">
        <v>1</v>
      </c>
      <c r="U819" s="90"/>
      <c r="V819" s="51">
        <v>45551</v>
      </c>
      <c r="W819" s="49" t="s">
        <v>1611</v>
      </c>
    </row>
    <row r="820" spans="1:23" ht="13" customHeight="1" x14ac:dyDescent="0.35">
      <c r="A820" s="11">
        <v>815</v>
      </c>
      <c r="B820" s="47">
        <v>204072301</v>
      </c>
      <c r="C820" s="94" t="s">
        <v>869</v>
      </c>
      <c r="D820" s="11" t="s">
        <v>870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32</v>
      </c>
      <c r="K820" s="49" t="s">
        <v>76</v>
      </c>
      <c r="L820" s="49" t="s">
        <v>85</v>
      </c>
      <c r="M820" s="49" t="s">
        <v>88</v>
      </c>
      <c r="N820" s="48" t="s">
        <v>86</v>
      </c>
      <c r="O820" s="49" t="s">
        <v>37</v>
      </c>
      <c r="P820" s="11" t="s">
        <v>80</v>
      </c>
      <c r="Q820" s="11" t="s">
        <v>90</v>
      </c>
      <c r="R820" s="11" t="s">
        <v>2955</v>
      </c>
      <c r="S820" s="11" t="s">
        <v>2956</v>
      </c>
      <c r="T820" s="90" t="s">
        <v>1</v>
      </c>
      <c r="U820" s="89"/>
      <c r="V820" s="51">
        <v>45558</v>
      </c>
      <c r="W820" s="49" t="s">
        <v>1610</v>
      </c>
    </row>
    <row r="821" spans="1:23" ht="13" customHeight="1" x14ac:dyDescent="0.35">
      <c r="A821" s="11">
        <v>816</v>
      </c>
      <c r="B821" s="47">
        <v>206897647</v>
      </c>
      <c r="C821" s="94" t="s">
        <v>1959</v>
      </c>
      <c r="D821" s="11" t="s">
        <v>1960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1290</v>
      </c>
      <c r="J821" s="49" t="s">
        <v>39</v>
      </c>
      <c r="K821" s="49" t="s">
        <v>76</v>
      </c>
      <c r="L821" s="49" t="s">
        <v>85</v>
      </c>
      <c r="M821" s="49" t="s">
        <v>88</v>
      </c>
      <c r="N821" s="49" t="s">
        <v>89</v>
      </c>
      <c r="O821" s="48" t="s">
        <v>37</v>
      </c>
      <c r="P821" s="48" t="s">
        <v>80</v>
      </c>
      <c r="Q821" s="11" t="s">
        <v>81</v>
      </c>
      <c r="R821" s="11" t="s">
        <v>1087</v>
      </c>
      <c r="S821" s="11" t="s">
        <v>2823</v>
      </c>
      <c r="T821" s="90" t="s">
        <v>1</v>
      </c>
      <c r="U821" s="91"/>
      <c r="V821" s="51">
        <v>46030</v>
      </c>
      <c r="W821" s="49" t="s">
        <v>1611</v>
      </c>
    </row>
    <row r="822" spans="1:23" ht="13" customHeight="1" x14ac:dyDescent="0.35">
      <c r="A822" s="11">
        <v>817</v>
      </c>
      <c r="B822" s="11">
        <v>206136723</v>
      </c>
      <c r="C822" s="94" t="s">
        <v>2936</v>
      </c>
      <c r="D822" s="11" t="s">
        <v>2937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88</v>
      </c>
      <c r="M822" s="49" t="s">
        <v>95</v>
      </c>
      <c r="N822" s="11" t="s">
        <v>89</v>
      </c>
      <c r="O822" s="11" t="s">
        <v>37</v>
      </c>
      <c r="P822" s="11" t="s">
        <v>80</v>
      </c>
      <c r="Q822" s="11" t="s">
        <v>81</v>
      </c>
      <c r="R822" s="11" t="s">
        <v>2825</v>
      </c>
      <c r="S822" s="11" t="s">
        <v>643</v>
      </c>
      <c r="T822" s="90" t="s">
        <v>1</v>
      </c>
      <c r="U822" s="89"/>
      <c r="V822" s="51">
        <v>46226</v>
      </c>
      <c r="W822" s="11" t="s">
        <v>1610</v>
      </c>
    </row>
    <row r="823" spans="1:23" ht="13" customHeight="1" x14ac:dyDescent="0.35">
      <c r="A823" s="11">
        <v>818</v>
      </c>
      <c r="B823" s="47">
        <v>206136725</v>
      </c>
      <c r="C823" s="94" t="s">
        <v>871</v>
      </c>
      <c r="D823" s="11" t="s">
        <v>872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78</v>
      </c>
      <c r="M823" s="49" t="s">
        <v>92</v>
      </c>
      <c r="N823" s="48" t="s">
        <v>79</v>
      </c>
      <c r="O823" s="49" t="s">
        <v>37</v>
      </c>
      <c r="P823" s="11" t="s">
        <v>80</v>
      </c>
      <c r="Q823" s="11" t="s">
        <v>81</v>
      </c>
      <c r="R823" s="49" t="s">
        <v>2825</v>
      </c>
      <c r="S823" s="11" t="s">
        <v>643</v>
      </c>
      <c r="T823" s="90" t="s">
        <v>1</v>
      </c>
      <c r="U823" s="91"/>
      <c r="V823" s="51">
        <v>45929</v>
      </c>
      <c r="W823" s="49" t="s">
        <v>1610</v>
      </c>
    </row>
    <row r="824" spans="1:23" ht="13" customHeight="1" x14ac:dyDescent="0.35">
      <c r="A824" s="11">
        <v>819</v>
      </c>
      <c r="B824" s="47">
        <v>206239529</v>
      </c>
      <c r="C824" s="94" t="s">
        <v>1690</v>
      </c>
      <c r="D824" s="11" t="s">
        <v>1663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32</v>
      </c>
      <c r="K824" s="49" t="s">
        <v>76</v>
      </c>
      <c r="L824" s="49" t="s">
        <v>88</v>
      </c>
      <c r="M824" s="49" t="s">
        <v>95</v>
      </c>
      <c r="N824" s="48" t="s">
        <v>79</v>
      </c>
      <c r="O824" s="49" t="s">
        <v>37</v>
      </c>
      <c r="P824" s="11" t="s">
        <v>80</v>
      </c>
      <c r="Q824" s="11" t="s">
        <v>81</v>
      </c>
      <c r="R824" s="11" t="s">
        <v>1087</v>
      </c>
      <c r="S824" s="11" t="s">
        <v>2823</v>
      </c>
      <c r="T824" s="90" t="s">
        <v>1</v>
      </c>
      <c r="U824" s="90"/>
      <c r="V824" s="51">
        <v>45943</v>
      </c>
      <c r="W824" s="49" t="s">
        <v>1610</v>
      </c>
    </row>
    <row r="825" spans="1:23" ht="13" customHeight="1" x14ac:dyDescent="0.35">
      <c r="A825" s="11">
        <v>820</v>
      </c>
      <c r="B825" s="47">
        <v>206074973</v>
      </c>
      <c r="C825" s="94" t="s">
        <v>873</v>
      </c>
      <c r="D825" s="11" t="s">
        <v>874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32</v>
      </c>
      <c r="K825" s="49" t="s">
        <v>76</v>
      </c>
      <c r="L825" s="49" t="s">
        <v>85</v>
      </c>
      <c r="M825" s="49" t="s">
        <v>88</v>
      </c>
      <c r="N825" s="48" t="s">
        <v>79</v>
      </c>
      <c r="O825" s="49" t="s">
        <v>37</v>
      </c>
      <c r="P825" s="11" t="s">
        <v>80</v>
      </c>
      <c r="Q825" s="11" t="s">
        <v>81</v>
      </c>
      <c r="R825" s="49" t="s">
        <v>648</v>
      </c>
      <c r="S825" s="11" t="s">
        <v>1842</v>
      </c>
      <c r="T825" s="90" t="s">
        <v>7</v>
      </c>
      <c r="U825" s="90" t="s">
        <v>3004</v>
      </c>
      <c r="V825" s="51">
        <v>45922</v>
      </c>
      <c r="W825" s="49" t="s">
        <v>1610</v>
      </c>
    </row>
    <row r="826" spans="1:23" ht="13" customHeight="1" x14ac:dyDescent="0.35">
      <c r="A826" s="11">
        <v>821</v>
      </c>
      <c r="B826" s="47">
        <v>206868002</v>
      </c>
      <c r="C826" s="94" t="s">
        <v>1873</v>
      </c>
      <c r="D826" s="11" t="s">
        <v>1874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32</v>
      </c>
      <c r="K826" s="49" t="s">
        <v>76</v>
      </c>
      <c r="L826" s="49" t="s">
        <v>85</v>
      </c>
      <c r="M826" s="49" t="s">
        <v>88</v>
      </c>
      <c r="N826" s="49" t="s">
        <v>89</v>
      </c>
      <c r="O826" s="49" t="s">
        <v>37</v>
      </c>
      <c r="P826" s="11" t="s">
        <v>80</v>
      </c>
      <c r="Q826" s="11" t="s">
        <v>81</v>
      </c>
      <c r="R826" s="11" t="s">
        <v>632</v>
      </c>
      <c r="S826" s="11" t="s">
        <v>633</v>
      </c>
      <c r="T826" s="90" t="s">
        <v>1</v>
      </c>
      <c r="U826" s="89"/>
      <c r="V826" s="51">
        <v>46016</v>
      </c>
      <c r="W826" s="11" t="s">
        <v>1609</v>
      </c>
    </row>
    <row r="827" spans="1:23" ht="13" customHeight="1" x14ac:dyDescent="0.35">
      <c r="A827" s="11">
        <v>822</v>
      </c>
      <c r="B827" s="47">
        <v>206926478</v>
      </c>
      <c r="C827" s="94" t="s">
        <v>2085</v>
      </c>
      <c r="D827" s="11" t="s">
        <v>2094</v>
      </c>
      <c r="E827" s="48" t="s">
        <v>31</v>
      </c>
      <c r="F827" s="48" t="s">
        <v>74</v>
      </c>
      <c r="G827" s="48" t="s">
        <v>64</v>
      </c>
      <c r="H827" s="48" t="s">
        <v>1365</v>
      </c>
      <c r="I827" s="11">
        <v>1299</v>
      </c>
      <c r="J827" s="49" t="s">
        <v>39</v>
      </c>
      <c r="K827" s="49" t="s">
        <v>76</v>
      </c>
      <c r="L827" s="49" t="s">
        <v>95</v>
      </c>
      <c r="M827" s="49" t="s">
        <v>77</v>
      </c>
      <c r="N827" s="49" t="s">
        <v>89</v>
      </c>
      <c r="O827" s="49" t="s">
        <v>37</v>
      </c>
      <c r="P827" s="49" t="s">
        <v>80</v>
      </c>
      <c r="Q827" s="49" t="s">
        <v>90</v>
      </c>
      <c r="R827" s="49" t="s">
        <v>628</v>
      </c>
      <c r="S827" s="11" t="s">
        <v>629</v>
      </c>
      <c r="T827" s="90" t="s">
        <v>10</v>
      </c>
      <c r="U827" s="91"/>
      <c r="V827" s="51">
        <v>46037</v>
      </c>
      <c r="W827" s="49" t="s">
        <v>2095</v>
      </c>
    </row>
    <row r="828" spans="1:23" ht="13" customHeight="1" x14ac:dyDescent="0.35">
      <c r="A828" s="11">
        <v>823</v>
      </c>
      <c r="B828" s="47">
        <v>206884029</v>
      </c>
      <c r="C828" s="94" t="s">
        <v>1921</v>
      </c>
      <c r="D828" s="11" t="s">
        <v>1922</v>
      </c>
      <c r="E828" s="11" t="s">
        <v>31</v>
      </c>
      <c r="F828" s="48" t="s">
        <v>74</v>
      </c>
      <c r="G828" s="11" t="s">
        <v>64</v>
      </c>
      <c r="H828" s="11" t="s">
        <v>75</v>
      </c>
      <c r="I828" s="11">
        <v>1299</v>
      </c>
      <c r="J828" s="49" t="s">
        <v>32</v>
      </c>
      <c r="K828" s="49" t="s">
        <v>76</v>
      </c>
      <c r="L828" s="49" t="s">
        <v>85</v>
      </c>
      <c r="M828" s="49" t="s">
        <v>88</v>
      </c>
      <c r="N828" s="49" t="s">
        <v>89</v>
      </c>
      <c r="O828" s="49" t="s">
        <v>37</v>
      </c>
      <c r="P828" s="11" t="s">
        <v>80</v>
      </c>
      <c r="Q828" s="11" t="s">
        <v>96</v>
      </c>
      <c r="R828" s="49" t="s">
        <v>628</v>
      </c>
      <c r="S828" s="11" t="s">
        <v>629</v>
      </c>
      <c r="T828" s="90" t="s">
        <v>1</v>
      </c>
      <c r="U828" s="89"/>
      <c r="V828" s="51">
        <v>46027</v>
      </c>
      <c r="W828" s="11" t="s">
        <v>1611</v>
      </c>
    </row>
    <row r="829" spans="1:23" ht="13" customHeight="1" x14ac:dyDescent="0.35">
      <c r="A829" s="11">
        <v>824</v>
      </c>
      <c r="B829" s="47">
        <v>204138503</v>
      </c>
      <c r="C829" s="94" t="s">
        <v>875</v>
      </c>
      <c r="D829" s="11" t="s">
        <v>876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39</v>
      </c>
      <c r="K829" s="49" t="s">
        <v>76</v>
      </c>
      <c r="L829" s="49" t="s">
        <v>78</v>
      </c>
      <c r="M829" s="49" t="s">
        <v>92</v>
      </c>
      <c r="N829" s="48" t="s">
        <v>79</v>
      </c>
      <c r="O829" s="49" t="s">
        <v>37</v>
      </c>
      <c r="P829" s="11" t="s">
        <v>80</v>
      </c>
      <c r="Q829" s="11" t="s">
        <v>81</v>
      </c>
      <c r="R829" s="11" t="s">
        <v>640</v>
      </c>
      <c r="S829" s="11" t="s">
        <v>2824</v>
      </c>
      <c r="T829" s="90" t="s">
        <v>1</v>
      </c>
      <c r="U829" s="89"/>
      <c r="V829" s="51">
        <v>45565</v>
      </c>
      <c r="W829" s="49" t="s">
        <v>1610</v>
      </c>
    </row>
    <row r="830" spans="1:23" ht="13" customHeight="1" x14ac:dyDescent="0.35">
      <c r="A830" s="11">
        <v>825</v>
      </c>
      <c r="B830" s="47">
        <v>205853573</v>
      </c>
      <c r="C830" s="94" t="s">
        <v>877</v>
      </c>
      <c r="D830" s="11" t="s">
        <v>878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39</v>
      </c>
      <c r="K830" s="49" t="s">
        <v>76</v>
      </c>
      <c r="L830" s="49" t="s">
        <v>92</v>
      </c>
      <c r="M830" s="49" t="s">
        <v>84</v>
      </c>
      <c r="N830" s="49" t="s">
        <v>89</v>
      </c>
      <c r="O830" s="49" t="s">
        <v>37</v>
      </c>
      <c r="P830" s="11" t="s">
        <v>80</v>
      </c>
      <c r="Q830" s="11" t="s">
        <v>96</v>
      </c>
      <c r="R830" s="11" t="s">
        <v>632</v>
      </c>
      <c r="S830" s="11" t="s">
        <v>633</v>
      </c>
      <c r="T830" s="90" t="s">
        <v>1</v>
      </c>
      <c r="U830" s="89"/>
      <c r="V830" s="51">
        <v>45894</v>
      </c>
      <c r="W830" s="49" t="s">
        <v>1610</v>
      </c>
    </row>
    <row r="831" spans="1:23" ht="13" customHeight="1" x14ac:dyDescent="0.35">
      <c r="A831" s="11">
        <v>826</v>
      </c>
      <c r="B831" s="47">
        <v>206915464</v>
      </c>
      <c r="C831" s="94" t="s">
        <v>1978</v>
      </c>
      <c r="D831" s="11" t="s">
        <v>1985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39</v>
      </c>
      <c r="K831" s="49" t="s">
        <v>76</v>
      </c>
      <c r="L831" s="49" t="s">
        <v>92</v>
      </c>
      <c r="M831" s="49" t="s">
        <v>84</v>
      </c>
      <c r="N831" s="49" t="s">
        <v>89</v>
      </c>
      <c r="O831" s="49" t="s">
        <v>37</v>
      </c>
      <c r="P831" s="49" t="s">
        <v>80</v>
      </c>
      <c r="Q831" s="49" t="s">
        <v>90</v>
      </c>
      <c r="R831" s="49" t="s">
        <v>648</v>
      </c>
      <c r="S831" s="49" t="s">
        <v>1842</v>
      </c>
      <c r="T831" s="90" t="s">
        <v>1</v>
      </c>
      <c r="U831" s="89"/>
      <c r="V831" s="51">
        <v>46034</v>
      </c>
      <c r="W831" s="49" t="s">
        <v>1609</v>
      </c>
    </row>
    <row r="832" spans="1:23" ht="13" customHeight="1" x14ac:dyDescent="0.35">
      <c r="A832" s="11">
        <v>827</v>
      </c>
      <c r="B832" s="47">
        <v>203468748</v>
      </c>
      <c r="C832" s="94" t="s">
        <v>879</v>
      </c>
      <c r="D832" s="11" t="s">
        <v>880</v>
      </c>
      <c r="E832" s="48" t="s">
        <v>31</v>
      </c>
      <c r="F832" s="48" t="s">
        <v>74</v>
      </c>
      <c r="G832" s="11" t="s">
        <v>64</v>
      </c>
      <c r="H832" s="11" t="s">
        <v>75</v>
      </c>
      <c r="I832" s="11">
        <v>1299</v>
      </c>
      <c r="J832" s="49" t="s">
        <v>39</v>
      </c>
      <c r="K832" s="49" t="s">
        <v>76</v>
      </c>
      <c r="L832" s="49" t="s">
        <v>95</v>
      </c>
      <c r="M832" s="49" t="s">
        <v>77</v>
      </c>
      <c r="N832" s="48" t="s">
        <v>79</v>
      </c>
      <c r="O832" s="49" t="s">
        <v>37</v>
      </c>
      <c r="P832" s="11" t="s">
        <v>80</v>
      </c>
      <c r="Q832" s="11" t="s">
        <v>81</v>
      </c>
      <c r="R832" s="11" t="s">
        <v>632</v>
      </c>
      <c r="S832" s="11" t="s">
        <v>633</v>
      </c>
      <c r="T832" s="90" t="s">
        <v>10</v>
      </c>
      <c r="U832" s="89"/>
      <c r="V832" s="51">
        <v>45456</v>
      </c>
      <c r="W832" s="49" t="s">
        <v>1612</v>
      </c>
    </row>
    <row r="833" spans="1:23" ht="13" customHeight="1" x14ac:dyDescent="0.35">
      <c r="A833" s="11">
        <v>828</v>
      </c>
      <c r="B833" s="47">
        <v>206890216</v>
      </c>
      <c r="C833" s="94" t="s">
        <v>1881</v>
      </c>
      <c r="D833" s="11" t="s">
        <v>1882</v>
      </c>
      <c r="E833" s="11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32</v>
      </c>
      <c r="K833" s="49" t="s">
        <v>76</v>
      </c>
      <c r="L833" s="49" t="s">
        <v>88</v>
      </c>
      <c r="M833" s="49" t="s">
        <v>95</v>
      </c>
      <c r="N833" s="49" t="s">
        <v>89</v>
      </c>
      <c r="O833" s="49" t="s">
        <v>37</v>
      </c>
      <c r="P833" s="11" t="s">
        <v>80</v>
      </c>
      <c r="Q833" s="11" t="s">
        <v>96</v>
      </c>
      <c r="R833" s="11" t="s">
        <v>2955</v>
      </c>
      <c r="S833" s="11" t="s">
        <v>2956</v>
      </c>
      <c r="T833" s="90" t="s">
        <v>1</v>
      </c>
      <c r="U833" s="89"/>
      <c r="V833" s="51">
        <v>46027</v>
      </c>
      <c r="W833" s="49" t="s">
        <v>1610</v>
      </c>
    </row>
    <row r="834" spans="1:23" ht="13" customHeight="1" x14ac:dyDescent="0.35">
      <c r="A834" s="11">
        <v>829</v>
      </c>
      <c r="B834" s="47">
        <v>205199079</v>
      </c>
      <c r="C834" s="95" t="s">
        <v>2153</v>
      </c>
      <c r="D834" s="11" t="s">
        <v>2154</v>
      </c>
      <c r="E834" s="48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88" t="s">
        <v>39</v>
      </c>
      <c r="K834" s="49" t="s">
        <v>76</v>
      </c>
      <c r="L834" s="49" t="s">
        <v>77</v>
      </c>
      <c r="M834" s="49" t="s">
        <v>78</v>
      </c>
      <c r="N834" s="49" t="s">
        <v>79</v>
      </c>
      <c r="O834" s="49" t="s">
        <v>37</v>
      </c>
      <c r="P834" s="11" t="s">
        <v>80</v>
      </c>
      <c r="Q834" s="11" t="s">
        <v>96</v>
      </c>
      <c r="R834" s="11" t="s">
        <v>2954</v>
      </c>
      <c r="S834" s="11" t="s">
        <v>2822</v>
      </c>
      <c r="T834" s="90" t="s">
        <v>10</v>
      </c>
      <c r="U834" s="91"/>
      <c r="V834" s="51">
        <v>46048</v>
      </c>
      <c r="W834" s="49" t="s">
        <v>1610</v>
      </c>
    </row>
    <row r="835" spans="1:23" ht="13" customHeight="1" x14ac:dyDescent="0.35">
      <c r="A835" s="11">
        <v>830</v>
      </c>
      <c r="B835" s="47">
        <v>206906444</v>
      </c>
      <c r="C835" s="94" t="s">
        <v>1939</v>
      </c>
      <c r="D835" s="11" t="s">
        <v>1940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39</v>
      </c>
      <c r="K835" s="49" t="s">
        <v>76</v>
      </c>
      <c r="L835" s="49" t="s">
        <v>84</v>
      </c>
      <c r="M835" s="49" t="s">
        <v>85</v>
      </c>
      <c r="N835" s="49" t="s">
        <v>89</v>
      </c>
      <c r="O835" s="48" t="s">
        <v>37</v>
      </c>
      <c r="P835" s="48" t="s">
        <v>80</v>
      </c>
      <c r="Q835" s="11" t="s">
        <v>90</v>
      </c>
      <c r="R835" s="49" t="s">
        <v>648</v>
      </c>
      <c r="S835" s="11" t="s">
        <v>1842</v>
      </c>
      <c r="T835" s="90" t="s">
        <v>1</v>
      </c>
      <c r="U835" s="89"/>
      <c r="V835" s="51">
        <v>46030</v>
      </c>
      <c r="W835" s="49" t="s">
        <v>1610</v>
      </c>
    </row>
    <row r="836" spans="1:23" ht="13" customHeight="1" x14ac:dyDescent="0.35">
      <c r="A836" s="11">
        <v>831</v>
      </c>
      <c r="B836" s="47">
        <v>204138121</v>
      </c>
      <c r="C836" s="94" t="s">
        <v>881</v>
      </c>
      <c r="D836" s="11" t="s">
        <v>882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77</v>
      </c>
      <c r="M836" s="49" t="s">
        <v>78</v>
      </c>
      <c r="N836" s="48" t="s">
        <v>86</v>
      </c>
      <c r="O836" s="49" t="s">
        <v>37</v>
      </c>
      <c r="P836" s="11" t="s">
        <v>80</v>
      </c>
      <c r="Q836" s="11" t="s">
        <v>87</v>
      </c>
      <c r="R836" s="11" t="s">
        <v>1087</v>
      </c>
      <c r="S836" s="11" t="s">
        <v>2823</v>
      </c>
      <c r="T836" s="90" t="s">
        <v>10</v>
      </c>
      <c r="U836" s="90"/>
      <c r="V836" s="51">
        <v>45565</v>
      </c>
      <c r="W836" s="49" t="s">
        <v>1612</v>
      </c>
    </row>
    <row r="837" spans="1:23" ht="13" customHeight="1" x14ac:dyDescent="0.35">
      <c r="A837" s="11">
        <v>832</v>
      </c>
      <c r="B837" s="47">
        <v>204299547</v>
      </c>
      <c r="C837" s="94" t="s">
        <v>883</v>
      </c>
      <c r="D837" s="11" t="s">
        <v>884</v>
      </c>
      <c r="E837" s="48" t="s">
        <v>31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32</v>
      </c>
      <c r="K837" s="49" t="s">
        <v>76</v>
      </c>
      <c r="L837" s="49" t="s">
        <v>84</v>
      </c>
      <c r="M837" s="49" t="s">
        <v>85</v>
      </c>
      <c r="N837" s="48" t="s">
        <v>86</v>
      </c>
      <c r="O837" s="49" t="s">
        <v>37</v>
      </c>
      <c r="P837" s="11" t="s">
        <v>80</v>
      </c>
      <c r="Q837" s="11" t="s">
        <v>87</v>
      </c>
      <c r="R837" s="11" t="s">
        <v>632</v>
      </c>
      <c r="S837" s="11" t="s">
        <v>633</v>
      </c>
      <c r="T837" s="90" t="s">
        <v>1</v>
      </c>
      <c r="U837" s="90"/>
      <c r="V837" s="51">
        <v>45586</v>
      </c>
      <c r="W837" s="49" t="s">
        <v>1609</v>
      </c>
    </row>
    <row r="838" spans="1:23" ht="13" customHeight="1" x14ac:dyDescent="0.35">
      <c r="A838" s="11">
        <v>833</v>
      </c>
      <c r="B838" s="47">
        <v>203965458</v>
      </c>
      <c r="C838" s="94" t="s">
        <v>885</v>
      </c>
      <c r="D838" s="11" t="s">
        <v>886</v>
      </c>
      <c r="E838" s="48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39</v>
      </c>
      <c r="K838" s="49" t="s">
        <v>76</v>
      </c>
      <c r="L838" s="49" t="s">
        <v>92</v>
      </c>
      <c r="M838" s="49" t="s">
        <v>84</v>
      </c>
      <c r="N838" s="48" t="s">
        <v>79</v>
      </c>
      <c r="O838" s="49" t="s">
        <v>37</v>
      </c>
      <c r="P838" s="11" t="s">
        <v>80</v>
      </c>
      <c r="Q838" s="11" t="s">
        <v>81</v>
      </c>
      <c r="R838" s="49" t="s">
        <v>648</v>
      </c>
      <c r="S838" s="11" t="s">
        <v>1842</v>
      </c>
      <c r="T838" s="90" t="s">
        <v>1</v>
      </c>
      <c r="U838" s="89"/>
      <c r="V838" s="51">
        <v>45544</v>
      </c>
      <c r="W838" s="49" t="s">
        <v>1611</v>
      </c>
    </row>
    <row r="839" spans="1:23" ht="13" customHeight="1" x14ac:dyDescent="0.35">
      <c r="A839" s="11">
        <v>834</v>
      </c>
      <c r="B839" s="47">
        <v>205252539</v>
      </c>
      <c r="C839" s="94" t="s">
        <v>2233</v>
      </c>
      <c r="D839" s="11" t="s">
        <v>2234</v>
      </c>
      <c r="E839" s="113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88" t="s">
        <v>39</v>
      </c>
      <c r="K839" s="49" t="s">
        <v>76</v>
      </c>
      <c r="L839" s="49" t="s">
        <v>84</v>
      </c>
      <c r="M839" s="49" t="s">
        <v>85</v>
      </c>
      <c r="N839" s="49" t="s">
        <v>89</v>
      </c>
      <c r="O839" s="49" t="s">
        <v>37</v>
      </c>
      <c r="P839" s="49" t="s">
        <v>80</v>
      </c>
      <c r="Q839" s="49" t="s">
        <v>96</v>
      </c>
      <c r="R839" s="11" t="s">
        <v>1087</v>
      </c>
      <c r="S839" s="49" t="s">
        <v>2823</v>
      </c>
      <c r="T839" s="90" t="s">
        <v>1</v>
      </c>
      <c r="U839" s="90"/>
      <c r="V839" s="51">
        <v>46048</v>
      </c>
      <c r="W839" s="49" t="s">
        <v>1610</v>
      </c>
    </row>
    <row r="840" spans="1:23" ht="13" customHeight="1" x14ac:dyDescent="0.35">
      <c r="A840" s="11">
        <v>835</v>
      </c>
      <c r="B840" s="47">
        <v>203512949</v>
      </c>
      <c r="C840" s="94" t="s">
        <v>887</v>
      </c>
      <c r="D840" s="11" t="s">
        <v>888</v>
      </c>
      <c r="E840" s="48" t="s">
        <v>31</v>
      </c>
      <c r="F840" s="48" t="s">
        <v>74</v>
      </c>
      <c r="G840" s="11" t="s">
        <v>64</v>
      </c>
      <c r="H840" s="11" t="s">
        <v>75</v>
      </c>
      <c r="I840" s="11">
        <v>1299</v>
      </c>
      <c r="J840" s="49" t="s">
        <v>39</v>
      </c>
      <c r="K840" s="49" t="s">
        <v>76</v>
      </c>
      <c r="L840" s="49" t="s">
        <v>88</v>
      </c>
      <c r="M840" s="49" t="s">
        <v>95</v>
      </c>
      <c r="N840" s="48" t="s">
        <v>79</v>
      </c>
      <c r="O840" s="49" t="s">
        <v>37</v>
      </c>
      <c r="P840" s="11" t="s">
        <v>80</v>
      </c>
      <c r="Q840" s="11" t="s">
        <v>81</v>
      </c>
      <c r="R840" s="11" t="s">
        <v>632</v>
      </c>
      <c r="S840" s="11" t="s">
        <v>633</v>
      </c>
      <c r="T840" s="90" t="s">
        <v>1</v>
      </c>
      <c r="U840" s="91"/>
      <c r="V840" s="51">
        <v>45463</v>
      </c>
      <c r="W840" s="49" t="s">
        <v>1610</v>
      </c>
    </row>
    <row r="841" spans="1:23" ht="13" customHeight="1" x14ac:dyDescent="0.35">
      <c r="A841" s="11">
        <v>836</v>
      </c>
      <c r="B841" s="97">
        <v>204072302</v>
      </c>
      <c r="C841" s="47" t="s">
        <v>2882</v>
      </c>
      <c r="D841" s="94" t="s">
        <v>2883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32</v>
      </c>
      <c r="K841" s="49" t="s">
        <v>76</v>
      </c>
      <c r="L841" s="49" t="s">
        <v>85</v>
      </c>
      <c r="M841" s="49" t="s">
        <v>88</v>
      </c>
      <c r="N841" s="48" t="s">
        <v>86</v>
      </c>
      <c r="O841" s="49" t="s">
        <v>37</v>
      </c>
      <c r="P841" s="11" t="s">
        <v>80</v>
      </c>
      <c r="Q841" s="11" t="s">
        <v>90</v>
      </c>
      <c r="R841" s="11" t="s">
        <v>648</v>
      </c>
      <c r="S841" s="11" t="s">
        <v>2845</v>
      </c>
      <c r="T841" s="90" t="s">
        <v>1</v>
      </c>
      <c r="U841" s="90"/>
      <c r="V841" s="51">
        <v>45684</v>
      </c>
      <c r="W841" s="49" t="s">
        <v>1610</v>
      </c>
    </row>
    <row r="842" spans="1:23" ht="13" customHeight="1" x14ac:dyDescent="0.35">
      <c r="A842" s="11">
        <v>837</v>
      </c>
      <c r="B842" s="47">
        <v>202249751</v>
      </c>
      <c r="C842" s="94" t="s">
        <v>889</v>
      </c>
      <c r="D842" s="11" t="s">
        <v>890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49" t="s">
        <v>39</v>
      </c>
      <c r="K842" s="49" t="s">
        <v>76</v>
      </c>
      <c r="L842" s="49" t="s">
        <v>85</v>
      </c>
      <c r="M842" s="49" t="s">
        <v>88</v>
      </c>
      <c r="N842" s="48" t="s">
        <v>79</v>
      </c>
      <c r="O842" s="49" t="s">
        <v>37</v>
      </c>
      <c r="P842" s="11" t="s">
        <v>80</v>
      </c>
      <c r="Q842" s="11" t="s">
        <v>81</v>
      </c>
      <c r="R842" s="11" t="s">
        <v>632</v>
      </c>
      <c r="S842" s="11" t="s">
        <v>633</v>
      </c>
      <c r="T842" s="90" t="s">
        <v>1</v>
      </c>
      <c r="U842" s="89"/>
      <c r="V842" s="51">
        <v>45561</v>
      </c>
      <c r="W842" s="49" t="s">
        <v>1609</v>
      </c>
    </row>
    <row r="843" spans="1:23" ht="13" customHeight="1" x14ac:dyDescent="0.35">
      <c r="A843" s="11">
        <v>838</v>
      </c>
      <c r="B843" s="47">
        <v>205627233</v>
      </c>
      <c r="C843" s="95" t="s">
        <v>2155</v>
      </c>
      <c r="D843" s="11" t="s">
        <v>2156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88" t="s">
        <v>39</v>
      </c>
      <c r="K843" s="49" t="s">
        <v>76</v>
      </c>
      <c r="L843" s="49" t="s">
        <v>77</v>
      </c>
      <c r="M843" s="49" t="s">
        <v>78</v>
      </c>
      <c r="N843" s="49" t="s">
        <v>89</v>
      </c>
      <c r="O843" s="49" t="s">
        <v>37</v>
      </c>
      <c r="P843" s="11" t="s">
        <v>80</v>
      </c>
      <c r="Q843" s="11" t="s">
        <v>96</v>
      </c>
      <c r="R843" s="11" t="s">
        <v>2954</v>
      </c>
      <c r="S843" s="11" t="s">
        <v>2822</v>
      </c>
      <c r="T843" s="90" t="s">
        <v>10</v>
      </c>
      <c r="U843" s="89"/>
      <c r="V843" s="51">
        <v>46048</v>
      </c>
      <c r="W843" s="49" t="s">
        <v>1610</v>
      </c>
    </row>
    <row r="844" spans="1:23" ht="13" customHeight="1" x14ac:dyDescent="0.35">
      <c r="A844" s="11">
        <v>839</v>
      </c>
      <c r="B844" s="47">
        <v>204966775</v>
      </c>
      <c r="C844" s="94" t="s">
        <v>891</v>
      </c>
      <c r="D844" s="11" t="s">
        <v>892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39</v>
      </c>
      <c r="K844" s="49" t="s">
        <v>76</v>
      </c>
      <c r="L844" s="49" t="s">
        <v>84</v>
      </c>
      <c r="M844" s="49" t="s">
        <v>85</v>
      </c>
      <c r="N844" s="48" t="s">
        <v>86</v>
      </c>
      <c r="O844" s="49" t="s">
        <v>37</v>
      </c>
      <c r="P844" s="11" t="s">
        <v>80</v>
      </c>
      <c r="Q844" s="11" t="s">
        <v>90</v>
      </c>
      <c r="R844" s="49" t="s">
        <v>648</v>
      </c>
      <c r="S844" s="11" t="s">
        <v>1842</v>
      </c>
      <c r="T844" s="90" t="s">
        <v>1</v>
      </c>
      <c r="U844" s="91"/>
      <c r="V844" s="51">
        <v>45719</v>
      </c>
      <c r="W844" s="49" t="s">
        <v>1610</v>
      </c>
    </row>
    <row r="845" spans="1:23" ht="13" customHeight="1" x14ac:dyDescent="0.35">
      <c r="A845" s="11">
        <v>840</v>
      </c>
      <c r="B845" s="47">
        <v>206915469</v>
      </c>
      <c r="C845" s="94" t="s">
        <v>1982</v>
      </c>
      <c r="D845" s="11" t="s">
        <v>1975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39</v>
      </c>
      <c r="K845" s="49" t="s">
        <v>76</v>
      </c>
      <c r="L845" s="49" t="s">
        <v>92</v>
      </c>
      <c r="M845" s="49" t="s">
        <v>84</v>
      </c>
      <c r="N845" s="49" t="s">
        <v>89</v>
      </c>
      <c r="O845" s="49" t="s">
        <v>37</v>
      </c>
      <c r="P845" s="11" t="s">
        <v>80</v>
      </c>
      <c r="Q845" s="11" t="s">
        <v>90</v>
      </c>
      <c r="R845" s="11" t="s">
        <v>2954</v>
      </c>
      <c r="S845" s="11" t="s">
        <v>2822</v>
      </c>
      <c r="T845" s="90" t="s">
        <v>1</v>
      </c>
      <c r="U845" s="89"/>
      <c r="V845" s="51">
        <v>46034</v>
      </c>
      <c r="W845" s="49" t="s">
        <v>1610</v>
      </c>
    </row>
    <row r="846" spans="1:23" ht="13" customHeight="1" x14ac:dyDescent="0.35">
      <c r="A846" s="11">
        <v>841</v>
      </c>
      <c r="B846" s="47">
        <v>204116868</v>
      </c>
      <c r="C846" s="94" t="s">
        <v>893</v>
      </c>
      <c r="D846" s="11" t="s">
        <v>894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39</v>
      </c>
      <c r="K846" s="49" t="s">
        <v>76</v>
      </c>
      <c r="L846" s="49" t="s">
        <v>85</v>
      </c>
      <c r="M846" s="49" t="s">
        <v>88</v>
      </c>
      <c r="N846" s="48" t="s">
        <v>86</v>
      </c>
      <c r="O846" s="49" t="s">
        <v>37</v>
      </c>
      <c r="P846" s="11" t="s">
        <v>80</v>
      </c>
      <c r="Q846" s="11" t="s">
        <v>87</v>
      </c>
      <c r="R846" s="49" t="s">
        <v>628</v>
      </c>
      <c r="S846" s="11" t="s">
        <v>629</v>
      </c>
      <c r="T846" s="90" t="s">
        <v>1</v>
      </c>
      <c r="U846" s="89"/>
      <c r="V846" s="51">
        <v>45561</v>
      </c>
      <c r="W846" s="49" t="s">
        <v>1610</v>
      </c>
    </row>
    <row r="847" spans="1:23" ht="13" customHeight="1" x14ac:dyDescent="0.35">
      <c r="A847" s="11">
        <v>842</v>
      </c>
      <c r="B847" s="47">
        <v>203512668</v>
      </c>
      <c r="C847" s="94" t="s">
        <v>895</v>
      </c>
      <c r="D847" s="11" t="s">
        <v>896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32</v>
      </c>
      <c r="K847" s="49" t="s">
        <v>76</v>
      </c>
      <c r="L847" s="49" t="s">
        <v>84</v>
      </c>
      <c r="M847" s="49" t="s">
        <v>85</v>
      </c>
      <c r="N847" s="48" t="s">
        <v>79</v>
      </c>
      <c r="O847" s="49" t="s">
        <v>37</v>
      </c>
      <c r="P847" s="11" t="s">
        <v>80</v>
      </c>
      <c r="Q847" s="11" t="s">
        <v>81</v>
      </c>
      <c r="R847" s="11" t="s">
        <v>1087</v>
      </c>
      <c r="S847" s="11" t="s">
        <v>2823</v>
      </c>
      <c r="T847" s="90" t="s">
        <v>1</v>
      </c>
      <c r="U847" s="89"/>
      <c r="V847" s="51">
        <v>45463</v>
      </c>
      <c r="W847" s="49" t="s">
        <v>1611</v>
      </c>
    </row>
    <row r="848" spans="1:23" ht="13" customHeight="1" x14ac:dyDescent="0.35">
      <c r="A848" s="11">
        <v>843</v>
      </c>
      <c r="B848" s="47">
        <v>204013684</v>
      </c>
      <c r="C848" s="94" t="s">
        <v>897</v>
      </c>
      <c r="D848" s="11" t="s">
        <v>898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39</v>
      </c>
      <c r="K848" s="49" t="s">
        <v>76</v>
      </c>
      <c r="L848" s="49" t="s">
        <v>95</v>
      </c>
      <c r="M848" s="49" t="s">
        <v>77</v>
      </c>
      <c r="N848" s="48" t="s">
        <v>79</v>
      </c>
      <c r="O848" s="49" t="s">
        <v>37</v>
      </c>
      <c r="P848" s="11" t="s">
        <v>80</v>
      </c>
      <c r="Q848" s="11" t="s">
        <v>81</v>
      </c>
      <c r="R848" s="11" t="s">
        <v>1087</v>
      </c>
      <c r="S848" s="11" t="s">
        <v>2823</v>
      </c>
      <c r="T848" s="90" t="s">
        <v>10</v>
      </c>
      <c r="U848" s="90"/>
      <c r="V848" s="51">
        <v>45551</v>
      </c>
      <c r="W848" s="49" t="s">
        <v>1609</v>
      </c>
    </row>
    <row r="849" spans="1:23" ht="13" customHeight="1" x14ac:dyDescent="0.35">
      <c r="A849" s="11">
        <v>844</v>
      </c>
      <c r="B849" s="47">
        <v>206926479</v>
      </c>
      <c r="C849" s="94" t="s">
        <v>2083</v>
      </c>
      <c r="D849" s="11" t="s">
        <v>2092</v>
      </c>
      <c r="E849" s="48" t="s">
        <v>31</v>
      </c>
      <c r="F849" s="48" t="s">
        <v>74</v>
      </c>
      <c r="G849" s="48" t="s">
        <v>64</v>
      </c>
      <c r="H849" s="48" t="s">
        <v>1365</v>
      </c>
      <c r="I849" s="11">
        <v>1299</v>
      </c>
      <c r="J849" s="49" t="s">
        <v>32</v>
      </c>
      <c r="K849" s="49" t="s">
        <v>76</v>
      </c>
      <c r="L849" s="49" t="s">
        <v>84</v>
      </c>
      <c r="M849" s="49" t="s">
        <v>85</v>
      </c>
      <c r="N849" s="49" t="s">
        <v>89</v>
      </c>
      <c r="O849" s="49" t="s">
        <v>37</v>
      </c>
      <c r="P849" s="49" t="s">
        <v>80</v>
      </c>
      <c r="Q849" s="49" t="s">
        <v>90</v>
      </c>
      <c r="R849" s="49" t="s">
        <v>648</v>
      </c>
      <c r="S849" s="49" t="s">
        <v>1842</v>
      </c>
      <c r="T849" s="90" t="s">
        <v>1</v>
      </c>
      <c r="U849" s="90"/>
      <c r="V849" s="51">
        <v>46037</v>
      </c>
      <c r="W849" s="49" t="s">
        <v>2095</v>
      </c>
    </row>
    <row r="850" spans="1:23" ht="13" customHeight="1" x14ac:dyDescent="0.35">
      <c r="A850" s="11">
        <v>845</v>
      </c>
      <c r="B850" s="47">
        <v>108019714</v>
      </c>
      <c r="C850" s="94" t="s">
        <v>899</v>
      </c>
      <c r="D850" s="11" t="s">
        <v>900</v>
      </c>
      <c r="E850" s="48" t="s">
        <v>34</v>
      </c>
      <c r="F850" s="48" t="s">
        <v>74</v>
      </c>
      <c r="G850" s="11" t="s">
        <v>64</v>
      </c>
      <c r="H850" s="11" t="s">
        <v>75</v>
      </c>
      <c r="I850" s="11">
        <v>1299</v>
      </c>
      <c r="J850" s="49" t="s">
        <v>32</v>
      </c>
      <c r="K850" s="49" t="s">
        <v>76</v>
      </c>
      <c r="L850" s="49" t="s">
        <v>95</v>
      </c>
      <c r="M850" s="49" t="s">
        <v>77</v>
      </c>
      <c r="N850" s="48" t="s">
        <v>97</v>
      </c>
      <c r="O850" s="49" t="s">
        <v>37</v>
      </c>
      <c r="P850" s="11" t="s">
        <v>80</v>
      </c>
      <c r="Q850" s="11" t="s">
        <v>98</v>
      </c>
      <c r="R850" s="49" t="s">
        <v>628</v>
      </c>
      <c r="S850" s="11" t="s">
        <v>629</v>
      </c>
      <c r="T850" s="90" t="s">
        <v>10</v>
      </c>
      <c r="U850" s="90"/>
      <c r="V850" s="51">
        <v>44757</v>
      </c>
      <c r="W850" s="49" t="s">
        <v>1614</v>
      </c>
    </row>
    <row r="851" spans="1:23" ht="13" customHeight="1" x14ac:dyDescent="0.35">
      <c r="A851" s="11">
        <v>846</v>
      </c>
      <c r="B851" s="47">
        <v>203965181</v>
      </c>
      <c r="C851" s="94" t="s">
        <v>901</v>
      </c>
      <c r="D851" s="11" t="s">
        <v>902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39</v>
      </c>
      <c r="K851" s="49" t="s">
        <v>76</v>
      </c>
      <c r="L851" s="49" t="s">
        <v>84</v>
      </c>
      <c r="M851" s="49" t="s">
        <v>85</v>
      </c>
      <c r="N851" s="48" t="s">
        <v>79</v>
      </c>
      <c r="O851" s="49" t="s">
        <v>37</v>
      </c>
      <c r="P851" s="11" t="s">
        <v>80</v>
      </c>
      <c r="Q851" s="11" t="s">
        <v>81</v>
      </c>
      <c r="R851" s="49" t="s">
        <v>628</v>
      </c>
      <c r="S851" s="11" t="s">
        <v>629</v>
      </c>
      <c r="T851" s="90" t="s">
        <v>1</v>
      </c>
      <c r="U851" s="90"/>
      <c r="V851" s="51">
        <v>45544</v>
      </c>
      <c r="W851" s="49" t="s">
        <v>1610</v>
      </c>
    </row>
    <row r="852" spans="1:23" ht="13" customHeight="1" x14ac:dyDescent="0.35">
      <c r="A852" s="11">
        <v>847</v>
      </c>
      <c r="B852" s="47">
        <v>203468745</v>
      </c>
      <c r="C852" s="94" t="s">
        <v>903</v>
      </c>
      <c r="D852" s="11" t="s">
        <v>904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32</v>
      </c>
      <c r="K852" s="49" t="s">
        <v>76</v>
      </c>
      <c r="L852" s="49" t="s">
        <v>85</v>
      </c>
      <c r="M852" s="49" t="s">
        <v>88</v>
      </c>
      <c r="N852" s="48" t="s">
        <v>79</v>
      </c>
      <c r="O852" s="49" t="s">
        <v>37</v>
      </c>
      <c r="P852" s="11" t="s">
        <v>80</v>
      </c>
      <c r="Q852" s="11" t="s">
        <v>81</v>
      </c>
      <c r="R852" s="11" t="s">
        <v>632</v>
      </c>
      <c r="S852" s="11" t="s">
        <v>633</v>
      </c>
      <c r="T852" s="90" t="s">
        <v>4</v>
      </c>
      <c r="U852" s="89"/>
      <c r="V852" s="51">
        <v>45456</v>
      </c>
      <c r="W852" s="49" t="s">
        <v>1612</v>
      </c>
    </row>
    <row r="853" spans="1:23" ht="13" customHeight="1" x14ac:dyDescent="0.35">
      <c r="A853" s="11">
        <v>848</v>
      </c>
      <c r="B853" s="47">
        <v>203993450</v>
      </c>
      <c r="C853" s="94" t="s">
        <v>905</v>
      </c>
      <c r="D853" s="11" t="s">
        <v>906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77</v>
      </c>
      <c r="M853" s="49" t="s">
        <v>78</v>
      </c>
      <c r="N853" s="48" t="s">
        <v>86</v>
      </c>
      <c r="O853" s="49" t="s">
        <v>37</v>
      </c>
      <c r="P853" s="11" t="s">
        <v>80</v>
      </c>
      <c r="Q853" s="11" t="s">
        <v>90</v>
      </c>
      <c r="R853" s="49" t="s">
        <v>628</v>
      </c>
      <c r="S853" s="11" t="s">
        <v>629</v>
      </c>
      <c r="T853" s="90" t="s">
        <v>10</v>
      </c>
      <c r="U853" s="91"/>
      <c r="V853" s="51">
        <v>45547</v>
      </c>
      <c r="W853" s="49" t="s">
        <v>1609</v>
      </c>
    </row>
    <row r="854" spans="1:23" ht="13" customHeight="1" x14ac:dyDescent="0.35">
      <c r="A854" s="11">
        <v>849</v>
      </c>
      <c r="B854" s="47">
        <v>203881657</v>
      </c>
      <c r="C854" s="94" t="s">
        <v>907</v>
      </c>
      <c r="D854" s="11" t="s">
        <v>908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39</v>
      </c>
      <c r="K854" s="49" t="s">
        <v>76</v>
      </c>
      <c r="L854" s="49" t="s">
        <v>95</v>
      </c>
      <c r="M854" s="49" t="s">
        <v>77</v>
      </c>
      <c r="N854" s="48" t="s">
        <v>79</v>
      </c>
      <c r="O854" s="49" t="s">
        <v>37</v>
      </c>
      <c r="P854" s="11" t="s">
        <v>80</v>
      </c>
      <c r="Q854" s="11" t="s">
        <v>81</v>
      </c>
      <c r="R854" s="49" t="s">
        <v>628</v>
      </c>
      <c r="S854" s="11" t="s">
        <v>629</v>
      </c>
      <c r="T854" s="90" t="s">
        <v>10</v>
      </c>
      <c r="U854" s="91"/>
      <c r="V854" s="51">
        <v>45530</v>
      </c>
      <c r="W854" s="49" t="s">
        <v>1610</v>
      </c>
    </row>
    <row r="855" spans="1:23" ht="13" customHeight="1" x14ac:dyDescent="0.35">
      <c r="A855" s="11">
        <v>850</v>
      </c>
      <c r="B855" s="47">
        <v>204976025</v>
      </c>
      <c r="C855" s="95" t="s">
        <v>2159</v>
      </c>
      <c r="D855" s="11" t="s">
        <v>2160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88" t="s">
        <v>39</v>
      </c>
      <c r="K855" s="49" t="s">
        <v>76</v>
      </c>
      <c r="L855" s="49" t="s">
        <v>77</v>
      </c>
      <c r="M855" s="49" t="s">
        <v>78</v>
      </c>
      <c r="N855" s="49" t="s">
        <v>89</v>
      </c>
      <c r="O855" s="49" t="s">
        <v>37</v>
      </c>
      <c r="P855" s="11" t="s">
        <v>80</v>
      </c>
      <c r="Q855" s="11" t="s">
        <v>96</v>
      </c>
      <c r="R855" s="11" t="s">
        <v>2954</v>
      </c>
      <c r="S855" s="11" t="s">
        <v>2822</v>
      </c>
      <c r="T855" s="90" t="s">
        <v>10</v>
      </c>
      <c r="U855" s="91"/>
      <c r="V855" s="51">
        <v>46048</v>
      </c>
      <c r="W855" s="49" t="s">
        <v>1610</v>
      </c>
    </row>
    <row r="856" spans="1:23" ht="13" customHeight="1" x14ac:dyDescent="0.35">
      <c r="A856" s="11">
        <v>851</v>
      </c>
      <c r="B856" s="47">
        <v>206850964</v>
      </c>
      <c r="C856" s="94" t="s">
        <v>1845</v>
      </c>
      <c r="D856" s="47" t="s">
        <v>1846</v>
      </c>
      <c r="E856" s="47" t="s">
        <v>31</v>
      </c>
      <c r="F856" s="48" t="s">
        <v>74</v>
      </c>
      <c r="G856" s="11" t="s">
        <v>64</v>
      </c>
      <c r="H856" s="11" t="s">
        <v>75</v>
      </c>
      <c r="I856" s="47">
        <v>1299</v>
      </c>
      <c r="J856" s="49" t="s">
        <v>39</v>
      </c>
      <c r="K856" s="49" t="s">
        <v>76</v>
      </c>
      <c r="L856" s="49" t="s">
        <v>88</v>
      </c>
      <c r="M856" s="49" t="s">
        <v>95</v>
      </c>
      <c r="N856" s="49" t="s">
        <v>89</v>
      </c>
      <c r="O856" s="49" t="s">
        <v>37</v>
      </c>
      <c r="P856" s="11" t="s">
        <v>80</v>
      </c>
      <c r="Q856" s="47" t="s">
        <v>90</v>
      </c>
      <c r="R856" s="11" t="s">
        <v>1087</v>
      </c>
      <c r="S856" s="11" t="s">
        <v>2823</v>
      </c>
      <c r="T856" s="90" t="s">
        <v>1</v>
      </c>
      <c r="U856" s="91"/>
      <c r="V856" s="51">
        <v>46013</v>
      </c>
      <c r="W856" s="49" t="s">
        <v>1610</v>
      </c>
    </row>
    <row r="857" spans="1:23" ht="13" customHeight="1" x14ac:dyDescent="0.35">
      <c r="A857" s="11">
        <v>852</v>
      </c>
      <c r="B857" s="97">
        <v>204072304</v>
      </c>
      <c r="C857" s="47" t="s">
        <v>2884</v>
      </c>
      <c r="D857" s="94" t="s">
        <v>2885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39</v>
      </c>
      <c r="K857" s="49" t="s">
        <v>76</v>
      </c>
      <c r="L857" s="49" t="s">
        <v>92</v>
      </c>
      <c r="M857" s="49" t="s">
        <v>84</v>
      </c>
      <c r="N857" s="49" t="s">
        <v>89</v>
      </c>
      <c r="O857" s="49" t="s">
        <v>37</v>
      </c>
      <c r="P857" s="11" t="s">
        <v>80</v>
      </c>
      <c r="Q857" s="11" t="s">
        <v>90</v>
      </c>
      <c r="R857" s="11" t="s">
        <v>2955</v>
      </c>
      <c r="S857" s="11" t="s">
        <v>2956</v>
      </c>
      <c r="T857" s="90" t="s">
        <v>1</v>
      </c>
      <c r="U857" s="89"/>
      <c r="V857" s="51">
        <v>45558</v>
      </c>
      <c r="W857" s="49" t="s">
        <v>1610</v>
      </c>
    </row>
    <row r="858" spans="1:23" ht="13" customHeight="1" x14ac:dyDescent="0.35">
      <c r="A858" s="11">
        <v>853</v>
      </c>
      <c r="B858" s="97">
        <v>203850785</v>
      </c>
      <c r="C858" s="47" t="s">
        <v>2886</v>
      </c>
      <c r="D858" s="94" t="s">
        <v>2887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39</v>
      </c>
      <c r="K858" s="49" t="s">
        <v>76</v>
      </c>
      <c r="L858" s="49" t="s">
        <v>78</v>
      </c>
      <c r="M858" s="49" t="s">
        <v>92</v>
      </c>
      <c r="N858" s="49" t="s">
        <v>89</v>
      </c>
      <c r="O858" s="49" t="s">
        <v>37</v>
      </c>
      <c r="P858" s="11" t="s">
        <v>80</v>
      </c>
      <c r="Q858" s="11" t="s">
        <v>90</v>
      </c>
      <c r="R858" s="11" t="s">
        <v>648</v>
      </c>
      <c r="S858" s="11" t="s">
        <v>2845</v>
      </c>
      <c r="T858" s="90" t="s">
        <v>1</v>
      </c>
      <c r="U858" s="91"/>
      <c r="V858" s="51">
        <v>45524</v>
      </c>
      <c r="W858" s="49" t="s">
        <v>1610</v>
      </c>
    </row>
    <row r="859" spans="1:23" ht="13" customHeight="1" x14ac:dyDescent="0.35">
      <c r="A859" s="11">
        <v>854</v>
      </c>
      <c r="B859" s="47">
        <v>105444856</v>
      </c>
      <c r="C859" s="94" t="s">
        <v>2189</v>
      </c>
      <c r="D859" s="11" t="s">
        <v>2190</v>
      </c>
      <c r="E859" s="48" t="s">
        <v>34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39</v>
      </c>
      <c r="K859" s="49" t="s">
        <v>76</v>
      </c>
      <c r="L859" s="49" t="s">
        <v>88</v>
      </c>
      <c r="M859" s="49" t="s">
        <v>95</v>
      </c>
      <c r="N859" s="48" t="s">
        <v>97</v>
      </c>
      <c r="O859" s="49" t="s">
        <v>37</v>
      </c>
      <c r="P859" s="11" t="s">
        <v>80</v>
      </c>
      <c r="Q859" s="11" t="s">
        <v>98</v>
      </c>
      <c r="R859" s="11" t="s">
        <v>2955</v>
      </c>
      <c r="S859" s="11" t="s">
        <v>2956</v>
      </c>
      <c r="T859" s="90" t="s">
        <v>1</v>
      </c>
      <c r="U859" s="91"/>
      <c r="V859" s="51">
        <v>46048</v>
      </c>
      <c r="W859" s="49" t="s">
        <v>1614</v>
      </c>
    </row>
    <row r="860" spans="1:23" ht="13" customHeight="1" x14ac:dyDescent="0.35">
      <c r="A860" s="11">
        <v>855</v>
      </c>
      <c r="B860" s="47">
        <v>206138254</v>
      </c>
      <c r="C860" s="94" t="s">
        <v>909</v>
      </c>
      <c r="D860" s="11" t="s">
        <v>910</v>
      </c>
      <c r="E860" s="48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39</v>
      </c>
      <c r="K860" s="49" t="s">
        <v>76</v>
      </c>
      <c r="L860" s="49" t="s">
        <v>77</v>
      </c>
      <c r="M860" s="49" t="s">
        <v>78</v>
      </c>
      <c r="N860" s="49" t="s">
        <v>89</v>
      </c>
      <c r="O860" s="49" t="s">
        <v>37</v>
      </c>
      <c r="P860" s="11" t="s">
        <v>80</v>
      </c>
      <c r="Q860" s="11" t="s">
        <v>81</v>
      </c>
      <c r="R860" s="11" t="s">
        <v>632</v>
      </c>
      <c r="S860" s="11" t="s">
        <v>633</v>
      </c>
      <c r="T860" s="90" t="s">
        <v>10</v>
      </c>
      <c r="U860" s="91"/>
      <c r="V860" s="51">
        <v>45929</v>
      </c>
      <c r="W860" s="49" t="s">
        <v>1610</v>
      </c>
    </row>
    <row r="861" spans="1:23" ht="13" customHeight="1" x14ac:dyDescent="0.35">
      <c r="A861" s="11">
        <v>856</v>
      </c>
      <c r="B861" s="47">
        <v>205996133</v>
      </c>
      <c r="C861" s="94" t="s">
        <v>911</v>
      </c>
      <c r="D861" s="11" t="s">
        <v>912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39</v>
      </c>
      <c r="K861" s="49" t="s">
        <v>76</v>
      </c>
      <c r="L861" s="49" t="s">
        <v>85</v>
      </c>
      <c r="M861" s="49" t="s">
        <v>88</v>
      </c>
      <c r="N861" s="49" t="s">
        <v>89</v>
      </c>
      <c r="O861" s="49" t="s">
        <v>37</v>
      </c>
      <c r="P861" s="11" t="s">
        <v>80</v>
      </c>
      <c r="Q861" s="11" t="s">
        <v>81</v>
      </c>
      <c r="R861" s="49" t="s">
        <v>2825</v>
      </c>
      <c r="S861" s="11" t="s">
        <v>643</v>
      </c>
      <c r="T861" s="90" t="s">
        <v>7</v>
      </c>
      <c r="U861" s="91" t="s">
        <v>3007</v>
      </c>
      <c r="V861" s="51">
        <v>45915</v>
      </c>
      <c r="W861" s="49" t="s">
        <v>1610</v>
      </c>
    </row>
    <row r="862" spans="1:23" ht="13" customHeight="1" x14ac:dyDescent="0.35">
      <c r="A862" s="11">
        <v>857</v>
      </c>
      <c r="B862" s="47">
        <v>204951503</v>
      </c>
      <c r="C862" s="94" t="s">
        <v>2502</v>
      </c>
      <c r="D862" s="11" t="s">
        <v>2503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32</v>
      </c>
      <c r="K862" s="49" t="s">
        <v>76</v>
      </c>
      <c r="L862" s="49" t="s">
        <v>85</v>
      </c>
      <c r="M862" s="49" t="s">
        <v>88</v>
      </c>
      <c r="N862" s="48" t="s">
        <v>86</v>
      </c>
      <c r="O862" s="49" t="s">
        <v>37</v>
      </c>
      <c r="P862" s="11" t="s">
        <v>80</v>
      </c>
      <c r="Q862" s="11" t="s">
        <v>90</v>
      </c>
      <c r="R862" s="49" t="s">
        <v>648</v>
      </c>
      <c r="S862" s="11" t="s">
        <v>1842</v>
      </c>
      <c r="T862" s="90" t="s">
        <v>1</v>
      </c>
      <c r="U862" s="91"/>
      <c r="V862" s="51">
        <v>45719</v>
      </c>
      <c r="W862" s="49" t="s">
        <v>1610</v>
      </c>
    </row>
    <row r="863" spans="1:23" ht="13" customHeight="1" x14ac:dyDescent="0.35">
      <c r="A863" s="11">
        <v>858</v>
      </c>
      <c r="B863" s="110">
        <v>203850807</v>
      </c>
      <c r="C863" s="78" t="s">
        <v>2888</v>
      </c>
      <c r="D863" s="94" t="s">
        <v>2889</v>
      </c>
      <c r="E863" s="81" t="s">
        <v>31</v>
      </c>
      <c r="F863" s="48" t="s">
        <v>74</v>
      </c>
      <c r="G863" s="11" t="s">
        <v>64</v>
      </c>
      <c r="H863" s="11" t="s">
        <v>75</v>
      </c>
      <c r="I863" s="74">
        <v>1299</v>
      </c>
      <c r="J863" s="49" t="s">
        <v>39</v>
      </c>
      <c r="K863" s="49" t="s">
        <v>76</v>
      </c>
      <c r="L863" s="49" t="s">
        <v>78</v>
      </c>
      <c r="M863" s="49" t="s">
        <v>92</v>
      </c>
      <c r="N863" s="49" t="s">
        <v>89</v>
      </c>
      <c r="O863" s="49" t="s">
        <v>37</v>
      </c>
      <c r="P863" s="11" t="s">
        <v>80</v>
      </c>
      <c r="Q863" s="74" t="s">
        <v>90</v>
      </c>
      <c r="R863" s="11" t="s">
        <v>648</v>
      </c>
      <c r="S863" s="74" t="s">
        <v>2845</v>
      </c>
      <c r="T863" s="90" t="s">
        <v>1</v>
      </c>
      <c r="U863" s="89"/>
      <c r="V863" s="51">
        <v>45524</v>
      </c>
      <c r="W863" s="49" t="s">
        <v>1610</v>
      </c>
    </row>
    <row r="864" spans="1:23" ht="13" customHeight="1" x14ac:dyDescent="0.35">
      <c r="A864" s="11">
        <v>859</v>
      </c>
      <c r="B864" s="47">
        <v>112181816</v>
      </c>
      <c r="C864" s="94" t="s">
        <v>913</v>
      </c>
      <c r="D864" s="11" t="s">
        <v>914</v>
      </c>
      <c r="E864" s="48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39</v>
      </c>
      <c r="K864" s="49" t="s">
        <v>76</v>
      </c>
      <c r="L864" s="49" t="s">
        <v>85</v>
      </c>
      <c r="M864" s="49" t="s">
        <v>88</v>
      </c>
      <c r="N864" s="48" t="s">
        <v>79</v>
      </c>
      <c r="O864" s="49" t="s">
        <v>37</v>
      </c>
      <c r="P864" s="11" t="s">
        <v>80</v>
      </c>
      <c r="Q864" s="11" t="s">
        <v>81</v>
      </c>
      <c r="R864" s="49" t="s">
        <v>648</v>
      </c>
      <c r="S864" s="11" t="s">
        <v>1842</v>
      </c>
      <c r="T864" s="90" t="s">
        <v>1</v>
      </c>
      <c r="U864" s="89"/>
      <c r="V864" s="51">
        <v>45502</v>
      </c>
      <c r="W864" s="49" t="s">
        <v>1610</v>
      </c>
    </row>
    <row r="865" spans="1:23" ht="13" customHeight="1" x14ac:dyDescent="0.35">
      <c r="A865" s="11">
        <v>860</v>
      </c>
      <c r="B865" s="47">
        <v>206850962</v>
      </c>
      <c r="C865" s="94" t="s">
        <v>1855</v>
      </c>
      <c r="D865" s="47" t="s">
        <v>1856</v>
      </c>
      <c r="E865" s="47" t="s">
        <v>31</v>
      </c>
      <c r="F865" s="48" t="s">
        <v>74</v>
      </c>
      <c r="G865" s="11" t="s">
        <v>64</v>
      </c>
      <c r="H865" s="11" t="s">
        <v>75</v>
      </c>
      <c r="I865" s="47">
        <v>1299</v>
      </c>
      <c r="J865" s="49" t="s">
        <v>32</v>
      </c>
      <c r="K865" s="49" t="s">
        <v>76</v>
      </c>
      <c r="L865" s="49" t="s">
        <v>77</v>
      </c>
      <c r="M865" s="49" t="s">
        <v>78</v>
      </c>
      <c r="N865" s="49" t="s">
        <v>89</v>
      </c>
      <c r="O865" s="49" t="s">
        <v>37</v>
      </c>
      <c r="P865" s="11" t="s">
        <v>80</v>
      </c>
      <c r="Q865" s="47" t="s">
        <v>90</v>
      </c>
      <c r="R865" s="11" t="s">
        <v>2955</v>
      </c>
      <c r="S865" s="11" t="s">
        <v>2956</v>
      </c>
      <c r="T865" s="90" t="s">
        <v>10</v>
      </c>
      <c r="U865" s="89"/>
      <c r="V865" s="51">
        <v>46013</v>
      </c>
      <c r="W865" s="49" t="s">
        <v>1610</v>
      </c>
    </row>
    <row r="866" spans="1:23" ht="13" customHeight="1" x14ac:dyDescent="0.35">
      <c r="A866" s="11">
        <v>861</v>
      </c>
      <c r="B866" s="47">
        <v>203993281</v>
      </c>
      <c r="C866" s="94" t="s">
        <v>915</v>
      </c>
      <c r="D866" s="11" t="s">
        <v>916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32</v>
      </c>
      <c r="K866" s="49" t="s">
        <v>76</v>
      </c>
      <c r="L866" s="49" t="s">
        <v>95</v>
      </c>
      <c r="M866" s="49" t="s">
        <v>77</v>
      </c>
      <c r="N866" s="48" t="s">
        <v>79</v>
      </c>
      <c r="O866" s="49" t="s">
        <v>37</v>
      </c>
      <c r="P866" s="11" t="s">
        <v>80</v>
      </c>
      <c r="Q866" s="11" t="s">
        <v>81</v>
      </c>
      <c r="R866" s="49" t="s">
        <v>648</v>
      </c>
      <c r="S866" s="11" t="s">
        <v>1842</v>
      </c>
      <c r="T866" s="90" t="s">
        <v>10</v>
      </c>
      <c r="U866" s="91"/>
      <c r="V866" s="51">
        <v>45547</v>
      </c>
      <c r="W866" s="49" t="s">
        <v>1610</v>
      </c>
    </row>
    <row r="867" spans="1:23" ht="13" customHeight="1" x14ac:dyDescent="0.35">
      <c r="A867" s="11">
        <v>862</v>
      </c>
      <c r="B867" s="47">
        <v>206846308</v>
      </c>
      <c r="C867" s="94" t="s">
        <v>1857</v>
      </c>
      <c r="D867" s="47" t="s">
        <v>1858</v>
      </c>
      <c r="E867" s="47" t="s">
        <v>31</v>
      </c>
      <c r="F867" s="48" t="s">
        <v>74</v>
      </c>
      <c r="G867" s="11" t="s">
        <v>64</v>
      </c>
      <c r="H867" s="11" t="s">
        <v>75</v>
      </c>
      <c r="I867" s="47">
        <v>1299</v>
      </c>
      <c r="J867" s="49" t="s">
        <v>39</v>
      </c>
      <c r="K867" s="49" t="s">
        <v>76</v>
      </c>
      <c r="L867" s="49" t="s">
        <v>78</v>
      </c>
      <c r="M867" s="49" t="s">
        <v>92</v>
      </c>
      <c r="N867" s="49" t="s">
        <v>89</v>
      </c>
      <c r="O867" s="49" t="s">
        <v>37</v>
      </c>
      <c r="P867" s="11" t="s">
        <v>80</v>
      </c>
      <c r="Q867" s="47" t="s">
        <v>90</v>
      </c>
      <c r="R867" s="11" t="s">
        <v>2954</v>
      </c>
      <c r="S867" s="47" t="s">
        <v>2822</v>
      </c>
      <c r="T867" s="90" t="s">
        <v>1</v>
      </c>
      <c r="U867" s="91"/>
      <c r="V867" s="51">
        <v>46013</v>
      </c>
      <c r="W867" s="49" t="s">
        <v>1610</v>
      </c>
    </row>
    <row r="868" spans="1:23" ht="13" customHeight="1" x14ac:dyDescent="0.35">
      <c r="A868" s="11">
        <v>863</v>
      </c>
      <c r="B868" s="47">
        <v>203736752</v>
      </c>
      <c r="C868" s="94" t="s">
        <v>917</v>
      </c>
      <c r="D868" s="11" t="s">
        <v>918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32</v>
      </c>
      <c r="K868" s="49" t="s">
        <v>76</v>
      </c>
      <c r="L868" s="49" t="s">
        <v>95</v>
      </c>
      <c r="M868" s="49" t="s">
        <v>77</v>
      </c>
      <c r="N868" s="48" t="s">
        <v>86</v>
      </c>
      <c r="O868" s="49" t="s">
        <v>37</v>
      </c>
      <c r="P868" s="11" t="s">
        <v>80</v>
      </c>
      <c r="Q868" s="11" t="s">
        <v>99</v>
      </c>
      <c r="R868" s="11" t="s">
        <v>640</v>
      </c>
      <c r="S868" s="11" t="s">
        <v>2824</v>
      </c>
      <c r="T868" s="90" t="s">
        <v>10</v>
      </c>
      <c r="U868" s="90"/>
      <c r="V868" s="51">
        <v>45502</v>
      </c>
      <c r="W868" s="49" t="s">
        <v>1610</v>
      </c>
    </row>
    <row r="869" spans="1:23" ht="13" customHeight="1" x14ac:dyDescent="0.35">
      <c r="A869" s="11">
        <v>864</v>
      </c>
      <c r="B869" s="47">
        <v>204886570</v>
      </c>
      <c r="C869" s="94" t="s">
        <v>919</v>
      </c>
      <c r="D869" s="11" t="s">
        <v>920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39</v>
      </c>
      <c r="K869" s="49" t="s">
        <v>76</v>
      </c>
      <c r="L869" s="49" t="s">
        <v>85</v>
      </c>
      <c r="M869" s="49" t="s">
        <v>88</v>
      </c>
      <c r="N869" s="48" t="s">
        <v>86</v>
      </c>
      <c r="O869" s="49" t="s">
        <v>37</v>
      </c>
      <c r="P869" s="11" t="s">
        <v>80</v>
      </c>
      <c r="Q869" s="11" t="s">
        <v>90</v>
      </c>
      <c r="R869" s="49" t="s">
        <v>648</v>
      </c>
      <c r="S869" s="11" t="s">
        <v>1842</v>
      </c>
      <c r="T869" s="90" t="s">
        <v>1</v>
      </c>
      <c r="U869" s="90"/>
      <c r="V869" s="51">
        <v>45719</v>
      </c>
      <c r="W869" s="49" t="s">
        <v>1610</v>
      </c>
    </row>
    <row r="870" spans="1:23" ht="13" customHeight="1" x14ac:dyDescent="0.35">
      <c r="A870" s="11">
        <v>865</v>
      </c>
      <c r="B870" s="47">
        <v>204060922</v>
      </c>
      <c r="C870" s="94" t="s">
        <v>921</v>
      </c>
      <c r="D870" s="11" t="s">
        <v>922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32</v>
      </c>
      <c r="K870" s="49" t="s">
        <v>76</v>
      </c>
      <c r="L870" s="49" t="s">
        <v>92</v>
      </c>
      <c r="M870" s="49" t="s">
        <v>84</v>
      </c>
      <c r="N870" s="48" t="s">
        <v>86</v>
      </c>
      <c r="O870" s="49" t="s">
        <v>37</v>
      </c>
      <c r="P870" s="11" t="s">
        <v>80</v>
      </c>
      <c r="Q870" s="11" t="s">
        <v>90</v>
      </c>
      <c r="R870" s="11" t="s">
        <v>2955</v>
      </c>
      <c r="S870" s="11" t="s">
        <v>2956</v>
      </c>
      <c r="T870" s="90" t="s">
        <v>1</v>
      </c>
      <c r="U870" s="89"/>
      <c r="V870" s="51">
        <v>45558</v>
      </c>
      <c r="W870" s="49" t="s">
        <v>1610</v>
      </c>
    </row>
    <row r="871" spans="1:23" ht="13" customHeight="1" x14ac:dyDescent="0.35">
      <c r="A871" s="11">
        <v>866</v>
      </c>
      <c r="B871" s="47">
        <v>206846309</v>
      </c>
      <c r="C871" s="94" t="s">
        <v>1871</v>
      </c>
      <c r="D871" s="47" t="s">
        <v>1872</v>
      </c>
      <c r="E871" s="47" t="s">
        <v>31</v>
      </c>
      <c r="F871" s="48" t="s">
        <v>74</v>
      </c>
      <c r="G871" s="11" t="s">
        <v>64</v>
      </c>
      <c r="H871" s="11" t="s">
        <v>75</v>
      </c>
      <c r="I871" s="47">
        <v>1299</v>
      </c>
      <c r="J871" s="49" t="s">
        <v>39</v>
      </c>
      <c r="K871" s="49" t="s">
        <v>76</v>
      </c>
      <c r="L871" s="49" t="s">
        <v>84</v>
      </c>
      <c r="M871" s="49" t="s">
        <v>85</v>
      </c>
      <c r="N871" s="49" t="s">
        <v>89</v>
      </c>
      <c r="O871" s="49" t="s">
        <v>37</v>
      </c>
      <c r="P871" s="11" t="s">
        <v>80</v>
      </c>
      <c r="Q871" s="47" t="s">
        <v>90</v>
      </c>
      <c r="R871" s="49" t="s">
        <v>2825</v>
      </c>
      <c r="S871" s="47" t="s">
        <v>643</v>
      </c>
      <c r="T871" s="90" t="s">
        <v>1</v>
      </c>
      <c r="U871" s="89"/>
      <c r="V871" s="51">
        <v>46013</v>
      </c>
      <c r="W871" s="49" t="s">
        <v>1610</v>
      </c>
    </row>
    <row r="872" spans="1:23" ht="13" customHeight="1" x14ac:dyDescent="0.35">
      <c r="A872" s="11">
        <v>867</v>
      </c>
      <c r="B872" s="47">
        <v>203993118</v>
      </c>
      <c r="C872" s="94" t="s">
        <v>923</v>
      </c>
      <c r="D872" s="11" t="s">
        <v>924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39</v>
      </c>
      <c r="K872" s="49" t="s">
        <v>76</v>
      </c>
      <c r="L872" s="49" t="s">
        <v>78</v>
      </c>
      <c r="M872" s="49" t="s">
        <v>92</v>
      </c>
      <c r="N872" s="49" t="s">
        <v>89</v>
      </c>
      <c r="O872" s="49" t="s">
        <v>37</v>
      </c>
      <c r="P872" s="11" t="s">
        <v>80</v>
      </c>
      <c r="Q872" s="11" t="s">
        <v>90</v>
      </c>
      <c r="R872" s="11" t="s">
        <v>632</v>
      </c>
      <c r="S872" s="11" t="s">
        <v>633</v>
      </c>
      <c r="T872" s="90" t="s">
        <v>1</v>
      </c>
      <c r="U872" s="89"/>
      <c r="V872" s="51">
        <v>45547</v>
      </c>
      <c r="W872" s="49" t="s">
        <v>1610</v>
      </c>
    </row>
    <row r="873" spans="1:23" ht="13" customHeight="1" x14ac:dyDescent="0.35">
      <c r="A873" s="11">
        <v>868</v>
      </c>
      <c r="B873" s="47">
        <v>205199352</v>
      </c>
      <c r="C873" s="95" t="s">
        <v>2139</v>
      </c>
      <c r="D873" s="11" t="s">
        <v>2140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88" t="s">
        <v>39</v>
      </c>
      <c r="K873" s="49" t="s">
        <v>76</v>
      </c>
      <c r="L873" s="49" t="s">
        <v>95</v>
      </c>
      <c r="M873" s="49" t="s">
        <v>77</v>
      </c>
      <c r="N873" s="49" t="s">
        <v>79</v>
      </c>
      <c r="O873" s="49" t="s">
        <v>37</v>
      </c>
      <c r="P873" s="11" t="s">
        <v>80</v>
      </c>
      <c r="Q873" s="11" t="s">
        <v>96</v>
      </c>
      <c r="R873" s="11" t="s">
        <v>2955</v>
      </c>
      <c r="S873" s="11" t="s">
        <v>2956</v>
      </c>
      <c r="T873" s="90" t="s">
        <v>10</v>
      </c>
      <c r="U873" s="89"/>
      <c r="V873" s="51">
        <v>46048</v>
      </c>
      <c r="W873" s="49" t="s">
        <v>1610</v>
      </c>
    </row>
    <row r="874" spans="1:23" ht="13" customHeight="1" x14ac:dyDescent="0.35">
      <c r="A874" s="11">
        <v>869</v>
      </c>
      <c r="B874" s="47">
        <v>204010090</v>
      </c>
      <c r="C874" s="94" t="s">
        <v>2433</v>
      </c>
      <c r="D874" s="11" t="s">
        <v>2434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78</v>
      </c>
      <c r="M874" s="49" t="s">
        <v>92</v>
      </c>
      <c r="N874" s="48" t="s">
        <v>86</v>
      </c>
      <c r="O874" s="49" t="s">
        <v>37</v>
      </c>
      <c r="P874" s="11" t="s">
        <v>80</v>
      </c>
      <c r="Q874" s="11" t="s">
        <v>90</v>
      </c>
      <c r="R874" s="11" t="s">
        <v>640</v>
      </c>
      <c r="S874" s="11" t="s">
        <v>2824</v>
      </c>
      <c r="T874" s="90" t="s">
        <v>1</v>
      </c>
      <c r="U874" s="89"/>
      <c r="V874" s="51">
        <v>45551</v>
      </c>
      <c r="W874" s="49" t="s">
        <v>1611</v>
      </c>
    </row>
    <row r="875" spans="1:23" ht="13" customHeight="1" x14ac:dyDescent="0.35">
      <c r="A875" s="11">
        <v>870</v>
      </c>
      <c r="B875" s="47">
        <v>206850966</v>
      </c>
      <c r="C875" s="94" t="s">
        <v>1925</v>
      </c>
      <c r="D875" s="11" t="s">
        <v>1926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39</v>
      </c>
      <c r="K875" s="49" t="s">
        <v>76</v>
      </c>
      <c r="L875" s="49" t="s">
        <v>88</v>
      </c>
      <c r="M875" s="49" t="s">
        <v>95</v>
      </c>
      <c r="N875" s="49" t="s">
        <v>89</v>
      </c>
      <c r="O875" s="48" t="s">
        <v>37</v>
      </c>
      <c r="P875" s="48" t="s">
        <v>80</v>
      </c>
      <c r="Q875" s="11" t="s">
        <v>90</v>
      </c>
      <c r="R875" s="49" t="s">
        <v>648</v>
      </c>
      <c r="S875" s="11" t="s">
        <v>1842</v>
      </c>
      <c r="T875" s="90" t="s">
        <v>1</v>
      </c>
      <c r="U875" s="90"/>
      <c r="V875" s="51">
        <v>46030</v>
      </c>
      <c r="W875" s="49" t="s">
        <v>1610</v>
      </c>
    </row>
    <row r="876" spans="1:23" ht="13" customHeight="1" x14ac:dyDescent="0.35">
      <c r="A876" s="11">
        <v>871</v>
      </c>
      <c r="B876" s="47">
        <v>203850808</v>
      </c>
      <c r="C876" s="94" t="s">
        <v>2504</v>
      </c>
      <c r="D876" s="11" t="s">
        <v>2505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39</v>
      </c>
      <c r="K876" s="49" t="s">
        <v>76</v>
      </c>
      <c r="L876" s="49" t="s">
        <v>88</v>
      </c>
      <c r="M876" s="49" t="s">
        <v>95</v>
      </c>
      <c r="N876" s="48" t="s">
        <v>86</v>
      </c>
      <c r="O876" s="49" t="s">
        <v>37</v>
      </c>
      <c r="P876" s="11" t="s">
        <v>80</v>
      </c>
      <c r="Q876" s="11" t="s">
        <v>90</v>
      </c>
      <c r="R876" s="49" t="s">
        <v>648</v>
      </c>
      <c r="S876" s="11" t="s">
        <v>1842</v>
      </c>
      <c r="T876" s="90" t="s">
        <v>1</v>
      </c>
      <c r="U876" s="91"/>
      <c r="V876" s="51">
        <v>45524</v>
      </c>
      <c r="W876" s="49" t="s">
        <v>1610</v>
      </c>
    </row>
    <row r="877" spans="1:23" ht="13" customHeight="1" x14ac:dyDescent="0.35">
      <c r="A877" s="11">
        <v>872</v>
      </c>
      <c r="B877" s="47">
        <v>206890217</v>
      </c>
      <c r="C877" s="94" t="s">
        <v>1883</v>
      </c>
      <c r="D877" s="11" t="s">
        <v>1884</v>
      </c>
      <c r="E877" s="11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32</v>
      </c>
      <c r="K877" s="49" t="s">
        <v>76</v>
      </c>
      <c r="L877" s="49" t="s">
        <v>88</v>
      </c>
      <c r="M877" s="49" t="s">
        <v>95</v>
      </c>
      <c r="N877" s="49" t="s">
        <v>89</v>
      </c>
      <c r="O877" s="49" t="s">
        <v>37</v>
      </c>
      <c r="P877" s="11" t="s">
        <v>80</v>
      </c>
      <c r="Q877" s="11" t="s">
        <v>96</v>
      </c>
      <c r="R877" s="11" t="s">
        <v>2955</v>
      </c>
      <c r="S877" s="11" t="s">
        <v>2956</v>
      </c>
      <c r="T877" s="90" t="s">
        <v>1</v>
      </c>
      <c r="U877" s="91"/>
      <c r="V877" s="51">
        <v>46027</v>
      </c>
      <c r="W877" s="49" t="s">
        <v>1610</v>
      </c>
    </row>
    <row r="878" spans="1:23" ht="13" customHeight="1" x14ac:dyDescent="0.35">
      <c r="A878" s="11">
        <v>873</v>
      </c>
      <c r="B878" s="47">
        <v>203355686</v>
      </c>
      <c r="C878" s="94" t="s">
        <v>925</v>
      </c>
      <c r="D878" s="11" t="s">
        <v>926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95</v>
      </c>
      <c r="M878" s="49" t="s">
        <v>77</v>
      </c>
      <c r="N878" s="48" t="s">
        <v>86</v>
      </c>
      <c r="O878" s="49" t="s">
        <v>37</v>
      </c>
      <c r="P878" s="11" t="s">
        <v>80</v>
      </c>
      <c r="Q878" s="11" t="s">
        <v>99</v>
      </c>
      <c r="R878" s="11" t="s">
        <v>1087</v>
      </c>
      <c r="S878" s="11" t="s">
        <v>2823</v>
      </c>
      <c r="T878" s="90" t="s">
        <v>10</v>
      </c>
      <c r="U878" s="89"/>
      <c r="V878" s="51">
        <v>45432</v>
      </c>
      <c r="W878" s="49" t="s">
        <v>1610</v>
      </c>
    </row>
    <row r="879" spans="1:23" ht="13" customHeight="1" x14ac:dyDescent="0.35">
      <c r="A879" s="11">
        <v>874</v>
      </c>
      <c r="B879" s="47">
        <v>203911255</v>
      </c>
      <c r="C879" s="94" t="s">
        <v>927</v>
      </c>
      <c r="D879" s="11" t="s">
        <v>928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77</v>
      </c>
      <c r="M879" s="49" t="s">
        <v>78</v>
      </c>
      <c r="N879" s="48" t="s">
        <v>86</v>
      </c>
      <c r="O879" s="49" t="s">
        <v>37</v>
      </c>
      <c r="P879" s="11" t="s">
        <v>80</v>
      </c>
      <c r="Q879" s="11" t="s">
        <v>99</v>
      </c>
      <c r="R879" s="49" t="s">
        <v>628</v>
      </c>
      <c r="S879" s="11" t="s">
        <v>629</v>
      </c>
      <c r="T879" s="90" t="s">
        <v>10</v>
      </c>
      <c r="U879" s="90"/>
      <c r="V879" s="51">
        <v>45537</v>
      </c>
      <c r="W879" s="49" t="s">
        <v>1610</v>
      </c>
    </row>
    <row r="880" spans="1:23" ht="13" customHeight="1" x14ac:dyDescent="0.35">
      <c r="A880" s="11">
        <v>875</v>
      </c>
      <c r="B880" s="47">
        <v>206136731</v>
      </c>
      <c r="C880" s="94" t="s">
        <v>929</v>
      </c>
      <c r="D880" s="11" t="s">
        <v>930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39</v>
      </c>
      <c r="K880" s="49" t="s">
        <v>76</v>
      </c>
      <c r="L880" s="49" t="s">
        <v>95</v>
      </c>
      <c r="M880" s="49" t="s">
        <v>77</v>
      </c>
      <c r="N880" s="48" t="s">
        <v>79</v>
      </c>
      <c r="O880" s="49" t="s">
        <v>37</v>
      </c>
      <c r="P880" s="11" t="s">
        <v>80</v>
      </c>
      <c r="Q880" s="11" t="s">
        <v>81</v>
      </c>
      <c r="R880" s="49" t="s">
        <v>2825</v>
      </c>
      <c r="S880" s="11" t="s">
        <v>643</v>
      </c>
      <c r="T880" s="90" t="s">
        <v>10</v>
      </c>
      <c r="U880" s="91"/>
      <c r="V880" s="51">
        <v>45929</v>
      </c>
      <c r="W880" s="49" t="s">
        <v>1610</v>
      </c>
    </row>
    <row r="881" spans="1:23" ht="13" customHeight="1" x14ac:dyDescent="0.35">
      <c r="A881" s="11">
        <v>876</v>
      </c>
      <c r="B881" s="47">
        <v>203521137</v>
      </c>
      <c r="C881" s="94" t="s">
        <v>931</v>
      </c>
      <c r="D881" s="11" t="s">
        <v>932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32</v>
      </c>
      <c r="K881" s="49" t="s">
        <v>76</v>
      </c>
      <c r="L881" s="49" t="s">
        <v>85</v>
      </c>
      <c r="M881" s="49" t="s">
        <v>88</v>
      </c>
      <c r="N881" s="48" t="s">
        <v>79</v>
      </c>
      <c r="O881" s="49" t="s">
        <v>37</v>
      </c>
      <c r="P881" s="11" t="s">
        <v>80</v>
      </c>
      <c r="Q881" s="11" t="s">
        <v>81</v>
      </c>
      <c r="R881" s="11" t="s">
        <v>1087</v>
      </c>
      <c r="S881" s="11" t="s">
        <v>2823</v>
      </c>
      <c r="T881" s="90" t="s">
        <v>1</v>
      </c>
      <c r="U881" s="91"/>
      <c r="V881" s="51">
        <v>45463</v>
      </c>
      <c r="W881" s="49" t="s">
        <v>1610</v>
      </c>
    </row>
    <row r="882" spans="1:23" ht="13" customHeight="1" x14ac:dyDescent="0.35">
      <c r="A882" s="11">
        <v>877</v>
      </c>
      <c r="B882" s="47">
        <v>104277448</v>
      </c>
      <c r="C882" s="94" t="s">
        <v>933</v>
      </c>
      <c r="D882" s="11" t="s">
        <v>934</v>
      </c>
      <c r="E882" s="48" t="s">
        <v>34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32</v>
      </c>
      <c r="K882" s="49" t="s">
        <v>76</v>
      </c>
      <c r="L882" s="49" t="s">
        <v>78</v>
      </c>
      <c r="M882" s="49" t="s">
        <v>92</v>
      </c>
      <c r="N882" s="48" t="s">
        <v>97</v>
      </c>
      <c r="O882" s="49" t="s">
        <v>37</v>
      </c>
      <c r="P882" s="11" t="s">
        <v>80</v>
      </c>
      <c r="Q882" s="11" t="s">
        <v>98</v>
      </c>
      <c r="R882" s="49" t="s">
        <v>628</v>
      </c>
      <c r="S882" s="47" t="s">
        <v>629</v>
      </c>
      <c r="T882" s="90" t="s">
        <v>1</v>
      </c>
      <c r="U882" s="91"/>
      <c r="V882" s="51">
        <v>44067</v>
      </c>
      <c r="W882" s="49" t="s">
        <v>1614</v>
      </c>
    </row>
    <row r="883" spans="1:23" ht="13" customHeight="1" x14ac:dyDescent="0.35">
      <c r="A883" s="11">
        <v>878</v>
      </c>
      <c r="B883" s="47">
        <v>206886730</v>
      </c>
      <c r="C883" s="94" t="s">
        <v>1885</v>
      </c>
      <c r="D883" s="11" t="s">
        <v>1886</v>
      </c>
      <c r="E883" s="11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32</v>
      </c>
      <c r="K883" s="49" t="s">
        <v>76</v>
      </c>
      <c r="L883" s="49" t="s">
        <v>88</v>
      </c>
      <c r="M883" s="49" t="s">
        <v>95</v>
      </c>
      <c r="N883" s="49" t="s">
        <v>89</v>
      </c>
      <c r="O883" s="49" t="s">
        <v>37</v>
      </c>
      <c r="P883" s="11" t="s">
        <v>80</v>
      </c>
      <c r="Q883" s="11" t="s">
        <v>96</v>
      </c>
      <c r="R883" s="11" t="s">
        <v>2955</v>
      </c>
      <c r="S883" s="11" t="s">
        <v>2956</v>
      </c>
      <c r="T883" s="90" t="s">
        <v>1</v>
      </c>
      <c r="U883" s="89"/>
      <c r="V883" s="51">
        <v>46027</v>
      </c>
      <c r="W883" s="49" t="s">
        <v>1610</v>
      </c>
    </row>
    <row r="884" spans="1:23" ht="13" customHeight="1" x14ac:dyDescent="0.35">
      <c r="A884" s="11">
        <v>879</v>
      </c>
      <c r="B884" s="47">
        <v>203965183</v>
      </c>
      <c r="C884" s="94" t="s">
        <v>935</v>
      </c>
      <c r="D884" s="11" t="s">
        <v>936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39</v>
      </c>
      <c r="K884" s="49" t="s">
        <v>76</v>
      </c>
      <c r="L884" s="49" t="s">
        <v>78</v>
      </c>
      <c r="M884" s="49" t="s">
        <v>92</v>
      </c>
      <c r="N884" s="48" t="s">
        <v>79</v>
      </c>
      <c r="O884" s="49" t="s">
        <v>37</v>
      </c>
      <c r="P884" s="11" t="s">
        <v>80</v>
      </c>
      <c r="Q884" s="11" t="s">
        <v>81</v>
      </c>
      <c r="R884" s="49" t="s">
        <v>628</v>
      </c>
      <c r="S884" s="11" t="s">
        <v>629</v>
      </c>
      <c r="T884" s="90" t="s">
        <v>1</v>
      </c>
      <c r="U884" s="91"/>
      <c r="V884" s="51">
        <v>45544</v>
      </c>
      <c r="W884" s="49" t="s">
        <v>1610</v>
      </c>
    </row>
    <row r="885" spans="1:23" ht="13" customHeight="1" x14ac:dyDescent="0.35">
      <c r="A885" s="11">
        <v>880</v>
      </c>
      <c r="B885" s="47">
        <v>206138682</v>
      </c>
      <c r="C885" s="94" t="s">
        <v>937</v>
      </c>
      <c r="D885" s="11" t="s">
        <v>938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88" t="s">
        <v>39</v>
      </c>
      <c r="K885" s="49" t="s">
        <v>76</v>
      </c>
      <c r="L885" s="49" t="s">
        <v>84</v>
      </c>
      <c r="M885" s="49" t="s">
        <v>85</v>
      </c>
      <c r="N885" s="49" t="s">
        <v>89</v>
      </c>
      <c r="O885" s="49" t="s">
        <v>37</v>
      </c>
      <c r="P885" s="11" t="s">
        <v>80</v>
      </c>
      <c r="Q885" s="11" t="s">
        <v>96</v>
      </c>
      <c r="R885" s="11" t="s">
        <v>2955</v>
      </c>
      <c r="S885" s="11" t="s">
        <v>2956</v>
      </c>
      <c r="T885" s="90" t="s">
        <v>7</v>
      </c>
      <c r="U885" s="90" t="s">
        <v>3004</v>
      </c>
      <c r="V885" s="51">
        <v>45929</v>
      </c>
      <c r="W885" s="49" t="s">
        <v>1610</v>
      </c>
    </row>
    <row r="886" spans="1:23" ht="13" customHeight="1" x14ac:dyDescent="0.35">
      <c r="A886" s="11">
        <v>881</v>
      </c>
      <c r="B886" s="47">
        <v>206930336</v>
      </c>
      <c r="C886" s="94" t="s">
        <v>2081</v>
      </c>
      <c r="D886" s="11" t="s">
        <v>2292</v>
      </c>
      <c r="E886" s="48" t="s">
        <v>31</v>
      </c>
      <c r="F886" s="48" t="s">
        <v>74</v>
      </c>
      <c r="G886" s="48" t="s">
        <v>64</v>
      </c>
      <c r="H886" s="48" t="s">
        <v>1365</v>
      </c>
      <c r="I886" s="11">
        <v>1299</v>
      </c>
      <c r="J886" s="49" t="s">
        <v>32</v>
      </c>
      <c r="K886" s="49" t="s">
        <v>76</v>
      </c>
      <c r="L886" s="49" t="s">
        <v>84</v>
      </c>
      <c r="M886" s="49" t="s">
        <v>85</v>
      </c>
      <c r="N886" s="49" t="s">
        <v>89</v>
      </c>
      <c r="O886" s="49" t="s">
        <v>37</v>
      </c>
      <c r="P886" s="49" t="s">
        <v>80</v>
      </c>
      <c r="Q886" s="49" t="s">
        <v>96</v>
      </c>
      <c r="R886" s="49" t="s">
        <v>628</v>
      </c>
      <c r="S886" s="49" t="s">
        <v>629</v>
      </c>
      <c r="T886" s="90" t="s">
        <v>1</v>
      </c>
      <c r="U886" s="90"/>
      <c r="V886" s="51">
        <v>46037</v>
      </c>
      <c r="W886" s="49" t="s">
        <v>2095</v>
      </c>
    </row>
    <row r="887" spans="1:23" ht="13" customHeight="1" x14ac:dyDescent="0.35">
      <c r="A887" s="11">
        <v>882</v>
      </c>
      <c r="B887" s="47">
        <v>206517353</v>
      </c>
      <c r="C887" s="94" t="s">
        <v>2243</v>
      </c>
      <c r="D887" s="11" t="s">
        <v>2244</v>
      </c>
      <c r="E887" s="113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88" t="s">
        <v>39</v>
      </c>
      <c r="K887" s="49" t="s">
        <v>76</v>
      </c>
      <c r="L887" s="49" t="s">
        <v>88</v>
      </c>
      <c r="M887" s="49" t="s">
        <v>95</v>
      </c>
      <c r="N887" s="49" t="s">
        <v>89</v>
      </c>
      <c r="O887" s="49" t="s">
        <v>37</v>
      </c>
      <c r="P887" s="49" t="s">
        <v>80</v>
      </c>
      <c r="Q887" s="49" t="s">
        <v>96</v>
      </c>
      <c r="R887" s="11" t="s">
        <v>1087</v>
      </c>
      <c r="S887" s="49" t="s">
        <v>2823</v>
      </c>
      <c r="T887" s="90" t="s">
        <v>1</v>
      </c>
      <c r="U887" s="91"/>
      <c r="V887" s="51">
        <v>46048</v>
      </c>
      <c r="W887" s="49" t="s">
        <v>1610</v>
      </c>
    </row>
    <row r="888" spans="1:23" ht="13" customHeight="1" x14ac:dyDescent="0.35">
      <c r="A888" s="11">
        <v>883</v>
      </c>
      <c r="B888" s="47">
        <v>204009951</v>
      </c>
      <c r="C888" s="94" t="s">
        <v>939</v>
      </c>
      <c r="D888" s="11" t="s">
        <v>940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39</v>
      </c>
      <c r="K888" s="49" t="s">
        <v>76</v>
      </c>
      <c r="L888" s="49" t="s">
        <v>77</v>
      </c>
      <c r="M888" s="49" t="s">
        <v>78</v>
      </c>
      <c r="N888" s="48" t="s">
        <v>86</v>
      </c>
      <c r="O888" s="49" t="s">
        <v>37</v>
      </c>
      <c r="P888" s="11" t="s">
        <v>80</v>
      </c>
      <c r="Q888" s="11" t="s">
        <v>90</v>
      </c>
      <c r="R888" s="49" t="s">
        <v>648</v>
      </c>
      <c r="S888" s="11" t="s">
        <v>1842</v>
      </c>
      <c r="T888" s="90" t="s">
        <v>10</v>
      </c>
      <c r="U888" s="90"/>
      <c r="V888" s="51">
        <v>45551</v>
      </c>
      <c r="W888" s="49" t="s">
        <v>1610</v>
      </c>
    </row>
    <row r="889" spans="1:23" ht="13" customHeight="1" x14ac:dyDescent="0.35">
      <c r="A889" s="11">
        <v>884</v>
      </c>
      <c r="B889" s="47">
        <v>203850806</v>
      </c>
      <c r="C889" s="94" t="s">
        <v>941</v>
      </c>
      <c r="D889" s="11" t="s">
        <v>942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49" t="s">
        <v>39</v>
      </c>
      <c r="K889" s="49" t="s">
        <v>76</v>
      </c>
      <c r="L889" s="49" t="s">
        <v>92</v>
      </c>
      <c r="M889" s="49" t="s">
        <v>84</v>
      </c>
      <c r="N889" s="48" t="s">
        <v>86</v>
      </c>
      <c r="O889" s="49" t="s">
        <v>37</v>
      </c>
      <c r="P889" s="11" t="s">
        <v>80</v>
      </c>
      <c r="Q889" s="11" t="s">
        <v>90</v>
      </c>
      <c r="R889" s="49" t="s">
        <v>648</v>
      </c>
      <c r="S889" s="11" t="s">
        <v>1842</v>
      </c>
      <c r="T889" s="90" t="s">
        <v>7</v>
      </c>
      <c r="U889" s="90" t="s">
        <v>3004</v>
      </c>
      <c r="V889" s="51">
        <v>45524</v>
      </c>
      <c r="W889" s="49" t="s">
        <v>1610</v>
      </c>
    </row>
    <row r="890" spans="1:23" ht="13" customHeight="1" x14ac:dyDescent="0.35">
      <c r="A890" s="11">
        <v>885</v>
      </c>
      <c r="B890" s="47">
        <v>203908885</v>
      </c>
      <c r="C890" s="94" t="s">
        <v>2506</v>
      </c>
      <c r="D890" s="11" t="s">
        <v>2507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39</v>
      </c>
      <c r="K890" s="49" t="s">
        <v>76</v>
      </c>
      <c r="L890" s="49" t="s">
        <v>88</v>
      </c>
      <c r="M890" s="49" t="s">
        <v>95</v>
      </c>
      <c r="N890" s="49" t="s">
        <v>89</v>
      </c>
      <c r="O890" s="49" t="s">
        <v>37</v>
      </c>
      <c r="P890" s="11" t="s">
        <v>80</v>
      </c>
      <c r="Q890" s="11" t="s">
        <v>90</v>
      </c>
      <c r="R890" s="49" t="s">
        <v>628</v>
      </c>
      <c r="S890" s="11" t="s">
        <v>629</v>
      </c>
      <c r="T890" s="90" t="s">
        <v>1</v>
      </c>
      <c r="U890" s="90"/>
      <c r="V890" s="51">
        <v>45537</v>
      </c>
      <c r="W890" s="49" t="s">
        <v>1610</v>
      </c>
    </row>
    <row r="891" spans="1:23" ht="13" customHeight="1" x14ac:dyDescent="0.35">
      <c r="A891" s="11">
        <v>886</v>
      </c>
      <c r="B891" s="47">
        <v>203965411</v>
      </c>
      <c r="C891" s="94" t="s">
        <v>943</v>
      </c>
      <c r="D891" s="11" t="s">
        <v>944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39</v>
      </c>
      <c r="K891" s="49" t="s">
        <v>76</v>
      </c>
      <c r="L891" s="49" t="s">
        <v>92</v>
      </c>
      <c r="M891" s="49" t="s">
        <v>84</v>
      </c>
      <c r="N891" s="48" t="s">
        <v>79</v>
      </c>
      <c r="O891" s="49" t="s">
        <v>37</v>
      </c>
      <c r="P891" s="11" t="s">
        <v>80</v>
      </c>
      <c r="Q891" s="11" t="s">
        <v>81</v>
      </c>
      <c r="R891" s="49" t="s">
        <v>648</v>
      </c>
      <c r="S891" s="11" t="s">
        <v>1842</v>
      </c>
      <c r="T891" s="90" t="s">
        <v>3</v>
      </c>
      <c r="U891" s="89"/>
      <c r="V891" s="51">
        <v>45544</v>
      </c>
      <c r="W891" s="49" t="s">
        <v>1610</v>
      </c>
    </row>
    <row r="892" spans="1:23" ht="13" customHeight="1" x14ac:dyDescent="0.35">
      <c r="A892" s="11">
        <v>887</v>
      </c>
      <c r="B892" s="11">
        <v>205923172</v>
      </c>
      <c r="C892" s="94" t="s">
        <v>2293</v>
      </c>
      <c r="D892" s="11" t="s">
        <v>2294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88" t="s">
        <v>39</v>
      </c>
      <c r="K892" s="49" t="s">
        <v>76</v>
      </c>
      <c r="L892" s="49" t="s">
        <v>78</v>
      </c>
      <c r="M892" s="49" t="s">
        <v>92</v>
      </c>
      <c r="N892" s="49" t="s">
        <v>79</v>
      </c>
      <c r="O892" s="49" t="s">
        <v>37</v>
      </c>
      <c r="P892" s="11" t="s">
        <v>80</v>
      </c>
      <c r="Q892" s="2" t="s">
        <v>96</v>
      </c>
      <c r="R892" s="11" t="s">
        <v>1087</v>
      </c>
      <c r="S892" s="54" t="s">
        <v>2823</v>
      </c>
      <c r="T892" s="90" t="s">
        <v>1</v>
      </c>
      <c r="U892" s="90"/>
      <c r="V892" s="51">
        <v>46051</v>
      </c>
      <c r="W892" s="49" t="s">
        <v>1610</v>
      </c>
    </row>
    <row r="893" spans="1:23" ht="13" customHeight="1" x14ac:dyDescent="0.35">
      <c r="A893" s="11">
        <v>888</v>
      </c>
      <c r="B893" s="97">
        <v>203850804</v>
      </c>
      <c r="C893" s="47" t="s">
        <v>2890</v>
      </c>
      <c r="D893" s="94" t="s">
        <v>2891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49" t="s">
        <v>32</v>
      </c>
      <c r="K893" s="49" t="s">
        <v>76</v>
      </c>
      <c r="L893" s="49" t="s">
        <v>88</v>
      </c>
      <c r="M893" s="49" t="s">
        <v>95</v>
      </c>
      <c r="N893" s="48" t="s">
        <v>86</v>
      </c>
      <c r="O893" s="49" t="s">
        <v>37</v>
      </c>
      <c r="P893" s="11" t="s">
        <v>80</v>
      </c>
      <c r="Q893" s="11" t="s">
        <v>90</v>
      </c>
      <c r="R893" s="11" t="s">
        <v>2955</v>
      </c>
      <c r="S893" s="11" t="s">
        <v>2956</v>
      </c>
      <c r="T893" s="90" t="s">
        <v>1</v>
      </c>
      <c r="U893" s="91"/>
      <c r="V893" s="51">
        <v>45524</v>
      </c>
      <c r="W893" s="49" t="s">
        <v>1610</v>
      </c>
    </row>
    <row r="894" spans="1:23" ht="13" customHeight="1" x14ac:dyDescent="0.35">
      <c r="A894" s="11">
        <v>889</v>
      </c>
      <c r="B894" s="47">
        <v>204072306</v>
      </c>
      <c r="C894" s="94" t="s">
        <v>945</v>
      </c>
      <c r="D894" s="11" t="s">
        <v>946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32</v>
      </c>
      <c r="K894" s="49" t="s">
        <v>76</v>
      </c>
      <c r="L894" s="49" t="s">
        <v>85</v>
      </c>
      <c r="M894" s="49" t="s">
        <v>88</v>
      </c>
      <c r="N894" s="48" t="s">
        <v>86</v>
      </c>
      <c r="O894" s="49" t="s">
        <v>37</v>
      </c>
      <c r="P894" s="11" t="s">
        <v>80</v>
      </c>
      <c r="Q894" s="11" t="s">
        <v>90</v>
      </c>
      <c r="R894" s="11" t="s">
        <v>2955</v>
      </c>
      <c r="S894" s="11" t="s">
        <v>2956</v>
      </c>
      <c r="T894" s="90" t="s">
        <v>1</v>
      </c>
      <c r="U894" s="91"/>
      <c r="V894" s="51">
        <v>45558</v>
      </c>
      <c r="W894" s="49" t="s">
        <v>1610</v>
      </c>
    </row>
    <row r="895" spans="1:23" ht="13" customHeight="1" x14ac:dyDescent="0.35">
      <c r="A895" s="11">
        <v>890</v>
      </c>
      <c r="B895" s="97">
        <v>203850884</v>
      </c>
      <c r="C895" s="47" t="s">
        <v>2892</v>
      </c>
      <c r="D895" s="94" t="s">
        <v>2893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32</v>
      </c>
      <c r="K895" s="49" t="s">
        <v>76</v>
      </c>
      <c r="L895" s="49" t="s">
        <v>85</v>
      </c>
      <c r="M895" s="49" t="s">
        <v>88</v>
      </c>
      <c r="N895" s="48" t="s">
        <v>86</v>
      </c>
      <c r="O895" s="49" t="s">
        <v>37</v>
      </c>
      <c r="P895" s="11" t="s">
        <v>80</v>
      </c>
      <c r="Q895" s="11" t="s">
        <v>90</v>
      </c>
      <c r="R895" s="11" t="s">
        <v>628</v>
      </c>
      <c r="S895" s="11" t="s">
        <v>629</v>
      </c>
      <c r="T895" s="90" t="s">
        <v>1</v>
      </c>
      <c r="U895" s="89"/>
      <c r="V895" s="51">
        <v>45524</v>
      </c>
      <c r="W895" s="49" t="s">
        <v>1610</v>
      </c>
    </row>
    <row r="896" spans="1:23" ht="13" customHeight="1" x14ac:dyDescent="0.35">
      <c r="A896" s="11">
        <v>891</v>
      </c>
      <c r="B896" s="47">
        <v>203813081</v>
      </c>
      <c r="C896" s="94" t="s">
        <v>947</v>
      </c>
      <c r="D896" s="11" t="s">
        <v>948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39</v>
      </c>
      <c r="K896" s="49" t="s">
        <v>76</v>
      </c>
      <c r="L896" s="49" t="s">
        <v>78</v>
      </c>
      <c r="M896" s="49" t="s">
        <v>92</v>
      </c>
      <c r="N896" s="48" t="s">
        <v>86</v>
      </c>
      <c r="O896" s="49" t="s">
        <v>37</v>
      </c>
      <c r="P896" s="11" t="s">
        <v>80</v>
      </c>
      <c r="Q896" s="11" t="s">
        <v>99</v>
      </c>
      <c r="R896" s="11" t="s">
        <v>640</v>
      </c>
      <c r="S896" s="11" t="s">
        <v>2824</v>
      </c>
      <c r="T896" s="90" t="s">
        <v>1</v>
      </c>
      <c r="U896" s="89"/>
      <c r="V896" s="51">
        <v>45517</v>
      </c>
      <c r="W896" s="49" t="s">
        <v>1610</v>
      </c>
    </row>
    <row r="897" spans="1:23" ht="13" customHeight="1" x14ac:dyDescent="0.35">
      <c r="A897" s="11">
        <v>892</v>
      </c>
      <c r="B897" s="47">
        <v>206015628</v>
      </c>
      <c r="C897" s="94" t="s">
        <v>949</v>
      </c>
      <c r="D897" s="11" t="s">
        <v>950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32</v>
      </c>
      <c r="K897" s="49" t="s">
        <v>76</v>
      </c>
      <c r="L897" s="49" t="s">
        <v>95</v>
      </c>
      <c r="M897" s="49" t="s">
        <v>77</v>
      </c>
      <c r="N897" s="48" t="s">
        <v>79</v>
      </c>
      <c r="O897" s="49" t="s">
        <v>37</v>
      </c>
      <c r="P897" s="11" t="s">
        <v>80</v>
      </c>
      <c r="Q897" s="11" t="s">
        <v>81</v>
      </c>
      <c r="R897" s="49" t="s">
        <v>648</v>
      </c>
      <c r="S897" s="11" t="s">
        <v>1842</v>
      </c>
      <c r="T897" s="90" t="s">
        <v>10</v>
      </c>
      <c r="U897" s="91"/>
      <c r="V897" s="51">
        <v>45922</v>
      </c>
      <c r="W897" s="49" t="s">
        <v>1610</v>
      </c>
    </row>
    <row r="898" spans="1:23" ht="13" customHeight="1" x14ac:dyDescent="0.35">
      <c r="A898" s="11">
        <v>893</v>
      </c>
      <c r="B898" s="47">
        <v>206491340</v>
      </c>
      <c r="C898" s="94" t="s">
        <v>2245</v>
      </c>
      <c r="D898" s="11" t="s">
        <v>2246</v>
      </c>
      <c r="E898" s="113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88" t="s">
        <v>39</v>
      </c>
      <c r="K898" s="49" t="s">
        <v>76</v>
      </c>
      <c r="L898" s="49" t="s">
        <v>88</v>
      </c>
      <c r="M898" s="49" t="s">
        <v>95</v>
      </c>
      <c r="N898" s="49" t="s">
        <v>89</v>
      </c>
      <c r="O898" s="49" t="s">
        <v>37</v>
      </c>
      <c r="P898" s="49" t="s">
        <v>80</v>
      </c>
      <c r="Q898" s="49" t="s">
        <v>96</v>
      </c>
      <c r="R898" s="11" t="s">
        <v>1087</v>
      </c>
      <c r="S898" s="49" t="s">
        <v>2823</v>
      </c>
      <c r="T898" s="90" t="s">
        <v>1</v>
      </c>
      <c r="U898" s="90"/>
      <c r="V898" s="51">
        <v>46048</v>
      </c>
      <c r="W898" s="49" t="s">
        <v>1610</v>
      </c>
    </row>
    <row r="899" spans="1:23" ht="13" customHeight="1" x14ac:dyDescent="0.35">
      <c r="A899" s="11">
        <v>894</v>
      </c>
      <c r="B899" s="97">
        <v>204011579</v>
      </c>
      <c r="C899" s="47" t="s">
        <v>2894</v>
      </c>
      <c r="D899" s="94" t="s">
        <v>2895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39</v>
      </c>
      <c r="K899" s="49" t="s">
        <v>76</v>
      </c>
      <c r="L899" s="49" t="s">
        <v>85</v>
      </c>
      <c r="M899" s="49" t="s">
        <v>88</v>
      </c>
      <c r="N899" s="48" t="s">
        <v>86</v>
      </c>
      <c r="O899" s="49" t="s">
        <v>37</v>
      </c>
      <c r="P899" s="11" t="s">
        <v>80</v>
      </c>
      <c r="Q899" s="11" t="s">
        <v>90</v>
      </c>
      <c r="R899" s="11" t="s">
        <v>1087</v>
      </c>
      <c r="S899" s="11" t="s">
        <v>2855</v>
      </c>
      <c r="T899" s="90" t="s">
        <v>1</v>
      </c>
      <c r="U899" s="91"/>
      <c r="V899" s="51">
        <v>45551</v>
      </c>
      <c r="W899" s="49" t="s">
        <v>1610</v>
      </c>
    </row>
    <row r="900" spans="1:23" ht="13" customHeight="1" x14ac:dyDescent="0.35">
      <c r="A900" s="11">
        <v>895</v>
      </c>
      <c r="B900" s="47">
        <v>206607036</v>
      </c>
      <c r="C900" s="94" t="s">
        <v>2177</v>
      </c>
      <c r="D900" s="11" t="s">
        <v>2178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88" t="s">
        <v>39</v>
      </c>
      <c r="K900" s="49" t="s">
        <v>76</v>
      </c>
      <c r="L900" s="49" t="s">
        <v>84</v>
      </c>
      <c r="M900" s="49" t="s">
        <v>85</v>
      </c>
      <c r="N900" s="49" t="s">
        <v>89</v>
      </c>
      <c r="O900" s="49" t="s">
        <v>37</v>
      </c>
      <c r="P900" s="11" t="s">
        <v>80</v>
      </c>
      <c r="Q900" s="11" t="s">
        <v>96</v>
      </c>
      <c r="R900" s="49" t="s">
        <v>628</v>
      </c>
      <c r="S900" s="11" t="s">
        <v>629</v>
      </c>
      <c r="T900" s="90" t="s">
        <v>1</v>
      </c>
      <c r="U900" s="91"/>
      <c r="V900" s="51">
        <v>46048</v>
      </c>
      <c r="W900" s="49" t="s">
        <v>1610</v>
      </c>
    </row>
    <row r="901" spans="1:23" ht="13" customHeight="1" x14ac:dyDescent="0.35">
      <c r="A901" s="11">
        <v>896</v>
      </c>
      <c r="B901" s="47">
        <v>205853575</v>
      </c>
      <c r="C901" s="94" t="s">
        <v>951</v>
      </c>
      <c r="D901" s="11" t="s">
        <v>952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49" t="s">
        <v>39</v>
      </c>
      <c r="K901" s="49" t="s">
        <v>76</v>
      </c>
      <c r="L901" s="49" t="s">
        <v>92</v>
      </c>
      <c r="M901" s="49" t="s">
        <v>84</v>
      </c>
      <c r="N901" s="49" t="s">
        <v>89</v>
      </c>
      <c r="O901" s="49" t="s">
        <v>37</v>
      </c>
      <c r="P901" s="11" t="s">
        <v>80</v>
      </c>
      <c r="Q901" s="11" t="s">
        <v>96</v>
      </c>
      <c r="R901" s="11" t="s">
        <v>632</v>
      </c>
      <c r="S901" s="11" t="s">
        <v>633</v>
      </c>
      <c r="T901" s="90" t="s">
        <v>1</v>
      </c>
      <c r="U901" s="90"/>
      <c r="V901" s="51">
        <v>45894</v>
      </c>
      <c r="W901" s="49" t="s">
        <v>1610</v>
      </c>
    </row>
    <row r="902" spans="1:23" ht="13" customHeight="1" x14ac:dyDescent="0.35">
      <c r="A902" s="11">
        <v>897</v>
      </c>
      <c r="B902" s="47">
        <v>203285820</v>
      </c>
      <c r="C902" s="94" t="s">
        <v>953</v>
      </c>
      <c r="D902" s="11" t="s">
        <v>954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39</v>
      </c>
      <c r="K902" s="49" t="s">
        <v>76</v>
      </c>
      <c r="L902" s="49" t="s">
        <v>84</v>
      </c>
      <c r="M902" s="49" t="s">
        <v>85</v>
      </c>
      <c r="N902" s="48" t="s">
        <v>79</v>
      </c>
      <c r="O902" s="49" t="s">
        <v>37</v>
      </c>
      <c r="P902" s="11" t="s">
        <v>80</v>
      </c>
      <c r="Q902" s="11" t="s">
        <v>81</v>
      </c>
      <c r="R902" s="11" t="s">
        <v>632</v>
      </c>
      <c r="S902" s="11" t="s">
        <v>633</v>
      </c>
      <c r="T902" s="90" t="s">
        <v>1</v>
      </c>
      <c r="U902" s="91"/>
      <c r="V902" s="51">
        <v>45561</v>
      </c>
      <c r="W902" s="49" t="s">
        <v>1609</v>
      </c>
    </row>
    <row r="903" spans="1:23" ht="13" customHeight="1" x14ac:dyDescent="0.35">
      <c r="A903" s="11">
        <v>898</v>
      </c>
      <c r="B903" s="47">
        <v>205853580</v>
      </c>
      <c r="C903" s="94" t="s">
        <v>955</v>
      </c>
      <c r="D903" s="11" t="s">
        <v>956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78</v>
      </c>
      <c r="M903" s="49" t="s">
        <v>92</v>
      </c>
      <c r="N903" s="49" t="s">
        <v>79</v>
      </c>
      <c r="O903" s="49" t="s">
        <v>37</v>
      </c>
      <c r="P903" s="11" t="s">
        <v>80</v>
      </c>
      <c r="Q903" s="11" t="s">
        <v>96</v>
      </c>
      <c r="R903" s="11" t="s">
        <v>1087</v>
      </c>
      <c r="S903" s="11" t="s">
        <v>2823</v>
      </c>
      <c r="T903" s="90" t="s">
        <v>1</v>
      </c>
      <c r="U903" s="89"/>
      <c r="V903" s="51">
        <v>45894</v>
      </c>
      <c r="W903" s="49" t="s">
        <v>1610</v>
      </c>
    </row>
    <row r="904" spans="1:23" ht="13" customHeight="1" x14ac:dyDescent="0.35">
      <c r="A904" s="11">
        <v>899</v>
      </c>
      <c r="B904" s="47">
        <v>206902845</v>
      </c>
      <c r="C904" s="94" t="s">
        <v>1943</v>
      </c>
      <c r="D904" s="11" t="s">
        <v>1944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1290</v>
      </c>
      <c r="J904" s="49" t="s">
        <v>39</v>
      </c>
      <c r="K904" s="49" t="s">
        <v>76</v>
      </c>
      <c r="L904" s="49" t="s">
        <v>92</v>
      </c>
      <c r="M904" s="49" t="s">
        <v>84</v>
      </c>
      <c r="N904" s="49" t="s">
        <v>89</v>
      </c>
      <c r="O904" s="48" t="s">
        <v>37</v>
      </c>
      <c r="P904" s="48" t="s">
        <v>80</v>
      </c>
      <c r="Q904" s="11" t="s">
        <v>90</v>
      </c>
      <c r="R904" s="49" t="s">
        <v>648</v>
      </c>
      <c r="S904" s="11" t="s">
        <v>1842</v>
      </c>
      <c r="T904" s="90" t="s">
        <v>1</v>
      </c>
      <c r="U904" s="89"/>
      <c r="V904" s="51">
        <v>46030</v>
      </c>
      <c r="W904" s="49" t="s">
        <v>1610</v>
      </c>
    </row>
    <row r="905" spans="1:23" ht="13" customHeight="1" x14ac:dyDescent="0.35">
      <c r="A905" s="11">
        <v>900</v>
      </c>
      <c r="B905" s="47">
        <v>204967041</v>
      </c>
      <c r="C905" s="94" t="s">
        <v>957</v>
      </c>
      <c r="D905" s="11" t="s">
        <v>958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32</v>
      </c>
      <c r="K905" s="49" t="s">
        <v>76</v>
      </c>
      <c r="L905" s="49" t="s">
        <v>77</v>
      </c>
      <c r="M905" s="49" t="s">
        <v>78</v>
      </c>
      <c r="N905" s="48" t="s">
        <v>86</v>
      </c>
      <c r="O905" s="49" t="s">
        <v>37</v>
      </c>
      <c r="P905" s="11" t="s">
        <v>80</v>
      </c>
      <c r="Q905" s="11" t="s">
        <v>90</v>
      </c>
      <c r="R905" s="49" t="s">
        <v>648</v>
      </c>
      <c r="S905" s="11" t="s">
        <v>1842</v>
      </c>
      <c r="T905" s="90" t="s">
        <v>10</v>
      </c>
      <c r="U905" s="89"/>
      <c r="V905" s="51">
        <v>45719</v>
      </c>
      <c r="W905" s="49" t="s">
        <v>1610</v>
      </c>
    </row>
    <row r="906" spans="1:23" ht="13" customHeight="1" x14ac:dyDescent="0.35">
      <c r="A906" s="11">
        <v>901</v>
      </c>
      <c r="B906" s="47">
        <v>206607035</v>
      </c>
      <c r="C906" s="94" t="s">
        <v>2179</v>
      </c>
      <c r="D906" s="11" t="s">
        <v>2180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88" t="s">
        <v>39</v>
      </c>
      <c r="K906" s="49" t="s">
        <v>76</v>
      </c>
      <c r="L906" s="49" t="s">
        <v>84</v>
      </c>
      <c r="M906" s="49" t="s">
        <v>85</v>
      </c>
      <c r="N906" s="49" t="s">
        <v>89</v>
      </c>
      <c r="O906" s="49" t="s">
        <v>37</v>
      </c>
      <c r="P906" s="11" t="s">
        <v>80</v>
      </c>
      <c r="Q906" s="11" t="s">
        <v>96</v>
      </c>
      <c r="R906" s="49" t="s">
        <v>628</v>
      </c>
      <c r="S906" s="11" t="s">
        <v>629</v>
      </c>
      <c r="T906" s="90" t="s">
        <v>1</v>
      </c>
      <c r="U906" s="91"/>
      <c r="V906" s="51">
        <v>46048</v>
      </c>
      <c r="W906" s="49" t="s">
        <v>1610</v>
      </c>
    </row>
    <row r="907" spans="1:23" ht="13" customHeight="1" x14ac:dyDescent="0.35">
      <c r="A907" s="11">
        <v>902</v>
      </c>
      <c r="B907" s="47">
        <v>203512666</v>
      </c>
      <c r="C907" s="94" t="s">
        <v>959</v>
      </c>
      <c r="D907" s="11" t="s">
        <v>960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32</v>
      </c>
      <c r="K907" s="49" t="s">
        <v>76</v>
      </c>
      <c r="L907" s="49" t="s">
        <v>88</v>
      </c>
      <c r="M907" s="49" t="s">
        <v>95</v>
      </c>
      <c r="N907" s="48" t="s">
        <v>79</v>
      </c>
      <c r="O907" s="49" t="s">
        <v>37</v>
      </c>
      <c r="P907" s="11" t="s">
        <v>80</v>
      </c>
      <c r="Q907" s="11" t="s">
        <v>81</v>
      </c>
      <c r="R907" s="49" t="s">
        <v>648</v>
      </c>
      <c r="S907" s="11" t="s">
        <v>1842</v>
      </c>
      <c r="T907" s="90" t="s">
        <v>1</v>
      </c>
      <c r="U907" s="89"/>
      <c r="V907" s="51">
        <v>45463</v>
      </c>
      <c r="W907" s="49" t="s">
        <v>1612</v>
      </c>
    </row>
    <row r="908" spans="1:23" ht="13" customHeight="1" x14ac:dyDescent="0.35">
      <c r="A908" s="11">
        <v>903</v>
      </c>
      <c r="B908" s="47">
        <v>206868006</v>
      </c>
      <c r="C908" s="94" t="s">
        <v>1875</v>
      </c>
      <c r="D908" s="11" t="s">
        <v>1876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32</v>
      </c>
      <c r="K908" s="49" t="s">
        <v>76</v>
      </c>
      <c r="L908" s="49" t="s">
        <v>85</v>
      </c>
      <c r="M908" s="49" t="s">
        <v>88</v>
      </c>
      <c r="N908" s="49" t="s">
        <v>89</v>
      </c>
      <c r="O908" s="49" t="s">
        <v>37</v>
      </c>
      <c r="P908" s="11" t="s">
        <v>80</v>
      </c>
      <c r="Q908" s="11" t="s">
        <v>81</v>
      </c>
      <c r="R908" s="11" t="s">
        <v>632</v>
      </c>
      <c r="S908" s="11" t="s">
        <v>633</v>
      </c>
      <c r="T908" s="90" t="s">
        <v>7</v>
      </c>
      <c r="U908" s="90" t="s">
        <v>3004</v>
      </c>
      <c r="V908" s="51">
        <v>46016</v>
      </c>
      <c r="W908" s="11" t="s">
        <v>1609</v>
      </c>
    </row>
    <row r="909" spans="1:23" ht="13" customHeight="1" x14ac:dyDescent="0.35">
      <c r="A909" s="11">
        <v>904</v>
      </c>
      <c r="B909" s="97">
        <v>204009978</v>
      </c>
      <c r="C909" s="47" t="s">
        <v>2896</v>
      </c>
      <c r="D909" s="94" t="s">
        <v>2897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95</v>
      </c>
      <c r="M909" s="49" t="s">
        <v>77</v>
      </c>
      <c r="N909" s="48" t="s">
        <v>86</v>
      </c>
      <c r="O909" s="49" t="s">
        <v>37</v>
      </c>
      <c r="P909" s="11" t="s">
        <v>80</v>
      </c>
      <c r="Q909" s="11" t="s">
        <v>90</v>
      </c>
      <c r="R909" s="11" t="s">
        <v>648</v>
      </c>
      <c r="S909" s="11" t="s">
        <v>2845</v>
      </c>
      <c r="T909" s="90" t="s">
        <v>10</v>
      </c>
      <c r="U909" s="89"/>
      <c r="V909" s="51">
        <v>45551</v>
      </c>
      <c r="W909" s="49" t="s">
        <v>1610</v>
      </c>
    </row>
    <row r="910" spans="1:23" ht="13" customHeight="1" x14ac:dyDescent="0.35">
      <c r="A910" s="11">
        <v>905</v>
      </c>
      <c r="B910" s="47">
        <v>203850879</v>
      </c>
      <c r="C910" s="94" t="s">
        <v>2449</v>
      </c>
      <c r="D910" s="11" t="s">
        <v>2450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32</v>
      </c>
      <c r="K910" s="49" t="s">
        <v>76</v>
      </c>
      <c r="L910" s="49" t="s">
        <v>95</v>
      </c>
      <c r="M910" s="49" t="s">
        <v>77</v>
      </c>
      <c r="N910" s="48" t="s">
        <v>86</v>
      </c>
      <c r="O910" s="49" t="s">
        <v>37</v>
      </c>
      <c r="P910" s="11" t="s">
        <v>80</v>
      </c>
      <c r="Q910" s="11" t="s">
        <v>90</v>
      </c>
      <c r="R910" s="11" t="s">
        <v>2955</v>
      </c>
      <c r="S910" s="11" t="s">
        <v>2956</v>
      </c>
      <c r="T910" s="90" t="s">
        <v>10</v>
      </c>
      <c r="U910" s="91"/>
      <c r="V910" s="51">
        <v>45524</v>
      </c>
      <c r="W910" s="49" t="s">
        <v>1610</v>
      </c>
    </row>
    <row r="911" spans="1:23" ht="13" customHeight="1" x14ac:dyDescent="0.35">
      <c r="A911" s="11">
        <v>906</v>
      </c>
      <c r="B911" s="97">
        <v>203993431</v>
      </c>
      <c r="C911" s="47" t="s">
        <v>2898</v>
      </c>
      <c r="D911" s="94" t="s">
        <v>2899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77</v>
      </c>
      <c r="M911" s="49" t="s">
        <v>78</v>
      </c>
      <c r="N911" s="49" t="s">
        <v>89</v>
      </c>
      <c r="O911" s="49" t="s">
        <v>37</v>
      </c>
      <c r="P911" s="11" t="s">
        <v>80</v>
      </c>
      <c r="Q911" s="11" t="s">
        <v>90</v>
      </c>
      <c r="R911" s="11" t="s">
        <v>2955</v>
      </c>
      <c r="S911" s="11" t="s">
        <v>2956</v>
      </c>
      <c r="T911" s="90" t="s">
        <v>10</v>
      </c>
      <c r="U911" s="91"/>
      <c r="V911" s="51">
        <v>45547</v>
      </c>
      <c r="W911" s="49" t="s">
        <v>1610</v>
      </c>
    </row>
    <row r="912" spans="1:23" ht="13" customHeight="1" x14ac:dyDescent="0.35">
      <c r="A912" s="11">
        <v>907</v>
      </c>
      <c r="B912" s="47">
        <v>205854083</v>
      </c>
      <c r="C912" s="94" t="s">
        <v>961</v>
      </c>
      <c r="D912" s="11" t="s">
        <v>962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32</v>
      </c>
      <c r="K912" s="49" t="s">
        <v>76</v>
      </c>
      <c r="L912" s="49" t="s">
        <v>92</v>
      </c>
      <c r="M912" s="49" t="s">
        <v>84</v>
      </c>
      <c r="N912" s="49" t="s">
        <v>89</v>
      </c>
      <c r="O912" s="49" t="s">
        <v>37</v>
      </c>
      <c r="P912" s="11" t="s">
        <v>80</v>
      </c>
      <c r="Q912" s="11" t="s">
        <v>96</v>
      </c>
      <c r="R912" s="49" t="s">
        <v>628</v>
      </c>
      <c r="S912" s="11" t="s">
        <v>629</v>
      </c>
      <c r="T912" s="90" t="s">
        <v>1</v>
      </c>
      <c r="U912" s="90"/>
      <c r="V912" s="51">
        <v>45894</v>
      </c>
      <c r="W912" s="49" t="s">
        <v>1610</v>
      </c>
    </row>
    <row r="913" spans="1:23" ht="13" customHeight="1" x14ac:dyDescent="0.35">
      <c r="A913" s="11">
        <v>908</v>
      </c>
      <c r="B913" s="47">
        <v>206250876</v>
      </c>
      <c r="C913" s="94" t="s">
        <v>1691</v>
      </c>
      <c r="D913" s="11" t="s">
        <v>1666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84</v>
      </c>
      <c r="M913" s="49" t="s">
        <v>85</v>
      </c>
      <c r="N913" s="48" t="s">
        <v>79</v>
      </c>
      <c r="O913" s="49" t="s">
        <v>37</v>
      </c>
      <c r="P913" s="11" t="s">
        <v>80</v>
      </c>
      <c r="Q913" s="11" t="s">
        <v>81</v>
      </c>
      <c r="R913" s="11" t="s">
        <v>1087</v>
      </c>
      <c r="S913" s="11" t="s">
        <v>2823</v>
      </c>
      <c r="T913" s="90" t="s">
        <v>1</v>
      </c>
      <c r="U913" s="90"/>
      <c r="V913" s="51">
        <v>45943</v>
      </c>
      <c r="W913" s="49" t="s">
        <v>1610</v>
      </c>
    </row>
    <row r="914" spans="1:23" ht="13" customHeight="1" x14ac:dyDescent="0.35">
      <c r="A914" s="11">
        <v>909</v>
      </c>
      <c r="B914" s="47">
        <v>206886731</v>
      </c>
      <c r="C914" s="94" t="s">
        <v>1889</v>
      </c>
      <c r="D914" s="11" t="s">
        <v>1890</v>
      </c>
      <c r="E914" s="11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39</v>
      </c>
      <c r="K914" s="49" t="s">
        <v>76</v>
      </c>
      <c r="L914" s="49" t="s">
        <v>77</v>
      </c>
      <c r="M914" s="49" t="s">
        <v>78</v>
      </c>
      <c r="N914" s="49" t="s">
        <v>89</v>
      </c>
      <c r="O914" s="49" t="s">
        <v>37</v>
      </c>
      <c r="P914" s="11" t="s">
        <v>80</v>
      </c>
      <c r="Q914" s="11" t="s">
        <v>96</v>
      </c>
      <c r="R914" s="11" t="s">
        <v>640</v>
      </c>
      <c r="S914" s="11" t="s">
        <v>2824</v>
      </c>
      <c r="T914" s="90" t="s">
        <v>10</v>
      </c>
      <c r="U914" s="90"/>
      <c r="V914" s="51">
        <v>46027</v>
      </c>
      <c r="W914" s="49" t="s">
        <v>1610</v>
      </c>
    </row>
    <row r="915" spans="1:23" ht="13" customHeight="1" x14ac:dyDescent="0.35">
      <c r="A915" s="11">
        <v>910</v>
      </c>
      <c r="B915" s="47">
        <v>202198840</v>
      </c>
      <c r="C915" s="94" t="s">
        <v>963</v>
      </c>
      <c r="D915" s="11" t="s">
        <v>964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84</v>
      </c>
      <c r="M915" s="49" t="s">
        <v>85</v>
      </c>
      <c r="N915" s="48" t="s">
        <v>86</v>
      </c>
      <c r="O915" s="49" t="s">
        <v>37</v>
      </c>
      <c r="P915" s="11" t="s">
        <v>80</v>
      </c>
      <c r="Q915" s="11" t="s">
        <v>87</v>
      </c>
      <c r="R915" s="49" t="s">
        <v>628</v>
      </c>
      <c r="S915" s="11" t="s">
        <v>629</v>
      </c>
      <c r="T915" s="90" t="s">
        <v>1</v>
      </c>
      <c r="U915" s="89"/>
      <c r="V915" s="51">
        <v>45586</v>
      </c>
      <c r="W915" s="49" t="s">
        <v>1609</v>
      </c>
    </row>
    <row r="916" spans="1:23" ht="13" customHeight="1" x14ac:dyDescent="0.35">
      <c r="A916" s="11">
        <v>911</v>
      </c>
      <c r="B916" s="47">
        <v>206850963</v>
      </c>
      <c r="C916" s="94" t="s">
        <v>1851</v>
      </c>
      <c r="D916" s="47" t="s">
        <v>1852</v>
      </c>
      <c r="E916" s="47" t="s">
        <v>31</v>
      </c>
      <c r="F916" s="48" t="s">
        <v>74</v>
      </c>
      <c r="G916" s="11" t="s">
        <v>64</v>
      </c>
      <c r="H916" s="11" t="s">
        <v>75</v>
      </c>
      <c r="I916" s="47">
        <v>1299</v>
      </c>
      <c r="J916" s="49" t="s">
        <v>32</v>
      </c>
      <c r="K916" s="49" t="s">
        <v>76</v>
      </c>
      <c r="L916" s="49" t="s">
        <v>77</v>
      </c>
      <c r="M916" s="49" t="s">
        <v>78</v>
      </c>
      <c r="N916" s="49" t="s">
        <v>89</v>
      </c>
      <c r="O916" s="49" t="s">
        <v>37</v>
      </c>
      <c r="P916" s="11" t="s">
        <v>80</v>
      </c>
      <c r="Q916" s="47" t="s">
        <v>90</v>
      </c>
      <c r="R916" s="11" t="s">
        <v>2955</v>
      </c>
      <c r="S916" s="11" t="s">
        <v>2956</v>
      </c>
      <c r="T916" s="90" t="s">
        <v>10</v>
      </c>
      <c r="U916" s="90"/>
      <c r="V916" s="51">
        <v>46013</v>
      </c>
      <c r="W916" s="49" t="s">
        <v>1610</v>
      </c>
    </row>
    <row r="917" spans="1:23" ht="13" customHeight="1" x14ac:dyDescent="0.35">
      <c r="A917" s="11">
        <v>912</v>
      </c>
      <c r="B917" s="47">
        <v>203512669</v>
      </c>
      <c r="C917" s="94" t="s">
        <v>965</v>
      </c>
      <c r="D917" s="11" t="s">
        <v>966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32</v>
      </c>
      <c r="K917" s="49" t="s">
        <v>76</v>
      </c>
      <c r="L917" s="49" t="s">
        <v>84</v>
      </c>
      <c r="M917" s="49" t="s">
        <v>85</v>
      </c>
      <c r="N917" s="48" t="s">
        <v>79</v>
      </c>
      <c r="O917" s="49" t="s">
        <v>37</v>
      </c>
      <c r="P917" s="11" t="s">
        <v>80</v>
      </c>
      <c r="Q917" s="11" t="s">
        <v>81</v>
      </c>
      <c r="R917" s="11" t="s">
        <v>1087</v>
      </c>
      <c r="S917" s="11" t="s">
        <v>2823</v>
      </c>
      <c r="T917" s="90" t="s">
        <v>1</v>
      </c>
      <c r="U917" s="89"/>
      <c r="V917" s="51">
        <v>45463</v>
      </c>
      <c r="W917" s="49" t="s">
        <v>1612</v>
      </c>
    </row>
    <row r="918" spans="1:23" ht="13" customHeight="1" x14ac:dyDescent="0.35">
      <c r="A918" s="11">
        <v>913</v>
      </c>
      <c r="B918" s="47">
        <v>204319796</v>
      </c>
      <c r="C918" s="94" t="s">
        <v>967</v>
      </c>
      <c r="D918" s="11" t="s">
        <v>968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85</v>
      </c>
      <c r="M918" s="49" t="s">
        <v>88</v>
      </c>
      <c r="N918" s="48" t="s">
        <v>86</v>
      </c>
      <c r="O918" s="49" t="s">
        <v>37</v>
      </c>
      <c r="P918" s="11" t="s">
        <v>80</v>
      </c>
      <c r="Q918" s="11" t="s">
        <v>87</v>
      </c>
      <c r="R918" s="11" t="s">
        <v>1087</v>
      </c>
      <c r="S918" s="11" t="s">
        <v>2823</v>
      </c>
      <c r="T918" s="90" t="s">
        <v>1</v>
      </c>
      <c r="U918" s="90"/>
      <c r="V918" s="51">
        <v>45589</v>
      </c>
      <c r="W918" s="49" t="s">
        <v>1612</v>
      </c>
    </row>
    <row r="919" spans="1:23" ht="13" customHeight="1" x14ac:dyDescent="0.35">
      <c r="A919" s="11">
        <v>914</v>
      </c>
      <c r="B919" s="97">
        <v>204011576</v>
      </c>
      <c r="C919" s="47" t="s">
        <v>2900</v>
      </c>
      <c r="D919" s="94" t="s">
        <v>2901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39</v>
      </c>
      <c r="K919" s="49" t="s">
        <v>76</v>
      </c>
      <c r="L919" s="49" t="s">
        <v>84</v>
      </c>
      <c r="M919" s="49" t="s">
        <v>85</v>
      </c>
      <c r="N919" s="48" t="s">
        <v>2848</v>
      </c>
      <c r="O919" s="49" t="s">
        <v>37</v>
      </c>
      <c r="P919" s="11" t="s">
        <v>80</v>
      </c>
      <c r="Q919" s="11" t="s">
        <v>90</v>
      </c>
      <c r="R919" s="11" t="s">
        <v>1087</v>
      </c>
      <c r="S919" s="11" t="s">
        <v>2855</v>
      </c>
      <c r="T919" s="90" t="s">
        <v>1</v>
      </c>
      <c r="U919" s="90"/>
      <c r="V919" s="51">
        <v>45789</v>
      </c>
      <c r="W919" s="49" t="s">
        <v>1610</v>
      </c>
    </row>
    <row r="920" spans="1:23" ht="13" customHeight="1" x14ac:dyDescent="0.35">
      <c r="A920" s="11">
        <v>915</v>
      </c>
      <c r="B920" s="97">
        <v>204882473</v>
      </c>
      <c r="C920" s="47" t="s">
        <v>2902</v>
      </c>
      <c r="D920" s="94" t="s">
        <v>2903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32</v>
      </c>
      <c r="K920" s="49" t="s">
        <v>76</v>
      </c>
      <c r="L920" s="49" t="s">
        <v>85</v>
      </c>
      <c r="M920" s="49" t="s">
        <v>88</v>
      </c>
      <c r="N920" s="48" t="s">
        <v>86</v>
      </c>
      <c r="O920" s="49" t="s">
        <v>37</v>
      </c>
      <c r="P920" s="11" t="s">
        <v>80</v>
      </c>
      <c r="Q920" s="11" t="s">
        <v>90</v>
      </c>
      <c r="R920" s="11" t="s">
        <v>648</v>
      </c>
      <c r="S920" s="11" t="s">
        <v>2845</v>
      </c>
      <c r="T920" s="90" t="s">
        <v>1</v>
      </c>
      <c r="U920" s="89"/>
      <c r="V920" s="51">
        <v>45789</v>
      </c>
      <c r="W920" s="49" t="s">
        <v>1610</v>
      </c>
    </row>
    <row r="921" spans="1:23" ht="13" customHeight="1" x14ac:dyDescent="0.35">
      <c r="A921" s="11">
        <v>916</v>
      </c>
      <c r="B921" s="47">
        <v>106268190</v>
      </c>
      <c r="C921" s="94" t="s">
        <v>969</v>
      </c>
      <c r="D921" s="11" t="s">
        <v>970</v>
      </c>
      <c r="E921" s="48" t="s">
        <v>34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78</v>
      </c>
      <c r="M921" s="49" t="s">
        <v>92</v>
      </c>
      <c r="N921" s="48" t="s">
        <v>108</v>
      </c>
      <c r="O921" s="49" t="s">
        <v>37</v>
      </c>
      <c r="P921" s="11" t="s">
        <v>80</v>
      </c>
      <c r="Q921" s="11" t="s">
        <v>98</v>
      </c>
      <c r="R921" s="49" t="s">
        <v>628</v>
      </c>
      <c r="S921" s="11" t="s">
        <v>629</v>
      </c>
      <c r="T921" s="90" t="s">
        <v>1</v>
      </c>
      <c r="U921" s="91"/>
      <c r="V921" s="51">
        <v>44757</v>
      </c>
      <c r="W921" s="49" t="s">
        <v>1612</v>
      </c>
    </row>
    <row r="922" spans="1:23" ht="13" customHeight="1" x14ac:dyDescent="0.35">
      <c r="A922" s="11">
        <v>917</v>
      </c>
      <c r="B922" s="47">
        <v>203908351</v>
      </c>
      <c r="C922" s="94" t="s">
        <v>971</v>
      </c>
      <c r="D922" s="11" t="s">
        <v>972</v>
      </c>
      <c r="E922" s="48" t="s">
        <v>31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32</v>
      </c>
      <c r="K922" s="49" t="s">
        <v>76</v>
      </c>
      <c r="L922" s="49" t="s">
        <v>95</v>
      </c>
      <c r="M922" s="49" t="s">
        <v>77</v>
      </c>
      <c r="N922" s="48" t="s">
        <v>79</v>
      </c>
      <c r="O922" s="49" t="s">
        <v>37</v>
      </c>
      <c r="P922" s="11" t="s">
        <v>80</v>
      </c>
      <c r="Q922" s="11" t="s">
        <v>81</v>
      </c>
      <c r="R922" s="49" t="s">
        <v>2825</v>
      </c>
      <c r="S922" s="11" t="s">
        <v>643</v>
      </c>
      <c r="T922" s="90" t="s">
        <v>10</v>
      </c>
      <c r="U922" s="90"/>
      <c r="V922" s="51">
        <v>45537</v>
      </c>
      <c r="W922" s="49" t="s">
        <v>1610</v>
      </c>
    </row>
    <row r="923" spans="1:23" ht="13" customHeight="1" x14ac:dyDescent="0.35">
      <c r="A923" s="11">
        <v>918</v>
      </c>
      <c r="B923" s="97">
        <v>205236898</v>
      </c>
      <c r="C923" s="47" t="s">
        <v>2904</v>
      </c>
      <c r="D923" s="94" t="s">
        <v>2905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32</v>
      </c>
      <c r="K923" s="49" t="s">
        <v>76</v>
      </c>
      <c r="L923" s="49" t="s">
        <v>95</v>
      </c>
      <c r="M923" s="49" t="s">
        <v>77</v>
      </c>
      <c r="N923" s="48" t="s">
        <v>86</v>
      </c>
      <c r="O923" s="49" t="s">
        <v>37</v>
      </c>
      <c r="P923" s="11" t="s">
        <v>80</v>
      </c>
      <c r="Q923" s="11" t="s">
        <v>90</v>
      </c>
      <c r="R923" s="11" t="s">
        <v>1087</v>
      </c>
      <c r="S923" s="11" t="s">
        <v>2855</v>
      </c>
      <c r="T923" s="90" t="s">
        <v>10</v>
      </c>
      <c r="U923" s="90"/>
      <c r="V923" s="51">
        <v>45789</v>
      </c>
      <c r="W923" s="49" t="s">
        <v>1610</v>
      </c>
    </row>
    <row r="924" spans="1:23" ht="13" customHeight="1" x14ac:dyDescent="0.35">
      <c r="A924" s="11">
        <v>919</v>
      </c>
      <c r="B924" s="47">
        <v>203850878</v>
      </c>
      <c r="C924" s="94" t="s">
        <v>973</v>
      </c>
      <c r="D924" s="11" t="s">
        <v>974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39</v>
      </c>
      <c r="K924" s="49" t="s">
        <v>76</v>
      </c>
      <c r="L924" s="49" t="s">
        <v>88</v>
      </c>
      <c r="M924" s="49" t="s">
        <v>95</v>
      </c>
      <c r="N924" s="48" t="s">
        <v>86</v>
      </c>
      <c r="O924" s="49" t="s">
        <v>37</v>
      </c>
      <c r="P924" s="11" t="s">
        <v>80</v>
      </c>
      <c r="Q924" s="11" t="s">
        <v>90</v>
      </c>
      <c r="R924" s="49" t="s">
        <v>648</v>
      </c>
      <c r="S924" s="11" t="s">
        <v>1842</v>
      </c>
      <c r="T924" s="90" t="s">
        <v>1</v>
      </c>
      <c r="U924" s="91"/>
      <c r="V924" s="51">
        <v>45524</v>
      </c>
      <c r="W924" s="49" t="s">
        <v>1610</v>
      </c>
    </row>
    <row r="925" spans="1:23" ht="13" customHeight="1" x14ac:dyDescent="0.35">
      <c r="A925" s="11">
        <v>920</v>
      </c>
      <c r="B925" s="47">
        <v>203850881</v>
      </c>
      <c r="C925" s="94" t="s">
        <v>975</v>
      </c>
      <c r="D925" s="11" t="s">
        <v>976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95</v>
      </c>
      <c r="M925" s="49" t="s">
        <v>77</v>
      </c>
      <c r="N925" s="49" t="s">
        <v>89</v>
      </c>
      <c r="O925" s="49" t="s">
        <v>37</v>
      </c>
      <c r="P925" s="11" t="s">
        <v>80</v>
      </c>
      <c r="Q925" s="11" t="s">
        <v>90</v>
      </c>
      <c r="R925" s="49" t="s">
        <v>648</v>
      </c>
      <c r="S925" s="11" t="s">
        <v>1842</v>
      </c>
      <c r="T925" s="90" t="s">
        <v>10</v>
      </c>
      <c r="U925" s="91"/>
      <c r="V925" s="51">
        <v>45524</v>
      </c>
      <c r="W925" s="49" t="s">
        <v>1610</v>
      </c>
    </row>
    <row r="926" spans="1:23" ht="13" customHeight="1" x14ac:dyDescent="0.35">
      <c r="A926" s="11">
        <v>921</v>
      </c>
      <c r="B926" s="47">
        <v>206128869</v>
      </c>
      <c r="C926" s="94" t="s">
        <v>977</v>
      </c>
      <c r="D926" s="11" t="s">
        <v>978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39</v>
      </c>
      <c r="K926" s="49" t="s">
        <v>76</v>
      </c>
      <c r="L926" s="49" t="s">
        <v>85</v>
      </c>
      <c r="M926" s="49" t="s">
        <v>88</v>
      </c>
      <c r="N926" s="49" t="s">
        <v>89</v>
      </c>
      <c r="O926" s="49" t="s">
        <v>37</v>
      </c>
      <c r="P926" s="11" t="s">
        <v>80</v>
      </c>
      <c r="Q926" s="11" t="s">
        <v>81</v>
      </c>
      <c r="R926" s="49" t="s">
        <v>2825</v>
      </c>
      <c r="S926" s="11" t="s">
        <v>643</v>
      </c>
      <c r="T926" s="90" t="s">
        <v>1</v>
      </c>
      <c r="U926" s="91"/>
      <c r="V926" s="51">
        <v>45929</v>
      </c>
      <c r="W926" s="49" t="s">
        <v>1610</v>
      </c>
    </row>
    <row r="927" spans="1:23" ht="13" customHeight="1" x14ac:dyDescent="0.35">
      <c r="A927" s="11">
        <v>922</v>
      </c>
      <c r="B927" s="47">
        <v>203331877</v>
      </c>
      <c r="C927" s="94" t="s">
        <v>979</v>
      </c>
      <c r="D927" s="11" t="s">
        <v>980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39</v>
      </c>
      <c r="K927" s="49" t="s">
        <v>76</v>
      </c>
      <c r="L927" s="49" t="s">
        <v>78</v>
      </c>
      <c r="M927" s="49" t="s">
        <v>92</v>
      </c>
      <c r="N927" s="48" t="s">
        <v>79</v>
      </c>
      <c r="O927" s="49" t="s">
        <v>37</v>
      </c>
      <c r="P927" s="11" t="s">
        <v>80</v>
      </c>
      <c r="Q927" s="11" t="s">
        <v>81</v>
      </c>
      <c r="R927" s="11" t="s">
        <v>632</v>
      </c>
      <c r="S927" s="11" t="s">
        <v>633</v>
      </c>
      <c r="T927" s="90" t="s">
        <v>1</v>
      </c>
      <c r="U927" s="91"/>
      <c r="V927" s="51">
        <v>45537</v>
      </c>
      <c r="W927" s="49" t="s">
        <v>1611</v>
      </c>
    </row>
    <row r="928" spans="1:23" ht="13" customHeight="1" x14ac:dyDescent="0.35">
      <c r="A928" s="11">
        <v>923</v>
      </c>
      <c r="B928" s="47">
        <v>206607038</v>
      </c>
      <c r="C928" s="94" t="s">
        <v>2181</v>
      </c>
      <c r="D928" s="11" t="s">
        <v>2182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88" t="s">
        <v>39</v>
      </c>
      <c r="K928" s="49" t="s">
        <v>76</v>
      </c>
      <c r="L928" s="49" t="s">
        <v>84</v>
      </c>
      <c r="M928" s="49" t="s">
        <v>85</v>
      </c>
      <c r="N928" s="49" t="s">
        <v>89</v>
      </c>
      <c r="O928" s="49" t="s">
        <v>37</v>
      </c>
      <c r="P928" s="11" t="s">
        <v>80</v>
      </c>
      <c r="Q928" s="11" t="s">
        <v>96</v>
      </c>
      <c r="R928" s="49" t="s">
        <v>628</v>
      </c>
      <c r="S928" s="11" t="s">
        <v>629</v>
      </c>
      <c r="T928" s="90" t="s">
        <v>1</v>
      </c>
      <c r="U928" s="91"/>
      <c r="V928" s="51">
        <v>46048</v>
      </c>
      <c r="W928" s="49" t="s">
        <v>1610</v>
      </c>
    </row>
    <row r="929" spans="1:23" ht="13" customHeight="1" x14ac:dyDescent="0.35">
      <c r="A929" s="11">
        <v>924</v>
      </c>
      <c r="B929" s="47">
        <v>205257125</v>
      </c>
      <c r="C929" s="94" t="s">
        <v>2165</v>
      </c>
      <c r="D929" s="11" t="s">
        <v>2166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88" t="s">
        <v>39</v>
      </c>
      <c r="K929" s="49" t="s">
        <v>76</v>
      </c>
      <c r="L929" s="49" t="s">
        <v>78</v>
      </c>
      <c r="M929" s="49" t="s">
        <v>92</v>
      </c>
      <c r="N929" s="49" t="s">
        <v>89</v>
      </c>
      <c r="O929" s="49" t="s">
        <v>37</v>
      </c>
      <c r="P929" s="11" t="s">
        <v>80</v>
      </c>
      <c r="Q929" s="11" t="s">
        <v>96</v>
      </c>
      <c r="R929" s="11" t="s">
        <v>632</v>
      </c>
      <c r="S929" s="11" t="s">
        <v>633</v>
      </c>
      <c r="T929" s="90" t="s">
        <v>1</v>
      </c>
      <c r="U929" s="89"/>
      <c r="V929" s="51">
        <v>46048</v>
      </c>
      <c r="W929" s="49" t="s">
        <v>1610</v>
      </c>
    </row>
    <row r="930" spans="1:23" ht="13" customHeight="1" x14ac:dyDescent="0.35">
      <c r="A930" s="11">
        <v>925</v>
      </c>
      <c r="B930" s="47">
        <v>204228019</v>
      </c>
      <c r="C930" s="94" t="s">
        <v>981</v>
      </c>
      <c r="D930" s="11" t="s">
        <v>982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39</v>
      </c>
      <c r="K930" s="49" t="s">
        <v>76</v>
      </c>
      <c r="L930" s="49" t="s">
        <v>88</v>
      </c>
      <c r="M930" s="49" t="s">
        <v>95</v>
      </c>
      <c r="N930" s="48" t="s">
        <v>86</v>
      </c>
      <c r="O930" s="49" t="s">
        <v>37</v>
      </c>
      <c r="P930" s="11" t="s">
        <v>80</v>
      </c>
      <c r="Q930" s="11" t="s">
        <v>90</v>
      </c>
      <c r="R930" s="49" t="s">
        <v>648</v>
      </c>
      <c r="S930" s="11" t="s">
        <v>1842</v>
      </c>
      <c r="T930" s="90" t="s">
        <v>1</v>
      </c>
      <c r="U930" s="91"/>
      <c r="V930" s="51">
        <v>45684</v>
      </c>
      <c r="W930" s="49" t="s">
        <v>1610</v>
      </c>
    </row>
    <row r="931" spans="1:23" ht="13" customHeight="1" x14ac:dyDescent="0.35">
      <c r="A931" s="11">
        <v>926</v>
      </c>
      <c r="B931" s="47">
        <v>204117681</v>
      </c>
      <c r="C931" s="94" t="s">
        <v>983</v>
      </c>
      <c r="D931" s="11" t="s">
        <v>984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39</v>
      </c>
      <c r="K931" s="49" t="s">
        <v>76</v>
      </c>
      <c r="L931" s="49" t="s">
        <v>77</v>
      </c>
      <c r="M931" s="49" t="s">
        <v>78</v>
      </c>
      <c r="N931" s="48" t="s">
        <v>86</v>
      </c>
      <c r="O931" s="49" t="s">
        <v>37</v>
      </c>
      <c r="P931" s="11" t="s">
        <v>80</v>
      </c>
      <c r="Q931" s="11" t="s">
        <v>87</v>
      </c>
      <c r="R931" s="49" t="s">
        <v>628</v>
      </c>
      <c r="S931" s="11" t="s">
        <v>629</v>
      </c>
      <c r="T931" s="90" t="s">
        <v>10</v>
      </c>
      <c r="U931" s="89"/>
      <c r="V931" s="51">
        <v>45561</v>
      </c>
      <c r="W931" s="49" t="s">
        <v>1610</v>
      </c>
    </row>
    <row r="932" spans="1:23" ht="13" customHeight="1" x14ac:dyDescent="0.35">
      <c r="A932" s="11">
        <v>927</v>
      </c>
      <c r="B932" s="47">
        <v>205257122</v>
      </c>
      <c r="C932" s="95" t="s">
        <v>2149</v>
      </c>
      <c r="D932" s="11" t="s">
        <v>2150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32</v>
      </c>
      <c r="K932" s="49" t="s">
        <v>76</v>
      </c>
      <c r="L932" s="49" t="s">
        <v>77</v>
      </c>
      <c r="M932" s="49" t="s">
        <v>78</v>
      </c>
      <c r="N932" s="49" t="s">
        <v>89</v>
      </c>
      <c r="O932" s="49" t="s">
        <v>37</v>
      </c>
      <c r="P932" s="11" t="s">
        <v>80</v>
      </c>
      <c r="Q932" s="11" t="s">
        <v>96</v>
      </c>
      <c r="R932" s="11" t="s">
        <v>2954</v>
      </c>
      <c r="S932" s="11" t="s">
        <v>2822</v>
      </c>
      <c r="T932" s="90" t="s">
        <v>10</v>
      </c>
      <c r="U932" s="91"/>
      <c r="V932" s="51">
        <v>46048</v>
      </c>
      <c r="W932" s="49" t="s">
        <v>1610</v>
      </c>
    </row>
    <row r="933" spans="1:23" ht="13" customHeight="1" x14ac:dyDescent="0.35">
      <c r="A933" s="11">
        <v>928</v>
      </c>
      <c r="B933" s="97">
        <v>203850880</v>
      </c>
      <c r="C933" s="47" t="s">
        <v>2906</v>
      </c>
      <c r="D933" s="94" t="s">
        <v>2907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32</v>
      </c>
      <c r="K933" s="49" t="s">
        <v>76</v>
      </c>
      <c r="L933" s="49" t="s">
        <v>92</v>
      </c>
      <c r="M933" s="49" t="s">
        <v>84</v>
      </c>
      <c r="N933" s="48" t="s">
        <v>86</v>
      </c>
      <c r="O933" s="49" t="s">
        <v>37</v>
      </c>
      <c r="P933" s="11" t="s">
        <v>80</v>
      </c>
      <c r="Q933" s="11" t="s">
        <v>90</v>
      </c>
      <c r="R933" s="11" t="s">
        <v>1087</v>
      </c>
      <c r="S933" s="11" t="s">
        <v>2855</v>
      </c>
      <c r="T933" s="90" t="s">
        <v>1</v>
      </c>
      <c r="U933" s="91"/>
      <c r="V933" s="51">
        <v>45524</v>
      </c>
      <c r="W933" s="49" t="s">
        <v>1610</v>
      </c>
    </row>
    <row r="934" spans="1:23" ht="13" customHeight="1" x14ac:dyDescent="0.35">
      <c r="A934" s="11">
        <v>929</v>
      </c>
      <c r="B934" s="97">
        <v>204072308</v>
      </c>
      <c r="C934" s="47" t="s">
        <v>2908</v>
      </c>
      <c r="D934" s="94" t="s">
        <v>2909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39</v>
      </c>
      <c r="K934" s="49" t="s">
        <v>76</v>
      </c>
      <c r="L934" s="49" t="s">
        <v>95</v>
      </c>
      <c r="M934" s="49" t="s">
        <v>77</v>
      </c>
      <c r="N934" s="48" t="s">
        <v>86</v>
      </c>
      <c r="O934" s="49" t="s">
        <v>37</v>
      </c>
      <c r="P934" s="11" t="s">
        <v>80</v>
      </c>
      <c r="Q934" s="11" t="s">
        <v>90</v>
      </c>
      <c r="R934" s="11" t="s">
        <v>2955</v>
      </c>
      <c r="S934" s="11" t="s">
        <v>2956</v>
      </c>
      <c r="T934" s="90" t="s">
        <v>10</v>
      </c>
      <c r="U934" s="89"/>
      <c r="V934" s="51">
        <v>45558</v>
      </c>
      <c r="W934" s="49" t="s">
        <v>1610</v>
      </c>
    </row>
    <row r="935" spans="1:23" ht="13" customHeight="1" x14ac:dyDescent="0.35">
      <c r="A935" s="11">
        <v>930</v>
      </c>
      <c r="B935" s="47">
        <v>204095806</v>
      </c>
      <c r="C935" s="94" t="s">
        <v>985</v>
      </c>
      <c r="D935" s="11" t="s">
        <v>986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39</v>
      </c>
      <c r="K935" s="49" t="s">
        <v>76</v>
      </c>
      <c r="L935" s="49" t="s">
        <v>95</v>
      </c>
      <c r="M935" s="49" t="s">
        <v>77</v>
      </c>
      <c r="N935" s="48" t="s">
        <v>86</v>
      </c>
      <c r="O935" s="49" t="s">
        <v>37</v>
      </c>
      <c r="P935" s="11" t="s">
        <v>80</v>
      </c>
      <c r="Q935" s="11" t="s">
        <v>87</v>
      </c>
      <c r="R935" s="49" t="s">
        <v>648</v>
      </c>
      <c r="S935" s="11" t="s">
        <v>1842</v>
      </c>
      <c r="T935" s="90" t="s">
        <v>10</v>
      </c>
      <c r="U935" s="90"/>
      <c r="V935" s="51">
        <v>45561</v>
      </c>
      <c r="W935" s="49" t="s">
        <v>1610</v>
      </c>
    </row>
    <row r="936" spans="1:23" ht="13" customHeight="1" x14ac:dyDescent="0.35">
      <c r="A936" s="11">
        <v>931</v>
      </c>
      <c r="B936" s="47">
        <v>206137340</v>
      </c>
      <c r="C936" s="94" t="s">
        <v>987</v>
      </c>
      <c r="D936" s="11" t="s">
        <v>988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39</v>
      </c>
      <c r="K936" s="49" t="s">
        <v>76</v>
      </c>
      <c r="L936" s="49" t="s">
        <v>92</v>
      </c>
      <c r="M936" s="49" t="s">
        <v>84</v>
      </c>
      <c r="N936" s="48" t="s">
        <v>79</v>
      </c>
      <c r="O936" s="49" t="s">
        <v>37</v>
      </c>
      <c r="P936" s="11" t="s">
        <v>80</v>
      </c>
      <c r="Q936" s="11" t="s">
        <v>81</v>
      </c>
      <c r="R936" s="49" t="s">
        <v>628</v>
      </c>
      <c r="S936" s="11" t="s">
        <v>629</v>
      </c>
      <c r="T936" s="90" t="s">
        <v>1</v>
      </c>
      <c r="U936" s="89"/>
      <c r="V936" s="51">
        <v>45929</v>
      </c>
      <c r="W936" s="49" t="s">
        <v>1610</v>
      </c>
    </row>
    <row r="937" spans="1:23" ht="13" customHeight="1" x14ac:dyDescent="0.35">
      <c r="A937" s="11">
        <v>932</v>
      </c>
      <c r="B937" s="47">
        <v>204010440</v>
      </c>
      <c r="C937" s="94" t="s">
        <v>989</v>
      </c>
      <c r="D937" s="11" t="s">
        <v>990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95</v>
      </c>
      <c r="M937" s="49" t="s">
        <v>77</v>
      </c>
      <c r="N937" s="49" t="s">
        <v>89</v>
      </c>
      <c r="O937" s="49" t="s">
        <v>37</v>
      </c>
      <c r="P937" s="11" t="s">
        <v>80</v>
      </c>
      <c r="Q937" s="11" t="s">
        <v>90</v>
      </c>
      <c r="R937" s="49" t="s">
        <v>648</v>
      </c>
      <c r="S937" s="11" t="s">
        <v>1842</v>
      </c>
      <c r="T937" s="90" t="s">
        <v>10</v>
      </c>
      <c r="U937" s="90"/>
      <c r="V937" s="51">
        <v>45894</v>
      </c>
      <c r="W937" s="49" t="s">
        <v>1610</v>
      </c>
    </row>
    <row r="938" spans="1:23" ht="13" customHeight="1" x14ac:dyDescent="0.35">
      <c r="A938" s="11">
        <v>933</v>
      </c>
      <c r="B938" s="47">
        <v>206846698</v>
      </c>
      <c r="C938" s="94" t="s">
        <v>1869</v>
      </c>
      <c r="D938" s="47" t="s">
        <v>1870</v>
      </c>
      <c r="E938" s="47" t="s">
        <v>31</v>
      </c>
      <c r="F938" s="48" t="s">
        <v>74</v>
      </c>
      <c r="G938" s="11" t="s">
        <v>64</v>
      </c>
      <c r="H938" s="11" t="s">
        <v>75</v>
      </c>
      <c r="I938" s="47">
        <v>1299</v>
      </c>
      <c r="J938" s="49" t="s">
        <v>39</v>
      </c>
      <c r="K938" s="49" t="s">
        <v>76</v>
      </c>
      <c r="L938" s="49" t="s">
        <v>88</v>
      </c>
      <c r="M938" s="49" t="s">
        <v>95</v>
      </c>
      <c r="N938" s="49" t="s">
        <v>89</v>
      </c>
      <c r="O938" s="49" t="s">
        <v>37</v>
      </c>
      <c r="P938" s="11" t="s">
        <v>80</v>
      </c>
      <c r="Q938" s="47" t="s">
        <v>90</v>
      </c>
      <c r="R938" s="49" t="s">
        <v>2825</v>
      </c>
      <c r="S938" s="47" t="s">
        <v>643</v>
      </c>
      <c r="T938" s="90" t="s">
        <v>1</v>
      </c>
      <c r="U938" s="91"/>
      <c r="V938" s="51">
        <v>46013</v>
      </c>
      <c r="W938" s="49" t="s">
        <v>1610</v>
      </c>
    </row>
    <row r="939" spans="1:23" ht="13" customHeight="1" x14ac:dyDescent="0.35">
      <c r="A939" s="11">
        <v>934</v>
      </c>
      <c r="B939" s="47">
        <v>202436104</v>
      </c>
      <c r="C939" s="94" t="s">
        <v>991</v>
      </c>
      <c r="D939" s="11" t="s">
        <v>992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39</v>
      </c>
      <c r="K939" s="49" t="s">
        <v>76</v>
      </c>
      <c r="L939" s="49" t="s">
        <v>92</v>
      </c>
      <c r="M939" s="49" t="s">
        <v>84</v>
      </c>
      <c r="N939" s="48" t="s">
        <v>86</v>
      </c>
      <c r="O939" s="49" t="s">
        <v>37</v>
      </c>
      <c r="P939" s="11" t="s">
        <v>80</v>
      </c>
      <c r="Q939" s="11" t="s">
        <v>87</v>
      </c>
      <c r="R939" s="49" t="s">
        <v>628</v>
      </c>
      <c r="S939" s="11" t="s">
        <v>629</v>
      </c>
      <c r="T939" s="90" t="s">
        <v>1</v>
      </c>
      <c r="U939" s="91"/>
      <c r="V939" s="51">
        <v>45586</v>
      </c>
      <c r="W939" s="49" t="s">
        <v>1611</v>
      </c>
    </row>
    <row r="940" spans="1:23" ht="13" customHeight="1" x14ac:dyDescent="0.35">
      <c r="A940" s="11">
        <v>935</v>
      </c>
      <c r="B940" s="47">
        <v>203965179</v>
      </c>
      <c r="C940" s="94" t="s">
        <v>993</v>
      </c>
      <c r="D940" s="11" t="s">
        <v>994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39</v>
      </c>
      <c r="K940" s="49" t="s">
        <v>76</v>
      </c>
      <c r="L940" s="49" t="s">
        <v>95</v>
      </c>
      <c r="M940" s="49" t="s">
        <v>77</v>
      </c>
      <c r="N940" s="48" t="s">
        <v>79</v>
      </c>
      <c r="O940" s="49" t="s">
        <v>37</v>
      </c>
      <c r="P940" s="11" t="s">
        <v>80</v>
      </c>
      <c r="Q940" s="11" t="s">
        <v>96</v>
      </c>
      <c r="R940" s="49" t="s">
        <v>648</v>
      </c>
      <c r="S940" s="11" t="s">
        <v>1842</v>
      </c>
      <c r="T940" s="90" t="s">
        <v>10</v>
      </c>
      <c r="U940" s="89"/>
      <c r="V940" s="51">
        <v>45544</v>
      </c>
      <c r="W940" s="49" t="s">
        <v>1610</v>
      </c>
    </row>
    <row r="941" spans="1:23" ht="13" customHeight="1" x14ac:dyDescent="0.35">
      <c r="A941" s="11">
        <v>936</v>
      </c>
      <c r="B941" s="11">
        <v>206200811</v>
      </c>
      <c r="C941" s="94" t="s">
        <v>2950</v>
      </c>
      <c r="D941" s="11" t="s">
        <v>2951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39</v>
      </c>
      <c r="K941" s="49" t="s">
        <v>76</v>
      </c>
      <c r="L941" s="49" t="s">
        <v>77</v>
      </c>
      <c r="M941" s="49" t="s">
        <v>78</v>
      </c>
      <c r="N941" s="11" t="s">
        <v>89</v>
      </c>
      <c r="O941" s="11" t="s">
        <v>37</v>
      </c>
      <c r="P941" s="11" t="s">
        <v>80</v>
      </c>
      <c r="Q941" s="11" t="s">
        <v>81</v>
      </c>
      <c r="R941" s="11" t="s">
        <v>2825</v>
      </c>
      <c r="S941" s="11" t="s">
        <v>643</v>
      </c>
      <c r="T941" s="90" t="s">
        <v>10</v>
      </c>
      <c r="U941" s="90"/>
      <c r="V941" s="51">
        <v>46226</v>
      </c>
      <c r="W941" s="11" t="s">
        <v>1610</v>
      </c>
    </row>
    <row r="942" spans="1:23" ht="13" customHeight="1" x14ac:dyDescent="0.35">
      <c r="A942" s="11">
        <v>937</v>
      </c>
      <c r="B942" s="47">
        <v>204890369</v>
      </c>
      <c r="C942" s="94" t="s">
        <v>995</v>
      </c>
      <c r="D942" s="11" t="s">
        <v>996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1290</v>
      </c>
      <c r="J942" s="49" t="s">
        <v>39</v>
      </c>
      <c r="K942" s="49" t="s">
        <v>76</v>
      </c>
      <c r="L942" s="49" t="s">
        <v>78</v>
      </c>
      <c r="M942" s="49" t="s">
        <v>92</v>
      </c>
      <c r="N942" s="48" t="s">
        <v>86</v>
      </c>
      <c r="O942" s="49" t="s">
        <v>37</v>
      </c>
      <c r="P942" s="11" t="s">
        <v>80</v>
      </c>
      <c r="Q942" s="11" t="s">
        <v>90</v>
      </c>
      <c r="R942" s="49" t="s">
        <v>648</v>
      </c>
      <c r="S942" s="11" t="s">
        <v>1842</v>
      </c>
      <c r="T942" s="90" t="s">
        <v>1</v>
      </c>
      <c r="U942" s="89"/>
      <c r="V942" s="51">
        <v>45691</v>
      </c>
      <c r="W942" s="49" t="s">
        <v>1610</v>
      </c>
    </row>
    <row r="943" spans="1:23" ht="13" customHeight="1" x14ac:dyDescent="0.35">
      <c r="A943" s="11">
        <v>938</v>
      </c>
      <c r="B943" s="47">
        <v>203522217</v>
      </c>
      <c r="C943" s="94" t="s">
        <v>997</v>
      </c>
      <c r="D943" s="11" t="s">
        <v>998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39</v>
      </c>
      <c r="K943" s="49" t="s">
        <v>76</v>
      </c>
      <c r="L943" s="49" t="s">
        <v>92</v>
      </c>
      <c r="M943" s="49" t="s">
        <v>84</v>
      </c>
      <c r="N943" s="48" t="s">
        <v>86</v>
      </c>
      <c r="O943" s="49" t="s">
        <v>37</v>
      </c>
      <c r="P943" s="11" t="s">
        <v>80</v>
      </c>
      <c r="Q943" s="11" t="s">
        <v>99</v>
      </c>
      <c r="R943" s="49" t="s">
        <v>628</v>
      </c>
      <c r="S943" s="11" t="s">
        <v>629</v>
      </c>
      <c r="T943" s="90" t="s">
        <v>7</v>
      </c>
      <c r="U943" s="90" t="s">
        <v>3004</v>
      </c>
      <c r="V943" s="51">
        <v>45463</v>
      </c>
      <c r="W943" s="49" t="s">
        <v>1612</v>
      </c>
    </row>
    <row r="944" spans="1:23" ht="13" customHeight="1" x14ac:dyDescent="0.35">
      <c r="A944" s="11">
        <v>939</v>
      </c>
      <c r="B944" s="47">
        <v>104033275</v>
      </c>
      <c r="C944" s="94" t="s">
        <v>999</v>
      </c>
      <c r="D944" s="11" t="s">
        <v>1000</v>
      </c>
      <c r="E944" s="48" t="s">
        <v>34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32</v>
      </c>
      <c r="K944" s="49" t="s">
        <v>76</v>
      </c>
      <c r="L944" s="49" t="s">
        <v>78</v>
      </c>
      <c r="M944" s="49" t="s">
        <v>92</v>
      </c>
      <c r="N944" s="48" t="s">
        <v>108</v>
      </c>
      <c r="O944" s="49" t="s">
        <v>37</v>
      </c>
      <c r="P944" s="11" t="s">
        <v>80</v>
      </c>
      <c r="Q944" s="11" t="s">
        <v>98</v>
      </c>
      <c r="R944" s="49" t="s">
        <v>648</v>
      </c>
      <c r="S944" s="11" t="s">
        <v>1842</v>
      </c>
      <c r="T944" s="90" t="s">
        <v>1</v>
      </c>
      <c r="U944" s="90"/>
      <c r="V944" s="51">
        <v>44067</v>
      </c>
      <c r="W944" s="49" t="s">
        <v>1612</v>
      </c>
    </row>
    <row r="945" spans="1:23" ht="13" customHeight="1" x14ac:dyDescent="0.35">
      <c r="A945" s="11">
        <v>940</v>
      </c>
      <c r="B945" s="47">
        <v>204864410</v>
      </c>
      <c r="C945" s="94" t="s">
        <v>2508</v>
      </c>
      <c r="D945" s="11" t="s">
        <v>2509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32</v>
      </c>
      <c r="K945" s="49" t="s">
        <v>76</v>
      </c>
      <c r="L945" s="49" t="s">
        <v>78</v>
      </c>
      <c r="M945" s="49" t="s">
        <v>92</v>
      </c>
      <c r="N945" s="48" t="s">
        <v>86</v>
      </c>
      <c r="O945" s="49" t="s">
        <v>37</v>
      </c>
      <c r="P945" s="11" t="s">
        <v>80</v>
      </c>
      <c r="Q945" s="11" t="s">
        <v>90</v>
      </c>
      <c r="R945" s="49" t="s">
        <v>648</v>
      </c>
      <c r="S945" s="11" t="s">
        <v>1842</v>
      </c>
      <c r="T945" s="90" t="s">
        <v>1</v>
      </c>
      <c r="U945" s="91"/>
      <c r="V945" s="51">
        <v>45685</v>
      </c>
      <c r="W945" s="49" t="s">
        <v>1610</v>
      </c>
    </row>
    <row r="946" spans="1:23" ht="13" customHeight="1" x14ac:dyDescent="0.35">
      <c r="A946" s="11">
        <v>941</v>
      </c>
      <c r="B946" s="97">
        <v>203908896</v>
      </c>
      <c r="C946" s="47" t="s">
        <v>2910</v>
      </c>
      <c r="D946" s="94" t="s">
        <v>2911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39</v>
      </c>
      <c r="K946" s="49" t="s">
        <v>76</v>
      </c>
      <c r="L946" s="49" t="s">
        <v>95</v>
      </c>
      <c r="M946" s="49" t="s">
        <v>77</v>
      </c>
      <c r="N946" s="48" t="s">
        <v>86</v>
      </c>
      <c r="O946" s="49" t="s">
        <v>37</v>
      </c>
      <c r="P946" s="11" t="s">
        <v>80</v>
      </c>
      <c r="Q946" s="11" t="s">
        <v>90</v>
      </c>
      <c r="R946" s="11" t="s">
        <v>1087</v>
      </c>
      <c r="S946" s="11" t="s">
        <v>2855</v>
      </c>
      <c r="T946" s="90" t="s">
        <v>10</v>
      </c>
      <c r="U946" s="108"/>
      <c r="V946" s="51">
        <v>45789</v>
      </c>
      <c r="W946" s="49" t="s">
        <v>1610</v>
      </c>
    </row>
    <row r="947" spans="1:23" ht="13" customHeight="1" x14ac:dyDescent="0.35">
      <c r="A947" s="11">
        <v>942</v>
      </c>
      <c r="B947" s="47">
        <v>103900839</v>
      </c>
      <c r="C947" s="94" t="s">
        <v>1001</v>
      </c>
      <c r="D947" s="11" t="s">
        <v>1002</v>
      </c>
      <c r="E947" s="48" t="s">
        <v>34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39</v>
      </c>
      <c r="K947" s="49" t="s">
        <v>76</v>
      </c>
      <c r="L947" s="49" t="s">
        <v>84</v>
      </c>
      <c r="M947" s="49" t="s">
        <v>85</v>
      </c>
      <c r="N947" s="48" t="s">
        <v>108</v>
      </c>
      <c r="O947" s="49" t="s">
        <v>37</v>
      </c>
      <c r="P947" s="11" t="s">
        <v>80</v>
      </c>
      <c r="Q947" s="11" t="s">
        <v>98</v>
      </c>
      <c r="R947" s="49" t="s">
        <v>2825</v>
      </c>
      <c r="S947" s="11" t="s">
        <v>643</v>
      </c>
      <c r="T947" s="90" t="s">
        <v>1</v>
      </c>
      <c r="U947" s="109"/>
      <c r="V947" s="51">
        <v>44831</v>
      </c>
      <c r="W947" s="49" t="s">
        <v>1610</v>
      </c>
    </row>
    <row r="948" spans="1:23" ht="13" customHeight="1" x14ac:dyDescent="0.35">
      <c r="A948" s="11">
        <v>943</v>
      </c>
      <c r="B948" s="47">
        <v>204882814</v>
      </c>
      <c r="C948" s="94" t="s">
        <v>2510</v>
      </c>
      <c r="D948" s="11" t="s">
        <v>2511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84</v>
      </c>
      <c r="M948" s="49" t="s">
        <v>85</v>
      </c>
      <c r="N948" s="48" t="s">
        <v>86</v>
      </c>
      <c r="O948" s="49" t="s">
        <v>37</v>
      </c>
      <c r="P948" s="11" t="s">
        <v>80</v>
      </c>
      <c r="Q948" s="11" t="s">
        <v>90</v>
      </c>
      <c r="R948" s="49" t="s">
        <v>628</v>
      </c>
      <c r="S948" s="11" t="s">
        <v>629</v>
      </c>
      <c r="T948" s="90" t="s">
        <v>1</v>
      </c>
      <c r="U948" s="91"/>
      <c r="V948" s="51">
        <v>45691</v>
      </c>
      <c r="W948" s="49" t="s">
        <v>1610</v>
      </c>
    </row>
    <row r="949" spans="1:23" ht="13" customHeight="1" x14ac:dyDescent="0.35">
      <c r="A949" s="11">
        <v>944</v>
      </c>
      <c r="B949" s="47">
        <v>203737012</v>
      </c>
      <c r="C949" s="94" t="s">
        <v>1003</v>
      </c>
      <c r="D949" s="11" t="s">
        <v>1004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32</v>
      </c>
      <c r="K949" s="49" t="s">
        <v>76</v>
      </c>
      <c r="L949" s="49" t="s">
        <v>84</v>
      </c>
      <c r="M949" s="49" t="s">
        <v>85</v>
      </c>
      <c r="N949" s="48" t="s">
        <v>79</v>
      </c>
      <c r="O949" s="49" t="s">
        <v>37</v>
      </c>
      <c r="P949" s="11" t="s">
        <v>80</v>
      </c>
      <c r="Q949" s="11" t="s">
        <v>81</v>
      </c>
      <c r="R949" s="49" t="s">
        <v>648</v>
      </c>
      <c r="S949" s="11" t="s">
        <v>1842</v>
      </c>
      <c r="T949" s="90" t="s">
        <v>1</v>
      </c>
      <c r="U949" s="89"/>
      <c r="V949" s="51">
        <v>45502</v>
      </c>
      <c r="W949" s="49" t="s">
        <v>1610</v>
      </c>
    </row>
    <row r="950" spans="1:23" ht="13" customHeight="1" x14ac:dyDescent="0.35">
      <c r="A950" s="11">
        <v>945</v>
      </c>
      <c r="B950" s="47">
        <v>106301305</v>
      </c>
      <c r="C950" s="94" t="s">
        <v>1005</v>
      </c>
      <c r="D950" s="11" t="s">
        <v>1006</v>
      </c>
      <c r="E950" s="48" t="s">
        <v>34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39</v>
      </c>
      <c r="K950" s="49" t="s">
        <v>76</v>
      </c>
      <c r="L950" s="49" t="s">
        <v>95</v>
      </c>
      <c r="M950" s="49" t="s">
        <v>77</v>
      </c>
      <c r="N950" s="48" t="s">
        <v>108</v>
      </c>
      <c r="O950" s="49" t="s">
        <v>37</v>
      </c>
      <c r="P950" s="11" t="s">
        <v>80</v>
      </c>
      <c r="Q950" s="11" t="s">
        <v>98</v>
      </c>
      <c r="R950" s="49" t="s">
        <v>648</v>
      </c>
      <c r="S950" s="11" t="s">
        <v>1842</v>
      </c>
      <c r="T950" s="90" t="s">
        <v>10</v>
      </c>
      <c r="U950" s="89"/>
      <c r="V950" s="51">
        <v>44839</v>
      </c>
      <c r="W950" s="49" t="s">
        <v>1610</v>
      </c>
    </row>
    <row r="951" spans="1:23" ht="13" customHeight="1" x14ac:dyDescent="0.35">
      <c r="A951" s="11">
        <v>946</v>
      </c>
      <c r="B951" s="47">
        <v>203993521</v>
      </c>
      <c r="C951" s="94" t="s">
        <v>2512</v>
      </c>
      <c r="D951" s="11" t="s">
        <v>2513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39</v>
      </c>
      <c r="K951" s="49" t="s">
        <v>76</v>
      </c>
      <c r="L951" s="49" t="s">
        <v>77</v>
      </c>
      <c r="M951" s="49" t="s">
        <v>78</v>
      </c>
      <c r="N951" s="48" t="s">
        <v>86</v>
      </c>
      <c r="O951" s="49" t="s">
        <v>37</v>
      </c>
      <c r="P951" s="11" t="s">
        <v>80</v>
      </c>
      <c r="Q951" s="11" t="s">
        <v>90</v>
      </c>
      <c r="R951" s="49" t="s">
        <v>628</v>
      </c>
      <c r="S951" s="11" t="s">
        <v>629</v>
      </c>
      <c r="T951" s="90" t="s">
        <v>10</v>
      </c>
      <c r="U951" s="91"/>
      <c r="V951" s="51">
        <v>45547</v>
      </c>
      <c r="W951" s="49" t="s">
        <v>1610</v>
      </c>
    </row>
    <row r="952" spans="1:23" ht="13" customHeight="1" x14ac:dyDescent="0.35">
      <c r="A952" s="11">
        <v>947</v>
      </c>
      <c r="B952" s="47">
        <v>206239216</v>
      </c>
      <c r="C952" s="94" t="s">
        <v>1692</v>
      </c>
      <c r="D952" s="11" t="s">
        <v>1658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32</v>
      </c>
      <c r="K952" s="49" t="s">
        <v>76</v>
      </c>
      <c r="L952" s="49" t="s">
        <v>88</v>
      </c>
      <c r="M952" s="49" t="s">
        <v>95</v>
      </c>
      <c r="N952" s="48" t="s">
        <v>79</v>
      </c>
      <c r="O952" s="49" t="s">
        <v>37</v>
      </c>
      <c r="P952" s="11" t="s">
        <v>80</v>
      </c>
      <c r="Q952" s="11" t="s">
        <v>81</v>
      </c>
      <c r="R952" s="49" t="s">
        <v>2825</v>
      </c>
      <c r="S952" s="11" t="s">
        <v>643</v>
      </c>
      <c r="T952" s="90" t="s">
        <v>1</v>
      </c>
      <c r="U952" s="91"/>
      <c r="V952" s="51">
        <v>45943</v>
      </c>
      <c r="W952" s="49" t="s">
        <v>1609</v>
      </c>
    </row>
    <row r="953" spans="1:23" ht="13" customHeight="1" x14ac:dyDescent="0.35">
      <c r="A953" s="11">
        <v>948</v>
      </c>
      <c r="B953" s="47">
        <v>206074988</v>
      </c>
      <c r="C953" s="94" t="s">
        <v>1007</v>
      </c>
      <c r="D953" s="11" t="s">
        <v>1008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77</v>
      </c>
      <c r="M953" s="49" t="s">
        <v>78</v>
      </c>
      <c r="N953" s="48" t="s">
        <v>79</v>
      </c>
      <c r="O953" s="49" t="s">
        <v>37</v>
      </c>
      <c r="P953" s="11" t="s">
        <v>80</v>
      </c>
      <c r="Q953" s="11" t="s">
        <v>81</v>
      </c>
      <c r="R953" s="11" t="s">
        <v>632</v>
      </c>
      <c r="S953" s="11" t="s">
        <v>633</v>
      </c>
      <c r="T953" s="90" t="s">
        <v>10</v>
      </c>
      <c r="U953" s="89"/>
      <c r="V953" s="51">
        <v>45922</v>
      </c>
      <c r="W953" s="49" t="s">
        <v>1610</v>
      </c>
    </row>
    <row r="954" spans="1:23" ht="13" customHeight="1" x14ac:dyDescent="0.35">
      <c r="A954" s="11">
        <v>949</v>
      </c>
      <c r="B954" s="47">
        <v>205275634</v>
      </c>
      <c r="C954" s="95" t="s">
        <v>2137</v>
      </c>
      <c r="D954" s="11" t="s">
        <v>2138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32</v>
      </c>
      <c r="K954" s="49" t="s">
        <v>76</v>
      </c>
      <c r="L954" s="49" t="s">
        <v>95</v>
      </c>
      <c r="M954" s="49" t="s">
        <v>77</v>
      </c>
      <c r="N954" s="49" t="s">
        <v>89</v>
      </c>
      <c r="O954" s="49" t="s">
        <v>37</v>
      </c>
      <c r="P954" s="11" t="s">
        <v>80</v>
      </c>
      <c r="Q954" s="11" t="s">
        <v>96</v>
      </c>
      <c r="R954" s="11" t="s">
        <v>2955</v>
      </c>
      <c r="S954" s="11" t="s">
        <v>2956</v>
      </c>
      <c r="T954" s="90" t="s">
        <v>10</v>
      </c>
      <c r="U954" s="90"/>
      <c r="V954" s="51">
        <v>46048</v>
      </c>
      <c r="W954" s="49" t="s">
        <v>1610</v>
      </c>
    </row>
    <row r="955" spans="1:23" ht="13" customHeight="1" x14ac:dyDescent="0.35">
      <c r="A955" s="11">
        <v>950</v>
      </c>
      <c r="B955" s="47">
        <v>203342033</v>
      </c>
      <c r="C955" s="94" t="s">
        <v>1009</v>
      </c>
      <c r="D955" s="11" t="s">
        <v>1010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32</v>
      </c>
      <c r="K955" s="49" t="s">
        <v>76</v>
      </c>
      <c r="L955" s="49" t="s">
        <v>78</v>
      </c>
      <c r="M955" s="49" t="s">
        <v>92</v>
      </c>
      <c r="N955" s="48" t="s">
        <v>86</v>
      </c>
      <c r="O955" s="49" t="s">
        <v>37</v>
      </c>
      <c r="P955" s="11" t="s">
        <v>80</v>
      </c>
      <c r="Q955" s="11" t="s">
        <v>99</v>
      </c>
      <c r="R955" s="49" t="s">
        <v>648</v>
      </c>
      <c r="S955" s="11" t="s">
        <v>1842</v>
      </c>
      <c r="T955" s="90" t="s">
        <v>1</v>
      </c>
      <c r="U955" s="89"/>
      <c r="V955" s="51">
        <v>45432</v>
      </c>
      <c r="W955" s="49" t="s">
        <v>1612</v>
      </c>
    </row>
    <row r="956" spans="1:23" ht="13" customHeight="1" x14ac:dyDescent="0.35">
      <c r="A956" s="11">
        <v>951</v>
      </c>
      <c r="B956" s="47">
        <v>206897646</v>
      </c>
      <c r="C956" s="94" t="s">
        <v>1951</v>
      </c>
      <c r="D956" s="11" t="s">
        <v>1952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1290</v>
      </c>
      <c r="J956" s="49" t="s">
        <v>39</v>
      </c>
      <c r="K956" s="49" t="s">
        <v>76</v>
      </c>
      <c r="L956" s="49" t="s">
        <v>77</v>
      </c>
      <c r="M956" s="49" t="s">
        <v>78</v>
      </c>
      <c r="N956" s="49" t="s">
        <v>89</v>
      </c>
      <c r="O956" s="48" t="s">
        <v>37</v>
      </c>
      <c r="P956" s="48" t="s">
        <v>80</v>
      </c>
      <c r="Q956" s="11" t="s">
        <v>81</v>
      </c>
      <c r="R956" s="11" t="s">
        <v>1087</v>
      </c>
      <c r="S956" s="11" t="s">
        <v>2823</v>
      </c>
      <c r="T956" s="90" t="s">
        <v>10</v>
      </c>
      <c r="U956" s="90"/>
      <c r="V956" s="51">
        <v>46030</v>
      </c>
      <c r="W956" s="49" t="s">
        <v>1610</v>
      </c>
    </row>
    <row r="957" spans="1:23" ht="13" customHeight="1" x14ac:dyDescent="0.35">
      <c r="A957" s="11">
        <v>952</v>
      </c>
      <c r="B957" s="47">
        <v>203468750</v>
      </c>
      <c r="C957" s="94" t="s">
        <v>1011</v>
      </c>
      <c r="D957" s="11" t="s">
        <v>1012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32</v>
      </c>
      <c r="K957" s="49" t="s">
        <v>76</v>
      </c>
      <c r="L957" s="49" t="s">
        <v>85</v>
      </c>
      <c r="M957" s="49" t="s">
        <v>88</v>
      </c>
      <c r="N957" s="48" t="s">
        <v>79</v>
      </c>
      <c r="O957" s="49" t="s">
        <v>37</v>
      </c>
      <c r="P957" s="11" t="s">
        <v>80</v>
      </c>
      <c r="Q957" s="11" t="s">
        <v>81</v>
      </c>
      <c r="R957" s="49" t="s">
        <v>648</v>
      </c>
      <c r="S957" s="11" t="s">
        <v>1842</v>
      </c>
      <c r="T957" s="90" t="s">
        <v>1</v>
      </c>
      <c r="U957" s="90"/>
      <c r="V957" s="51">
        <v>45456</v>
      </c>
      <c r="W957" s="49" t="s">
        <v>1612</v>
      </c>
    </row>
    <row r="958" spans="1:23" ht="13" customHeight="1" x14ac:dyDescent="0.35">
      <c r="A958" s="11">
        <v>953</v>
      </c>
      <c r="B958" s="47">
        <v>204138118</v>
      </c>
      <c r="C958" s="94" t="s">
        <v>1013</v>
      </c>
      <c r="D958" s="11" t="s">
        <v>1014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32</v>
      </c>
      <c r="K958" s="49" t="s">
        <v>76</v>
      </c>
      <c r="L958" s="49" t="s">
        <v>85</v>
      </c>
      <c r="M958" s="49" t="s">
        <v>88</v>
      </c>
      <c r="N958" s="48" t="s">
        <v>86</v>
      </c>
      <c r="O958" s="49" t="s">
        <v>37</v>
      </c>
      <c r="P958" s="11" t="s">
        <v>80</v>
      </c>
      <c r="Q958" s="11" t="s">
        <v>87</v>
      </c>
      <c r="R958" s="49" t="s">
        <v>648</v>
      </c>
      <c r="S958" s="11" t="s">
        <v>1842</v>
      </c>
      <c r="T958" s="90" t="s">
        <v>1</v>
      </c>
      <c r="U958" s="91"/>
      <c r="V958" s="51">
        <v>45565</v>
      </c>
      <c r="W958" s="49" t="s">
        <v>1612</v>
      </c>
    </row>
    <row r="959" spans="1:23" ht="13" customHeight="1" x14ac:dyDescent="0.35">
      <c r="A959" s="11">
        <v>954</v>
      </c>
      <c r="B959" s="47">
        <v>205861620</v>
      </c>
      <c r="C959" s="94" t="s">
        <v>2171</v>
      </c>
      <c r="D959" s="11" t="s">
        <v>2172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32</v>
      </c>
      <c r="K959" s="49" t="s">
        <v>76</v>
      </c>
      <c r="L959" s="49" t="s">
        <v>88</v>
      </c>
      <c r="M959" s="49" t="s">
        <v>95</v>
      </c>
      <c r="N959" s="49" t="s">
        <v>89</v>
      </c>
      <c r="O959" s="49" t="s">
        <v>37</v>
      </c>
      <c r="P959" s="11" t="s">
        <v>80</v>
      </c>
      <c r="Q959" s="11" t="s">
        <v>96</v>
      </c>
      <c r="R959" s="49" t="s">
        <v>628</v>
      </c>
      <c r="S959" s="11" t="s">
        <v>629</v>
      </c>
      <c r="T959" s="90" t="s">
        <v>1</v>
      </c>
      <c r="U959" s="91"/>
      <c r="V959" s="51">
        <v>46048</v>
      </c>
      <c r="W959" s="49" t="s">
        <v>1610</v>
      </c>
    </row>
    <row r="960" spans="1:23" ht="13" customHeight="1" x14ac:dyDescent="0.35">
      <c r="A960" s="11">
        <v>955</v>
      </c>
      <c r="B960" s="47">
        <v>203468753</v>
      </c>
      <c r="C960" s="94" t="s">
        <v>1015</v>
      </c>
      <c r="D960" s="11" t="s">
        <v>1016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39</v>
      </c>
      <c r="K960" s="49" t="s">
        <v>76</v>
      </c>
      <c r="L960" s="49" t="s">
        <v>92</v>
      </c>
      <c r="M960" s="49" t="s">
        <v>84</v>
      </c>
      <c r="N960" s="48" t="s">
        <v>79</v>
      </c>
      <c r="O960" s="49" t="s">
        <v>37</v>
      </c>
      <c r="P960" s="11" t="s">
        <v>80</v>
      </c>
      <c r="Q960" s="11" t="s">
        <v>81</v>
      </c>
      <c r="R960" s="11" t="s">
        <v>1087</v>
      </c>
      <c r="S960" s="11" t="s">
        <v>2823</v>
      </c>
      <c r="T960" s="90" t="s">
        <v>1</v>
      </c>
      <c r="U960" s="89"/>
      <c r="V960" s="51">
        <v>45456</v>
      </c>
      <c r="W960" s="49" t="s">
        <v>1612</v>
      </c>
    </row>
    <row r="961" spans="1:23" ht="13" customHeight="1" x14ac:dyDescent="0.35">
      <c r="A961" s="11">
        <v>956</v>
      </c>
      <c r="B961" s="47">
        <v>203851105</v>
      </c>
      <c r="C961" s="94" t="s">
        <v>1017</v>
      </c>
      <c r="D961" s="11" t="s">
        <v>1018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95</v>
      </c>
      <c r="M961" s="49" t="s">
        <v>77</v>
      </c>
      <c r="N961" s="48" t="s">
        <v>79</v>
      </c>
      <c r="O961" s="49" t="s">
        <v>37</v>
      </c>
      <c r="P961" s="11" t="s">
        <v>80</v>
      </c>
      <c r="Q961" s="11" t="s">
        <v>81</v>
      </c>
      <c r="R961" s="11" t="s">
        <v>632</v>
      </c>
      <c r="S961" s="11" t="s">
        <v>633</v>
      </c>
      <c r="T961" s="90" t="s">
        <v>10</v>
      </c>
      <c r="U961" s="89"/>
      <c r="V961" s="51">
        <v>45524</v>
      </c>
      <c r="W961" s="49" t="s">
        <v>1612</v>
      </c>
    </row>
    <row r="962" spans="1:23" ht="13" customHeight="1" x14ac:dyDescent="0.35">
      <c r="A962" s="11">
        <v>957</v>
      </c>
      <c r="B962" s="47">
        <v>204072311</v>
      </c>
      <c r="C962" s="94" t="s">
        <v>1019</v>
      </c>
      <c r="D962" s="11" t="s">
        <v>1020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92</v>
      </c>
      <c r="M962" s="49" t="s">
        <v>84</v>
      </c>
      <c r="N962" s="48" t="s">
        <v>86</v>
      </c>
      <c r="O962" s="49" t="s">
        <v>37</v>
      </c>
      <c r="P962" s="11" t="s">
        <v>80</v>
      </c>
      <c r="Q962" s="11" t="s">
        <v>90</v>
      </c>
      <c r="R962" s="11" t="s">
        <v>632</v>
      </c>
      <c r="S962" s="11" t="s">
        <v>633</v>
      </c>
      <c r="T962" s="90" t="s">
        <v>1</v>
      </c>
      <c r="U962" s="89"/>
      <c r="V962" s="51">
        <v>45558</v>
      </c>
      <c r="W962" s="49" t="s">
        <v>1610</v>
      </c>
    </row>
    <row r="963" spans="1:23" ht="13" customHeight="1" x14ac:dyDescent="0.35">
      <c r="A963" s="11">
        <v>958</v>
      </c>
      <c r="B963" s="47">
        <v>205853578</v>
      </c>
      <c r="C963" s="94" t="s">
        <v>1021</v>
      </c>
      <c r="D963" s="11" t="s">
        <v>1022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85</v>
      </c>
      <c r="M963" s="49" t="s">
        <v>88</v>
      </c>
      <c r="N963" s="49" t="s">
        <v>89</v>
      </c>
      <c r="O963" s="49" t="s">
        <v>37</v>
      </c>
      <c r="P963" s="11" t="s">
        <v>80</v>
      </c>
      <c r="Q963" s="11" t="s">
        <v>96</v>
      </c>
      <c r="R963" s="11" t="s">
        <v>1087</v>
      </c>
      <c r="S963" s="11" t="s">
        <v>2823</v>
      </c>
      <c r="T963" s="90" t="s">
        <v>7</v>
      </c>
      <c r="U963" s="90" t="s">
        <v>3004</v>
      </c>
      <c r="V963" s="51">
        <v>45894</v>
      </c>
      <c r="W963" s="49" t="s">
        <v>1610</v>
      </c>
    </row>
    <row r="964" spans="1:23" ht="13" customHeight="1" x14ac:dyDescent="0.35">
      <c r="A964" s="11">
        <v>959</v>
      </c>
      <c r="B964" s="47">
        <v>204117684</v>
      </c>
      <c r="C964" s="94" t="s">
        <v>1023</v>
      </c>
      <c r="D964" s="11" t="s">
        <v>1024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32</v>
      </c>
      <c r="K964" s="49" t="s">
        <v>76</v>
      </c>
      <c r="L964" s="49" t="s">
        <v>84</v>
      </c>
      <c r="M964" s="49" t="s">
        <v>85</v>
      </c>
      <c r="N964" s="48" t="s">
        <v>86</v>
      </c>
      <c r="O964" s="49" t="s">
        <v>37</v>
      </c>
      <c r="P964" s="11" t="s">
        <v>80</v>
      </c>
      <c r="Q964" s="11" t="s">
        <v>87</v>
      </c>
      <c r="R964" s="49" t="s">
        <v>628</v>
      </c>
      <c r="S964" s="11" t="s">
        <v>629</v>
      </c>
      <c r="T964" s="90" t="s">
        <v>4</v>
      </c>
      <c r="U964" s="91"/>
      <c r="V964" s="51">
        <v>45561</v>
      </c>
      <c r="W964" s="49" t="s">
        <v>1610</v>
      </c>
    </row>
    <row r="965" spans="1:23" ht="13" customHeight="1" x14ac:dyDescent="0.35">
      <c r="A965" s="11">
        <v>960</v>
      </c>
      <c r="B965" s="47">
        <v>203881696</v>
      </c>
      <c r="C965" s="94" t="s">
        <v>1025</v>
      </c>
      <c r="D965" s="11" t="s">
        <v>1026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92</v>
      </c>
      <c r="M965" s="49" t="s">
        <v>84</v>
      </c>
      <c r="N965" s="48" t="s">
        <v>79</v>
      </c>
      <c r="O965" s="49" t="s">
        <v>37</v>
      </c>
      <c r="P965" s="11" t="s">
        <v>80</v>
      </c>
      <c r="Q965" s="11" t="s">
        <v>81</v>
      </c>
      <c r="R965" s="49" t="s">
        <v>648</v>
      </c>
      <c r="S965" s="11" t="s">
        <v>1842</v>
      </c>
      <c r="T965" s="90" t="s">
        <v>1</v>
      </c>
      <c r="U965" s="91"/>
      <c r="V965" s="51">
        <v>45530</v>
      </c>
      <c r="W965" s="49" t="s">
        <v>1612</v>
      </c>
    </row>
    <row r="966" spans="1:23" ht="13" customHeight="1" x14ac:dyDescent="0.35">
      <c r="A966" s="11">
        <v>961</v>
      </c>
      <c r="B966" s="47">
        <v>206200000</v>
      </c>
      <c r="C966" s="94" t="s">
        <v>1627</v>
      </c>
      <c r="D966" s="11" t="s">
        <v>1621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32</v>
      </c>
      <c r="K966" s="49" t="s">
        <v>76</v>
      </c>
      <c r="L966" s="49" t="s">
        <v>85</v>
      </c>
      <c r="M966" s="49" t="s">
        <v>88</v>
      </c>
      <c r="N966" s="49" t="s">
        <v>89</v>
      </c>
      <c r="O966" s="49" t="s">
        <v>37</v>
      </c>
      <c r="P966" s="11" t="s">
        <v>80</v>
      </c>
      <c r="Q966" s="11" t="s">
        <v>81</v>
      </c>
      <c r="R966" s="49" t="s">
        <v>2825</v>
      </c>
      <c r="S966" s="11" t="s">
        <v>643</v>
      </c>
      <c r="T966" s="90" t="s">
        <v>7</v>
      </c>
      <c r="U966" s="90" t="s">
        <v>3004</v>
      </c>
      <c r="V966" s="51">
        <v>45936</v>
      </c>
      <c r="W966" s="49" t="s">
        <v>1610</v>
      </c>
    </row>
    <row r="967" spans="1:23" ht="13" customHeight="1" x14ac:dyDescent="0.35">
      <c r="A967" s="11">
        <v>962</v>
      </c>
      <c r="B967" s="47">
        <v>204138115</v>
      </c>
      <c r="C967" s="94" t="s">
        <v>1027</v>
      </c>
      <c r="D967" s="11" t="s">
        <v>1028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32</v>
      </c>
      <c r="K967" s="49" t="s">
        <v>76</v>
      </c>
      <c r="L967" s="49" t="s">
        <v>78</v>
      </c>
      <c r="M967" s="49" t="s">
        <v>92</v>
      </c>
      <c r="N967" s="48" t="s">
        <v>86</v>
      </c>
      <c r="O967" s="49" t="s">
        <v>37</v>
      </c>
      <c r="P967" s="11" t="s">
        <v>80</v>
      </c>
      <c r="Q967" s="11" t="s">
        <v>87</v>
      </c>
      <c r="R967" s="11" t="s">
        <v>2955</v>
      </c>
      <c r="S967" s="11" t="s">
        <v>2956</v>
      </c>
      <c r="T967" s="90" t="s">
        <v>1</v>
      </c>
      <c r="U967" s="89"/>
      <c r="V967" s="51">
        <v>45565</v>
      </c>
      <c r="W967" s="49" t="s">
        <v>1610</v>
      </c>
    </row>
    <row r="968" spans="1:23" ht="13" customHeight="1" x14ac:dyDescent="0.35">
      <c r="A968" s="11">
        <v>963</v>
      </c>
      <c r="B968" s="47">
        <v>204967052</v>
      </c>
      <c r="C968" s="94" t="s">
        <v>1029</v>
      </c>
      <c r="D968" s="11" t="s">
        <v>1030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84</v>
      </c>
      <c r="M968" s="49" t="s">
        <v>85</v>
      </c>
      <c r="N968" s="48" t="s">
        <v>86</v>
      </c>
      <c r="O968" s="49" t="s">
        <v>37</v>
      </c>
      <c r="P968" s="11" t="s">
        <v>80</v>
      </c>
      <c r="Q968" s="11" t="s">
        <v>90</v>
      </c>
      <c r="R968" s="49" t="s">
        <v>648</v>
      </c>
      <c r="S968" s="11" t="s">
        <v>1842</v>
      </c>
      <c r="T968" s="90" t="s">
        <v>1</v>
      </c>
      <c r="U968" s="89"/>
      <c r="V968" s="51">
        <v>45719</v>
      </c>
      <c r="W968" s="49" t="s">
        <v>1610</v>
      </c>
    </row>
    <row r="969" spans="1:23" ht="13" customHeight="1" x14ac:dyDescent="0.35">
      <c r="A969" s="11">
        <v>964</v>
      </c>
      <c r="B969" s="77">
        <v>103020246</v>
      </c>
      <c r="C969" s="96" t="s">
        <v>1031</v>
      </c>
      <c r="D969" s="75" t="s">
        <v>1032</v>
      </c>
      <c r="E969" s="76" t="s">
        <v>34</v>
      </c>
      <c r="F969" s="76" t="s">
        <v>74</v>
      </c>
      <c r="G969" s="75" t="s">
        <v>64</v>
      </c>
      <c r="H969" s="11" t="s">
        <v>75</v>
      </c>
      <c r="I969" s="75">
        <v>1299</v>
      </c>
      <c r="J969" s="49" t="s">
        <v>32</v>
      </c>
      <c r="K969" s="49" t="s">
        <v>76</v>
      </c>
      <c r="L969" s="49" t="s">
        <v>78</v>
      </c>
      <c r="M969" s="49" t="s">
        <v>92</v>
      </c>
      <c r="N969" s="48" t="s">
        <v>108</v>
      </c>
      <c r="O969" s="73" t="s">
        <v>37</v>
      </c>
      <c r="P969" s="75" t="s">
        <v>80</v>
      </c>
      <c r="Q969" s="75" t="s">
        <v>98</v>
      </c>
      <c r="R969" s="11" t="s">
        <v>632</v>
      </c>
      <c r="S969" s="75" t="s">
        <v>633</v>
      </c>
      <c r="T969" s="90" t="s">
        <v>1</v>
      </c>
      <c r="U969" s="89"/>
      <c r="V969" s="51">
        <v>43058</v>
      </c>
      <c r="W969" s="49" t="s">
        <v>1612</v>
      </c>
    </row>
    <row r="970" spans="1:23" ht="13" customHeight="1" x14ac:dyDescent="0.35">
      <c r="A970" s="11">
        <v>965</v>
      </c>
      <c r="B970" s="47">
        <v>110492547</v>
      </c>
      <c r="C970" s="94" t="s">
        <v>1033</v>
      </c>
      <c r="D970" s="11" t="s">
        <v>1034</v>
      </c>
      <c r="E970" s="48" t="s">
        <v>34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32</v>
      </c>
      <c r="K970" s="49" t="s">
        <v>76</v>
      </c>
      <c r="L970" s="49" t="s">
        <v>92</v>
      </c>
      <c r="M970" s="49" t="s">
        <v>84</v>
      </c>
      <c r="N970" s="48" t="s">
        <v>108</v>
      </c>
      <c r="O970" s="49" t="s">
        <v>37</v>
      </c>
      <c r="P970" s="11" t="s">
        <v>80</v>
      </c>
      <c r="Q970" s="11" t="s">
        <v>98</v>
      </c>
      <c r="R970" s="49" t="s">
        <v>648</v>
      </c>
      <c r="S970" s="11" t="s">
        <v>1842</v>
      </c>
      <c r="T970" s="90" t="s">
        <v>1</v>
      </c>
      <c r="U970" s="89"/>
      <c r="V970" s="51">
        <v>44757</v>
      </c>
      <c r="W970" s="49" t="s">
        <v>1610</v>
      </c>
    </row>
    <row r="971" spans="1:23" ht="13" customHeight="1" x14ac:dyDescent="0.35">
      <c r="A971" s="11">
        <v>966</v>
      </c>
      <c r="B971" s="47">
        <v>203512951</v>
      </c>
      <c r="C971" s="94" t="s">
        <v>1035</v>
      </c>
      <c r="D971" s="11" t="s">
        <v>1036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32</v>
      </c>
      <c r="K971" s="49" t="s">
        <v>76</v>
      </c>
      <c r="L971" s="49" t="s">
        <v>77</v>
      </c>
      <c r="M971" s="49" t="s">
        <v>78</v>
      </c>
      <c r="N971" s="48" t="s">
        <v>79</v>
      </c>
      <c r="O971" s="49" t="s">
        <v>37</v>
      </c>
      <c r="P971" s="11" t="s">
        <v>80</v>
      </c>
      <c r="Q971" s="11" t="s">
        <v>81</v>
      </c>
      <c r="R971" s="11" t="s">
        <v>2955</v>
      </c>
      <c r="S971" s="11" t="s">
        <v>2956</v>
      </c>
      <c r="T971" s="90" t="s">
        <v>10</v>
      </c>
      <c r="U971" s="89"/>
      <c r="V971" s="51">
        <v>45463</v>
      </c>
      <c r="W971" s="49" t="s">
        <v>1610</v>
      </c>
    </row>
    <row r="972" spans="1:23" ht="13" customHeight="1" x14ac:dyDescent="0.35">
      <c r="A972" s="11">
        <v>967</v>
      </c>
      <c r="B972" s="47">
        <v>113167122</v>
      </c>
      <c r="C972" s="94" t="s">
        <v>1037</v>
      </c>
      <c r="D972" s="11" t="s">
        <v>1038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84</v>
      </c>
      <c r="M972" s="49" t="s">
        <v>85</v>
      </c>
      <c r="N972" s="48" t="s">
        <v>86</v>
      </c>
      <c r="O972" s="49" t="s">
        <v>37</v>
      </c>
      <c r="P972" s="11" t="s">
        <v>80</v>
      </c>
      <c r="Q972" s="11" t="s">
        <v>87</v>
      </c>
      <c r="R972" s="11" t="s">
        <v>1087</v>
      </c>
      <c r="S972" s="11" t="s">
        <v>2823</v>
      </c>
      <c r="T972" s="90" t="s">
        <v>1</v>
      </c>
      <c r="U972" s="89"/>
      <c r="V972" s="51">
        <v>45586</v>
      </c>
      <c r="W972" s="49" t="s">
        <v>1609</v>
      </c>
    </row>
    <row r="973" spans="1:23" ht="13" customHeight="1" x14ac:dyDescent="0.35">
      <c r="A973" s="11">
        <v>968</v>
      </c>
      <c r="B973" s="47">
        <v>203908895</v>
      </c>
      <c r="C973" s="94" t="s">
        <v>1039</v>
      </c>
      <c r="D973" s="11" t="s">
        <v>1040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85</v>
      </c>
      <c r="M973" s="49" t="s">
        <v>88</v>
      </c>
      <c r="N973" s="49" t="s">
        <v>89</v>
      </c>
      <c r="O973" s="49" t="s">
        <v>37</v>
      </c>
      <c r="P973" s="11" t="s">
        <v>80</v>
      </c>
      <c r="Q973" s="11" t="s">
        <v>90</v>
      </c>
      <c r="R973" s="11" t="s">
        <v>632</v>
      </c>
      <c r="S973" s="11" t="s">
        <v>633</v>
      </c>
      <c r="T973" s="90" t="s">
        <v>3</v>
      </c>
      <c r="U973" s="89"/>
      <c r="V973" s="51">
        <v>45537</v>
      </c>
      <c r="W973" s="49" t="s">
        <v>1610</v>
      </c>
    </row>
    <row r="974" spans="1:23" ht="13" customHeight="1" x14ac:dyDescent="0.35">
      <c r="A974" s="11">
        <v>969</v>
      </c>
      <c r="B974" s="47">
        <v>206250609</v>
      </c>
      <c r="C974" s="94" t="s">
        <v>1693</v>
      </c>
      <c r="D974" s="11" t="s">
        <v>1659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32</v>
      </c>
      <c r="K974" s="49" t="s">
        <v>76</v>
      </c>
      <c r="L974" s="49" t="s">
        <v>77</v>
      </c>
      <c r="M974" s="49" t="s">
        <v>78</v>
      </c>
      <c r="N974" s="48" t="s">
        <v>79</v>
      </c>
      <c r="O974" s="49" t="s">
        <v>37</v>
      </c>
      <c r="P974" s="11" t="s">
        <v>80</v>
      </c>
      <c r="Q974" s="11" t="s">
        <v>81</v>
      </c>
      <c r="R974" s="49" t="s">
        <v>2825</v>
      </c>
      <c r="S974" s="11" t="s">
        <v>643</v>
      </c>
      <c r="T974" s="90" t="s">
        <v>10</v>
      </c>
      <c r="U974" s="89"/>
      <c r="V974" s="51">
        <v>45943</v>
      </c>
      <c r="W974" s="49" t="s">
        <v>1609</v>
      </c>
    </row>
    <row r="975" spans="1:23" ht="13" customHeight="1" x14ac:dyDescent="0.35">
      <c r="A975" s="11">
        <v>970</v>
      </c>
      <c r="B975" s="47">
        <v>203851001</v>
      </c>
      <c r="C975" s="94" t="s">
        <v>1041</v>
      </c>
      <c r="D975" s="11" t="s">
        <v>1042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32</v>
      </c>
      <c r="K975" s="49" t="s">
        <v>76</v>
      </c>
      <c r="L975" s="49" t="s">
        <v>77</v>
      </c>
      <c r="M975" s="49" t="s">
        <v>78</v>
      </c>
      <c r="N975" s="48" t="s">
        <v>79</v>
      </c>
      <c r="O975" s="49" t="s">
        <v>37</v>
      </c>
      <c r="P975" s="11" t="s">
        <v>80</v>
      </c>
      <c r="Q975" s="11" t="s">
        <v>81</v>
      </c>
      <c r="R975" s="11" t="s">
        <v>2955</v>
      </c>
      <c r="S975" s="11" t="s">
        <v>2956</v>
      </c>
      <c r="T975" s="90" t="s">
        <v>10</v>
      </c>
      <c r="U975" s="90"/>
      <c r="V975" s="51">
        <v>45544</v>
      </c>
      <c r="W975" s="49" t="s">
        <v>1610</v>
      </c>
    </row>
    <row r="976" spans="1:23" ht="13" customHeight="1" x14ac:dyDescent="0.35">
      <c r="A976" s="11">
        <v>971</v>
      </c>
      <c r="B976" s="47">
        <v>206136719</v>
      </c>
      <c r="C976" s="94" t="s">
        <v>1043</v>
      </c>
      <c r="D976" s="11" t="s">
        <v>1044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92</v>
      </c>
      <c r="M976" s="49" t="s">
        <v>84</v>
      </c>
      <c r="N976" s="49" t="s">
        <v>89</v>
      </c>
      <c r="O976" s="49" t="s">
        <v>37</v>
      </c>
      <c r="P976" s="11" t="s">
        <v>80</v>
      </c>
      <c r="Q976" s="11" t="s">
        <v>96</v>
      </c>
      <c r="R976" s="11" t="s">
        <v>2955</v>
      </c>
      <c r="S976" s="11" t="s">
        <v>2956</v>
      </c>
      <c r="T976" s="90" t="s">
        <v>1</v>
      </c>
      <c r="U976" s="91"/>
      <c r="V976" s="51">
        <v>45929</v>
      </c>
      <c r="W976" s="49" t="s">
        <v>1609</v>
      </c>
    </row>
    <row r="977" spans="1:23" ht="13" customHeight="1" x14ac:dyDescent="0.35">
      <c r="A977" s="11">
        <v>972</v>
      </c>
      <c r="B977" s="47">
        <v>206604501</v>
      </c>
      <c r="C977" s="94" t="s">
        <v>2145</v>
      </c>
      <c r="D977" s="11" t="s">
        <v>2146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39</v>
      </c>
      <c r="K977" s="49" t="s">
        <v>76</v>
      </c>
      <c r="L977" s="49" t="s">
        <v>92</v>
      </c>
      <c r="M977" s="49" t="s">
        <v>84</v>
      </c>
      <c r="N977" s="49" t="s">
        <v>89</v>
      </c>
      <c r="O977" s="49" t="s">
        <v>37</v>
      </c>
      <c r="P977" s="11" t="s">
        <v>80</v>
      </c>
      <c r="Q977" s="11" t="s">
        <v>96</v>
      </c>
      <c r="R977" s="49" t="s">
        <v>2825</v>
      </c>
      <c r="S977" s="49" t="s">
        <v>643</v>
      </c>
      <c r="T977" s="90" t="s">
        <v>1</v>
      </c>
      <c r="U977" s="91"/>
      <c r="V977" s="51">
        <v>46048</v>
      </c>
      <c r="W977" s="49" t="s">
        <v>1610</v>
      </c>
    </row>
    <row r="978" spans="1:23" ht="13" customHeight="1" x14ac:dyDescent="0.35">
      <c r="A978" s="11">
        <v>973</v>
      </c>
      <c r="B978" s="47">
        <v>205853581</v>
      </c>
      <c r="C978" s="94" t="s">
        <v>1045</v>
      </c>
      <c r="D978" s="11" t="s">
        <v>1046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39</v>
      </c>
      <c r="K978" s="49" t="s">
        <v>76</v>
      </c>
      <c r="L978" s="49" t="s">
        <v>85</v>
      </c>
      <c r="M978" s="49" t="s">
        <v>88</v>
      </c>
      <c r="N978" s="49" t="s">
        <v>79</v>
      </c>
      <c r="O978" s="49" t="s">
        <v>37</v>
      </c>
      <c r="P978" s="11" t="s">
        <v>80</v>
      </c>
      <c r="Q978" s="11" t="s">
        <v>96</v>
      </c>
      <c r="R978" s="11" t="s">
        <v>1087</v>
      </c>
      <c r="S978" s="11" t="s">
        <v>2823</v>
      </c>
      <c r="T978" s="90" t="s">
        <v>7</v>
      </c>
      <c r="U978" s="90" t="s">
        <v>3004</v>
      </c>
      <c r="V978" s="51">
        <v>45894</v>
      </c>
      <c r="W978" s="49" t="s">
        <v>1610</v>
      </c>
    </row>
    <row r="979" spans="1:23" ht="13" customHeight="1" x14ac:dyDescent="0.35">
      <c r="A979" s="11">
        <v>974</v>
      </c>
      <c r="B979" s="47">
        <v>206889907</v>
      </c>
      <c r="C979" s="94" t="s">
        <v>1891</v>
      </c>
      <c r="D979" s="11" t="s">
        <v>1892</v>
      </c>
      <c r="E979" s="11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77</v>
      </c>
      <c r="M979" s="49" t="s">
        <v>78</v>
      </c>
      <c r="N979" s="49" t="s">
        <v>89</v>
      </c>
      <c r="O979" s="49" t="s">
        <v>37</v>
      </c>
      <c r="P979" s="11" t="s">
        <v>80</v>
      </c>
      <c r="Q979" s="11" t="s">
        <v>96</v>
      </c>
      <c r="R979" s="49" t="s">
        <v>628</v>
      </c>
      <c r="S979" s="11" t="s">
        <v>629</v>
      </c>
      <c r="T979" s="90" t="s">
        <v>10</v>
      </c>
      <c r="U979" s="89"/>
      <c r="V979" s="51">
        <v>46027</v>
      </c>
      <c r="W979" s="49" t="s">
        <v>1610</v>
      </c>
    </row>
    <row r="980" spans="1:23" ht="13" customHeight="1" x14ac:dyDescent="0.35">
      <c r="A980" s="11">
        <v>975</v>
      </c>
      <c r="B980" s="47">
        <v>204138496</v>
      </c>
      <c r="C980" s="94" t="s">
        <v>1047</v>
      </c>
      <c r="D980" s="11" t="s">
        <v>1048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39</v>
      </c>
      <c r="K980" s="49" t="s">
        <v>76</v>
      </c>
      <c r="L980" s="49" t="s">
        <v>95</v>
      </c>
      <c r="M980" s="49" t="s">
        <v>77</v>
      </c>
      <c r="N980" s="48" t="s">
        <v>79</v>
      </c>
      <c r="O980" s="49" t="s">
        <v>37</v>
      </c>
      <c r="P980" s="11" t="s">
        <v>80</v>
      </c>
      <c r="Q980" s="11" t="s">
        <v>81</v>
      </c>
      <c r="R980" s="49" t="s">
        <v>628</v>
      </c>
      <c r="S980" s="11" t="s">
        <v>629</v>
      </c>
      <c r="T980" s="90" t="s">
        <v>10</v>
      </c>
      <c r="U980" s="89"/>
      <c r="V980" s="51">
        <v>45565</v>
      </c>
      <c r="W980" s="49" t="s">
        <v>1610</v>
      </c>
    </row>
    <row r="981" spans="1:23" ht="13" customHeight="1" x14ac:dyDescent="0.35">
      <c r="A981" s="11">
        <v>976</v>
      </c>
      <c r="B981" s="47">
        <v>205133783</v>
      </c>
      <c r="C981" s="94" t="s">
        <v>2187</v>
      </c>
      <c r="D981" s="11" t="s">
        <v>2188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32</v>
      </c>
      <c r="K981" s="49" t="s">
        <v>76</v>
      </c>
      <c r="L981" s="49" t="s">
        <v>92</v>
      </c>
      <c r="M981" s="49" t="s">
        <v>84</v>
      </c>
      <c r="N981" s="49" t="s">
        <v>89</v>
      </c>
      <c r="O981" s="49" t="s">
        <v>37</v>
      </c>
      <c r="P981" s="11" t="s">
        <v>80</v>
      </c>
      <c r="Q981" s="11" t="s">
        <v>96</v>
      </c>
      <c r="R981" s="49" t="s">
        <v>2825</v>
      </c>
      <c r="S981" s="49" t="s">
        <v>643</v>
      </c>
      <c r="T981" s="90" t="s">
        <v>1</v>
      </c>
      <c r="U981" s="89"/>
      <c r="V981" s="51">
        <v>46048</v>
      </c>
      <c r="W981" s="49" t="s">
        <v>1610</v>
      </c>
    </row>
    <row r="982" spans="1:23" ht="13" customHeight="1" x14ac:dyDescent="0.35">
      <c r="A982" s="11">
        <v>977</v>
      </c>
      <c r="B982" s="47">
        <v>203879776</v>
      </c>
      <c r="C982" s="94" t="s">
        <v>1049</v>
      </c>
      <c r="D982" s="11" t="s">
        <v>1050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32</v>
      </c>
      <c r="K982" s="49" t="s">
        <v>76</v>
      </c>
      <c r="L982" s="49" t="s">
        <v>77</v>
      </c>
      <c r="M982" s="49" t="s">
        <v>78</v>
      </c>
      <c r="N982" s="48" t="s">
        <v>86</v>
      </c>
      <c r="O982" s="49" t="s">
        <v>37</v>
      </c>
      <c r="P982" s="11" t="s">
        <v>80</v>
      </c>
      <c r="Q982" s="11" t="s">
        <v>99</v>
      </c>
      <c r="R982" s="49" t="s">
        <v>648</v>
      </c>
      <c r="S982" s="11" t="s">
        <v>1842</v>
      </c>
      <c r="T982" s="90" t="s">
        <v>10</v>
      </c>
      <c r="U982" s="89"/>
      <c r="V982" s="51">
        <v>45558</v>
      </c>
      <c r="W982" s="49" t="s">
        <v>1609</v>
      </c>
    </row>
    <row r="983" spans="1:23" ht="13" customHeight="1" x14ac:dyDescent="0.35">
      <c r="A983" s="11">
        <v>978</v>
      </c>
      <c r="B983" s="47">
        <v>204975662</v>
      </c>
      <c r="C983" s="95" t="s">
        <v>2157</v>
      </c>
      <c r="D983" s="11" t="s">
        <v>2158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32</v>
      </c>
      <c r="K983" s="49" t="s">
        <v>76</v>
      </c>
      <c r="L983" s="49" t="s">
        <v>95</v>
      </c>
      <c r="M983" s="49" t="s">
        <v>77</v>
      </c>
      <c r="N983" s="49" t="s">
        <v>89</v>
      </c>
      <c r="O983" s="49" t="s">
        <v>37</v>
      </c>
      <c r="P983" s="11" t="s">
        <v>80</v>
      </c>
      <c r="Q983" s="11" t="s">
        <v>96</v>
      </c>
      <c r="R983" s="11" t="s">
        <v>2954</v>
      </c>
      <c r="S983" s="11" t="s">
        <v>2822</v>
      </c>
      <c r="T983" s="90" t="s">
        <v>10</v>
      </c>
      <c r="U983" s="89"/>
      <c r="V983" s="51">
        <v>46048</v>
      </c>
      <c r="W983" s="49" t="s">
        <v>1610</v>
      </c>
    </row>
    <row r="984" spans="1:23" ht="13" customHeight="1" x14ac:dyDescent="0.35">
      <c r="A984" s="11">
        <v>979</v>
      </c>
      <c r="B984" s="47">
        <v>206886515</v>
      </c>
      <c r="C984" s="94" t="s">
        <v>1893</v>
      </c>
      <c r="D984" s="11" t="s">
        <v>1894</v>
      </c>
      <c r="E984" s="11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39</v>
      </c>
      <c r="K984" s="49" t="s">
        <v>76</v>
      </c>
      <c r="L984" s="49" t="s">
        <v>77</v>
      </c>
      <c r="M984" s="49" t="s">
        <v>78</v>
      </c>
      <c r="N984" s="49" t="s">
        <v>89</v>
      </c>
      <c r="O984" s="49" t="s">
        <v>37</v>
      </c>
      <c r="P984" s="11" t="s">
        <v>80</v>
      </c>
      <c r="Q984" s="11" t="s">
        <v>96</v>
      </c>
      <c r="R984" s="49" t="s">
        <v>628</v>
      </c>
      <c r="S984" s="11" t="s">
        <v>629</v>
      </c>
      <c r="T984" s="90" t="s">
        <v>10</v>
      </c>
      <c r="U984" s="89"/>
      <c r="V984" s="51">
        <v>46027</v>
      </c>
      <c r="W984" s="49" t="s">
        <v>1610</v>
      </c>
    </row>
    <row r="985" spans="1:23" ht="13" customHeight="1" x14ac:dyDescent="0.35">
      <c r="A985" s="11">
        <v>980</v>
      </c>
      <c r="B985" s="47">
        <v>206192541</v>
      </c>
      <c r="C985" s="94" t="s">
        <v>1650</v>
      </c>
      <c r="D985" s="11" t="s">
        <v>1641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39</v>
      </c>
      <c r="K985" s="49" t="s">
        <v>76</v>
      </c>
      <c r="L985" s="49" t="s">
        <v>95</v>
      </c>
      <c r="M985" s="49" t="s">
        <v>77</v>
      </c>
      <c r="N985" s="49" t="s">
        <v>89</v>
      </c>
      <c r="O985" s="49" t="s">
        <v>37</v>
      </c>
      <c r="P985" s="11" t="s">
        <v>80</v>
      </c>
      <c r="Q985" s="11" t="s">
        <v>96</v>
      </c>
      <c r="R985" s="49" t="s">
        <v>628</v>
      </c>
      <c r="S985" s="11" t="s">
        <v>629</v>
      </c>
      <c r="T985" s="90" t="s">
        <v>10</v>
      </c>
      <c r="U985" s="90"/>
      <c r="V985" s="51">
        <v>45936</v>
      </c>
      <c r="W985" s="49" t="s">
        <v>1610</v>
      </c>
    </row>
    <row r="986" spans="1:23" ht="13" customHeight="1" x14ac:dyDescent="0.35">
      <c r="A986" s="11">
        <v>981</v>
      </c>
      <c r="B986" s="47">
        <v>206192271</v>
      </c>
      <c r="C986" s="94" t="s">
        <v>1649</v>
      </c>
      <c r="D986" s="11" t="s">
        <v>1640</v>
      </c>
      <c r="E986" s="48" t="s">
        <v>31</v>
      </c>
      <c r="F986" s="48" t="s">
        <v>74</v>
      </c>
      <c r="G986" s="11" t="s">
        <v>64</v>
      </c>
      <c r="H986" s="11" t="s">
        <v>75</v>
      </c>
      <c r="I986" s="11">
        <v>1299</v>
      </c>
      <c r="J986" s="49" t="s">
        <v>39</v>
      </c>
      <c r="K986" s="49" t="s">
        <v>76</v>
      </c>
      <c r="L986" s="49" t="s">
        <v>95</v>
      </c>
      <c r="M986" s="49" t="s">
        <v>77</v>
      </c>
      <c r="N986" s="49" t="s">
        <v>89</v>
      </c>
      <c r="O986" s="49" t="s">
        <v>37</v>
      </c>
      <c r="P986" s="11" t="s">
        <v>80</v>
      </c>
      <c r="Q986" s="11" t="s">
        <v>96</v>
      </c>
      <c r="R986" s="49" t="s">
        <v>628</v>
      </c>
      <c r="S986" s="11" t="s">
        <v>629</v>
      </c>
      <c r="T986" s="90" t="s">
        <v>10</v>
      </c>
      <c r="U986" s="89"/>
      <c r="V986" s="51">
        <v>45936</v>
      </c>
      <c r="W986" s="49" t="s">
        <v>1610</v>
      </c>
    </row>
    <row r="987" spans="1:23" ht="13" customHeight="1" x14ac:dyDescent="0.35">
      <c r="A987" s="11">
        <v>982</v>
      </c>
      <c r="B987" s="47">
        <v>206886636</v>
      </c>
      <c r="C987" s="94" t="s">
        <v>1897</v>
      </c>
      <c r="D987" s="11" t="s">
        <v>1898</v>
      </c>
      <c r="E987" s="11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39</v>
      </c>
      <c r="K987" s="49" t="s">
        <v>76</v>
      </c>
      <c r="L987" s="49" t="s">
        <v>78</v>
      </c>
      <c r="M987" s="49" t="s">
        <v>92</v>
      </c>
      <c r="N987" s="49" t="s">
        <v>89</v>
      </c>
      <c r="O987" s="49" t="s">
        <v>37</v>
      </c>
      <c r="P987" s="11" t="s">
        <v>80</v>
      </c>
      <c r="Q987" s="11" t="s">
        <v>96</v>
      </c>
      <c r="R987" s="11" t="s">
        <v>1087</v>
      </c>
      <c r="S987" s="11" t="s">
        <v>2823</v>
      </c>
      <c r="T987" s="90" t="s">
        <v>1</v>
      </c>
      <c r="U987" s="106"/>
      <c r="V987" s="51">
        <v>46027</v>
      </c>
      <c r="W987" s="49" t="s">
        <v>1610</v>
      </c>
    </row>
    <row r="988" spans="1:23" ht="13" customHeight="1" x14ac:dyDescent="0.35">
      <c r="A988" s="11">
        <v>983</v>
      </c>
      <c r="B988" s="47">
        <v>201857481</v>
      </c>
      <c r="C988" s="94" t="s">
        <v>1051</v>
      </c>
      <c r="D988" s="11" t="s">
        <v>1052</v>
      </c>
      <c r="E988" s="48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85</v>
      </c>
      <c r="M988" s="49" t="s">
        <v>88</v>
      </c>
      <c r="N988" s="48" t="s">
        <v>86</v>
      </c>
      <c r="O988" s="49" t="s">
        <v>37</v>
      </c>
      <c r="P988" s="11" t="s">
        <v>80</v>
      </c>
      <c r="Q988" s="11" t="s">
        <v>87</v>
      </c>
      <c r="R988" s="49" t="s">
        <v>628</v>
      </c>
      <c r="S988" s="11" t="s">
        <v>629</v>
      </c>
      <c r="T988" s="90" t="s">
        <v>7</v>
      </c>
      <c r="U988" s="90" t="s">
        <v>3004</v>
      </c>
      <c r="V988" s="51">
        <v>45586</v>
      </c>
      <c r="W988" s="49" t="s">
        <v>1609</v>
      </c>
    </row>
    <row r="989" spans="1:23" ht="13" customHeight="1" x14ac:dyDescent="0.35">
      <c r="A989" s="11">
        <v>984</v>
      </c>
      <c r="B989" s="47">
        <v>204011575</v>
      </c>
      <c r="C989" s="94" t="s">
        <v>2514</v>
      </c>
      <c r="D989" s="11" t="s">
        <v>2515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32</v>
      </c>
      <c r="K989" s="49" t="s">
        <v>76</v>
      </c>
      <c r="L989" s="49" t="s">
        <v>92</v>
      </c>
      <c r="M989" s="49" t="s">
        <v>84</v>
      </c>
      <c r="N989" s="49" t="s">
        <v>89</v>
      </c>
      <c r="O989" s="49" t="s">
        <v>37</v>
      </c>
      <c r="P989" s="11" t="s">
        <v>80</v>
      </c>
      <c r="Q989" s="11" t="s">
        <v>90</v>
      </c>
      <c r="R989" s="11" t="s">
        <v>640</v>
      </c>
      <c r="S989" s="11" t="s">
        <v>2824</v>
      </c>
      <c r="T989" s="90" t="s">
        <v>1</v>
      </c>
      <c r="U989" s="91"/>
      <c r="V989" s="51">
        <v>45551</v>
      </c>
      <c r="W989" s="49" t="s">
        <v>1611</v>
      </c>
    </row>
    <row r="990" spans="1:23" ht="13" customHeight="1" x14ac:dyDescent="0.35">
      <c r="A990" s="11">
        <v>985</v>
      </c>
      <c r="B990" s="47">
        <v>112851838</v>
      </c>
      <c r="C990" s="94" t="s">
        <v>2311</v>
      </c>
      <c r="D990" s="11" t="s">
        <v>2312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95</v>
      </c>
      <c r="M990" s="49" t="s">
        <v>77</v>
      </c>
      <c r="N990" s="48" t="s">
        <v>86</v>
      </c>
      <c r="O990" s="49" t="s">
        <v>37</v>
      </c>
      <c r="P990" s="11" t="s">
        <v>80</v>
      </c>
      <c r="Q990" s="11" t="s">
        <v>87</v>
      </c>
      <c r="R990" s="49" t="s">
        <v>628</v>
      </c>
      <c r="S990" s="11" t="s">
        <v>629</v>
      </c>
      <c r="T990" s="90" t="s">
        <v>10</v>
      </c>
      <c r="U990" s="89"/>
      <c r="V990" s="51">
        <v>45586</v>
      </c>
      <c r="W990" s="49" t="s">
        <v>1609</v>
      </c>
    </row>
    <row r="991" spans="1:23" ht="13" customHeight="1" x14ac:dyDescent="0.35">
      <c r="A991" s="11">
        <v>986</v>
      </c>
      <c r="B991" s="47">
        <v>204116441</v>
      </c>
      <c r="C991" s="94" t="s">
        <v>1053</v>
      </c>
      <c r="D991" s="11" t="s">
        <v>1054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39</v>
      </c>
      <c r="K991" s="49" t="s">
        <v>76</v>
      </c>
      <c r="L991" s="49" t="s">
        <v>85</v>
      </c>
      <c r="M991" s="49" t="s">
        <v>88</v>
      </c>
      <c r="N991" s="48" t="s">
        <v>86</v>
      </c>
      <c r="O991" s="49" t="s">
        <v>37</v>
      </c>
      <c r="P991" s="11" t="s">
        <v>80</v>
      </c>
      <c r="Q991" s="11" t="s">
        <v>87</v>
      </c>
      <c r="R991" s="11" t="s">
        <v>1087</v>
      </c>
      <c r="S991" s="11" t="s">
        <v>2823</v>
      </c>
      <c r="T991" s="90" t="s">
        <v>7</v>
      </c>
      <c r="U991" s="90" t="s">
        <v>3004</v>
      </c>
      <c r="V991" s="51">
        <v>45561</v>
      </c>
      <c r="W991" s="49" t="s">
        <v>1609</v>
      </c>
    </row>
    <row r="992" spans="1:23" ht="13" customHeight="1" x14ac:dyDescent="0.35">
      <c r="A992" s="11">
        <v>987</v>
      </c>
      <c r="B992" s="47">
        <v>206136721</v>
      </c>
      <c r="C992" s="94" t="s">
        <v>1055</v>
      </c>
      <c r="D992" s="11" t="s">
        <v>1056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39</v>
      </c>
      <c r="K992" s="49" t="s">
        <v>76</v>
      </c>
      <c r="L992" s="49" t="s">
        <v>77</v>
      </c>
      <c r="M992" s="49" t="s">
        <v>78</v>
      </c>
      <c r="N992" s="49" t="s">
        <v>89</v>
      </c>
      <c r="O992" s="49" t="s">
        <v>37</v>
      </c>
      <c r="P992" s="11" t="s">
        <v>80</v>
      </c>
      <c r="Q992" s="11" t="s">
        <v>81</v>
      </c>
      <c r="R992" s="11" t="s">
        <v>632</v>
      </c>
      <c r="S992" s="11" t="s">
        <v>633</v>
      </c>
      <c r="T992" s="90" t="s">
        <v>10</v>
      </c>
      <c r="U992" s="90"/>
      <c r="V992" s="51">
        <v>45929</v>
      </c>
      <c r="W992" s="49" t="s">
        <v>1610</v>
      </c>
    </row>
    <row r="993" spans="1:23" ht="13" customHeight="1" x14ac:dyDescent="0.35">
      <c r="A993" s="11">
        <v>988</v>
      </c>
      <c r="B993" s="97">
        <v>204072300</v>
      </c>
      <c r="C993" s="47" t="s">
        <v>2912</v>
      </c>
      <c r="D993" s="94" t="s">
        <v>2913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39</v>
      </c>
      <c r="K993" s="49" t="s">
        <v>76</v>
      </c>
      <c r="L993" s="49" t="s">
        <v>84</v>
      </c>
      <c r="M993" s="49" t="s">
        <v>85</v>
      </c>
      <c r="N993" s="48" t="s">
        <v>86</v>
      </c>
      <c r="O993" s="49" t="s">
        <v>37</v>
      </c>
      <c r="P993" s="11" t="s">
        <v>80</v>
      </c>
      <c r="Q993" s="11" t="s">
        <v>90</v>
      </c>
      <c r="R993" s="11" t="s">
        <v>2955</v>
      </c>
      <c r="S993" s="11" t="s">
        <v>2956</v>
      </c>
      <c r="T993" s="90" t="s">
        <v>1</v>
      </c>
      <c r="U993" s="90"/>
      <c r="V993" s="51">
        <v>45558</v>
      </c>
      <c r="W993" s="49" t="s">
        <v>1610</v>
      </c>
    </row>
    <row r="994" spans="1:23" ht="13" customHeight="1" x14ac:dyDescent="0.35">
      <c r="A994" s="11">
        <v>989</v>
      </c>
      <c r="B994" s="47">
        <v>206886737</v>
      </c>
      <c r="C994" s="94" t="s">
        <v>1899</v>
      </c>
      <c r="D994" s="11" t="s">
        <v>1900</v>
      </c>
      <c r="E994" s="11" t="s">
        <v>31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39</v>
      </c>
      <c r="K994" s="49" t="s">
        <v>76</v>
      </c>
      <c r="L994" s="49" t="s">
        <v>78</v>
      </c>
      <c r="M994" s="49" t="s">
        <v>92</v>
      </c>
      <c r="N994" s="49" t="s">
        <v>89</v>
      </c>
      <c r="O994" s="49" t="s">
        <v>37</v>
      </c>
      <c r="P994" s="11" t="s">
        <v>80</v>
      </c>
      <c r="Q994" s="11" t="s">
        <v>96</v>
      </c>
      <c r="R994" s="11" t="s">
        <v>1087</v>
      </c>
      <c r="S994" s="11" t="s">
        <v>2823</v>
      </c>
      <c r="T994" s="90" t="s">
        <v>1</v>
      </c>
      <c r="U994" s="89"/>
      <c r="V994" s="51">
        <v>46027</v>
      </c>
      <c r="W994" s="49" t="s">
        <v>1610</v>
      </c>
    </row>
    <row r="995" spans="1:23" ht="13" customHeight="1" x14ac:dyDescent="0.35">
      <c r="A995" s="11">
        <v>990</v>
      </c>
      <c r="B995" s="47">
        <v>203965605</v>
      </c>
      <c r="C995" s="94" t="s">
        <v>1057</v>
      </c>
      <c r="D995" s="11" t="s">
        <v>1058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32</v>
      </c>
      <c r="K995" s="49" t="s">
        <v>76</v>
      </c>
      <c r="L995" s="49" t="s">
        <v>78</v>
      </c>
      <c r="M995" s="49" t="s">
        <v>92</v>
      </c>
      <c r="N995" s="48" t="s">
        <v>86</v>
      </c>
      <c r="O995" s="49" t="s">
        <v>37</v>
      </c>
      <c r="P995" s="11" t="s">
        <v>80</v>
      </c>
      <c r="Q995" s="11" t="s">
        <v>99</v>
      </c>
      <c r="R995" s="11" t="s">
        <v>640</v>
      </c>
      <c r="S995" s="11" t="s">
        <v>2824</v>
      </c>
      <c r="T995" s="90" t="s">
        <v>1</v>
      </c>
      <c r="U995" s="89"/>
      <c r="V995" s="51">
        <v>45544</v>
      </c>
      <c r="W995" s="49" t="s">
        <v>1610</v>
      </c>
    </row>
    <row r="996" spans="1:23" ht="13" customHeight="1" x14ac:dyDescent="0.35">
      <c r="A996" s="11">
        <v>991</v>
      </c>
      <c r="B996" s="47">
        <v>203965410</v>
      </c>
      <c r="C996" s="94" t="s">
        <v>1059</v>
      </c>
      <c r="D996" s="11" t="s">
        <v>1060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95</v>
      </c>
      <c r="M996" s="49" t="s">
        <v>77</v>
      </c>
      <c r="N996" s="48" t="s">
        <v>79</v>
      </c>
      <c r="O996" s="49" t="s">
        <v>37</v>
      </c>
      <c r="P996" s="11" t="s">
        <v>80</v>
      </c>
      <c r="Q996" s="11" t="s">
        <v>81</v>
      </c>
      <c r="R996" s="49" t="s">
        <v>648</v>
      </c>
      <c r="S996" s="11" t="s">
        <v>1842</v>
      </c>
      <c r="T996" s="90" t="s">
        <v>10</v>
      </c>
      <c r="U996" s="89"/>
      <c r="V996" s="51">
        <v>45544</v>
      </c>
      <c r="W996" s="49" t="s">
        <v>1610</v>
      </c>
    </row>
    <row r="997" spans="1:23" ht="13" customHeight="1" x14ac:dyDescent="0.35">
      <c r="A997" s="11">
        <v>992</v>
      </c>
      <c r="B997" s="47">
        <v>202419640</v>
      </c>
      <c r="C997" s="94" t="s">
        <v>1061</v>
      </c>
      <c r="D997" s="11" t="s">
        <v>1062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39</v>
      </c>
      <c r="K997" s="49" t="s">
        <v>76</v>
      </c>
      <c r="L997" s="49" t="s">
        <v>78</v>
      </c>
      <c r="M997" s="49" t="s">
        <v>92</v>
      </c>
      <c r="N997" s="48" t="s">
        <v>86</v>
      </c>
      <c r="O997" s="49" t="s">
        <v>37</v>
      </c>
      <c r="P997" s="11" t="s">
        <v>80</v>
      </c>
      <c r="Q997" s="11" t="s">
        <v>87</v>
      </c>
      <c r="R997" s="11" t="s">
        <v>632</v>
      </c>
      <c r="S997" s="11" t="s">
        <v>633</v>
      </c>
      <c r="T997" s="90" t="s">
        <v>1</v>
      </c>
      <c r="U997" s="90"/>
      <c r="V997" s="51">
        <v>45561</v>
      </c>
      <c r="W997" s="49" t="s">
        <v>1611</v>
      </c>
    </row>
    <row r="998" spans="1:23" ht="13" customHeight="1" x14ac:dyDescent="0.35">
      <c r="A998" s="11">
        <v>993</v>
      </c>
      <c r="B998" s="47">
        <v>204138114</v>
      </c>
      <c r="C998" s="94" t="s">
        <v>1063</v>
      </c>
      <c r="D998" s="11" t="s">
        <v>1064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32</v>
      </c>
      <c r="K998" s="49" t="s">
        <v>76</v>
      </c>
      <c r="L998" s="49" t="s">
        <v>95</v>
      </c>
      <c r="M998" s="49" t="s">
        <v>77</v>
      </c>
      <c r="N998" s="48" t="s">
        <v>86</v>
      </c>
      <c r="O998" s="49" t="s">
        <v>37</v>
      </c>
      <c r="P998" s="11" t="s">
        <v>80</v>
      </c>
      <c r="Q998" s="11" t="s">
        <v>87</v>
      </c>
      <c r="R998" s="11" t="s">
        <v>632</v>
      </c>
      <c r="S998" s="11" t="s">
        <v>633</v>
      </c>
      <c r="T998" s="90" t="s">
        <v>10</v>
      </c>
      <c r="U998" s="91"/>
      <c r="V998" s="51">
        <v>45565</v>
      </c>
      <c r="W998" s="49" t="s">
        <v>1610</v>
      </c>
    </row>
    <row r="999" spans="1:23" ht="13" customHeight="1" x14ac:dyDescent="0.35">
      <c r="A999" s="11">
        <v>994</v>
      </c>
      <c r="B999" s="47">
        <v>203965009</v>
      </c>
      <c r="C999" s="94" t="s">
        <v>1065</v>
      </c>
      <c r="D999" s="11" t="s">
        <v>1066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39</v>
      </c>
      <c r="K999" s="49" t="s">
        <v>76</v>
      </c>
      <c r="L999" s="49" t="s">
        <v>77</v>
      </c>
      <c r="M999" s="49" t="s">
        <v>78</v>
      </c>
      <c r="N999" s="48" t="s">
        <v>86</v>
      </c>
      <c r="O999" s="49" t="s">
        <v>37</v>
      </c>
      <c r="P999" s="11" t="s">
        <v>80</v>
      </c>
      <c r="Q999" s="11" t="s">
        <v>99</v>
      </c>
      <c r="R999" s="49" t="s">
        <v>628</v>
      </c>
      <c r="S999" s="11" t="s">
        <v>629</v>
      </c>
      <c r="T999" s="90" t="s">
        <v>10</v>
      </c>
      <c r="U999" s="91"/>
      <c r="V999" s="51">
        <v>45544</v>
      </c>
      <c r="W999" s="49" t="s">
        <v>1610</v>
      </c>
    </row>
    <row r="1000" spans="1:23" ht="13" customHeight="1" x14ac:dyDescent="0.35">
      <c r="A1000" s="11">
        <v>995</v>
      </c>
      <c r="B1000" s="97">
        <v>205280538</v>
      </c>
      <c r="C1000" s="47" t="s">
        <v>2914</v>
      </c>
      <c r="D1000" s="94" t="s">
        <v>2915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39</v>
      </c>
      <c r="K1000" s="49" t="s">
        <v>76</v>
      </c>
      <c r="L1000" s="49" t="s">
        <v>77</v>
      </c>
      <c r="M1000" s="49" t="s">
        <v>78</v>
      </c>
      <c r="N1000" s="49" t="s">
        <v>89</v>
      </c>
      <c r="O1000" s="49" t="s">
        <v>37</v>
      </c>
      <c r="P1000" s="11" t="s">
        <v>80</v>
      </c>
      <c r="Q1000" s="11" t="s">
        <v>96</v>
      </c>
      <c r="R1000" s="111" t="s">
        <v>628</v>
      </c>
      <c r="S1000" s="11" t="s">
        <v>629</v>
      </c>
      <c r="T1000" s="90" t="s">
        <v>10</v>
      </c>
      <c r="U1000" s="90"/>
      <c r="V1000" s="51">
        <v>46048</v>
      </c>
      <c r="W1000" s="49" t="s">
        <v>1609</v>
      </c>
    </row>
    <row r="1001" spans="1:23" ht="13" customHeight="1" x14ac:dyDescent="0.35">
      <c r="A1001" s="11">
        <v>996</v>
      </c>
      <c r="B1001" s="47">
        <v>204053439</v>
      </c>
      <c r="C1001" s="94" t="s">
        <v>1067</v>
      </c>
      <c r="D1001" s="11" t="s">
        <v>1068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32</v>
      </c>
      <c r="K1001" s="49" t="s">
        <v>76</v>
      </c>
      <c r="L1001" s="49" t="s">
        <v>95</v>
      </c>
      <c r="M1001" s="49" t="s">
        <v>77</v>
      </c>
      <c r="N1001" s="48" t="s">
        <v>86</v>
      </c>
      <c r="O1001" s="49" t="s">
        <v>37</v>
      </c>
      <c r="P1001" s="11" t="s">
        <v>80</v>
      </c>
      <c r="Q1001" s="11" t="s">
        <v>99</v>
      </c>
      <c r="R1001" s="49" t="s">
        <v>648</v>
      </c>
      <c r="S1001" s="11" t="s">
        <v>1842</v>
      </c>
      <c r="T1001" s="90" t="s">
        <v>10</v>
      </c>
      <c r="U1001" s="89"/>
      <c r="V1001" s="51">
        <v>45558</v>
      </c>
      <c r="W1001" s="49" t="s">
        <v>1609</v>
      </c>
    </row>
    <row r="1002" spans="1:23" ht="13" customHeight="1" x14ac:dyDescent="0.35">
      <c r="A1002" s="11">
        <v>997</v>
      </c>
      <c r="B1002" s="47">
        <v>203800778</v>
      </c>
      <c r="C1002" s="94" t="s">
        <v>1069</v>
      </c>
      <c r="D1002" s="11" t="s">
        <v>1070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78</v>
      </c>
      <c r="M1002" s="49" t="s">
        <v>92</v>
      </c>
      <c r="N1002" s="48" t="s">
        <v>86</v>
      </c>
      <c r="O1002" s="49" t="s">
        <v>37</v>
      </c>
      <c r="P1002" s="11" t="s">
        <v>80</v>
      </c>
      <c r="Q1002" s="11" t="s">
        <v>90</v>
      </c>
      <c r="R1002" s="49" t="s">
        <v>628</v>
      </c>
      <c r="S1002" s="11" t="s">
        <v>629</v>
      </c>
      <c r="T1002" s="90" t="s">
        <v>1</v>
      </c>
      <c r="U1002" s="91"/>
      <c r="V1002" s="51">
        <v>45684</v>
      </c>
      <c r="W1002" s="49" t="s">
        <v>1609</v>
      </c>
    </row>
    <row r="1003" spans="1:23" ht="13" customHeight="1" x14ac:dyDescent="0.35">
      <c r="A1003" s="11">
        <v>998</v>
      </c>
      <c r="B1003" s="47">
        <v>203965008</v>
      </c>
      <c r="C1003" s="94" t="s">
        <v>1071</v>
      </c>
      <c r="D1003" s="11" t="s">
        <v>1072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95</v>
      </c>
      <c r="M1003" s="49" t="s">
        <v>77</v>
      </c>
      <c r="N1003" s="48" t="s">
        <v>86</v>
      </c>
      <c r="O1003" s="49" t="s">
        <v>37</v>
      </c>
      <c r="P1003" s="11" t="s">
        <v>80</v>
      </c>
      <c r="Q1003" s="11" t="s">
        <v>99</v>
      </c>
      <c r="R1003" s="49" t="s">
        <v>648</v>
      </c>
      <c r="S1003" s="11" t="s">
        <v>1842</v>
      </c>
      <c r="T1003" s="90" t="s">
        <v>10</v>
      </c>
      <c r="U1003" s="89"/>
      <c r="V1003" s="51">
        <v>45544</v>
      </c>
      <c r="W1003" s="49" t="s">
        <v>1610</v>
      </c>
    </row>
    <row r="1004" spans="1:23" ht="13" customHeight="1" x14ac:dyDescent="0.35">
      <c r="A1004" s="11">
        <v>999</v>
      </c>
      <c r="B1004" s="47">
        <v>203880400</v>
      </c>
      <c r="C1004" s="94" t="s">
        <v>1073</v>
      </c>
      <c r="D1004" s="11" t="s">
        <v>1074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39</v>
      </c>
      <c r="K1004" s="49" t="s">
        <v>76</v>
      </c>
      <c r="L1004" s="49" t="s">
        <v>92</v>
      </c>
      <c r="M1004" s="49" t="s">
        <v>84</v>
      </c>
      <c r="N1004" s="48" t="s">
        <v>79</v>
      </c>
      <c r="O1004" s="49" t="s">
        <v>37</v>
      </c>
      <c r="P1004" s="11" t="s">
        <v>80</v>
      </c>
      <c r="Q1004" s="11" t="s">
        <v>81</v>
      </c>
      <c r="R1004" s="49" t="s">
        <v>648</v>
      </c>
      <c r="S1004" s="11" t="s">
        <v>1842</v>
      </c>
      <c r="T1004" s="90" t="s">
        <v>1</v>
      </c>
      <c r="U1004" s="90"/>
      <c r="V1004" s="51">
        <v>45530</v>
      </c>
      <c r="W1004" s="49" t="s">
        <v>1610</v>
      </c>
    </row>
    <row r="1005" spans="1:23" ht="13" customHeight="1" x14ac:dyDescent="0.35">
      <c r="A1005" s="11">
        <v>1000</v>
      </c>
      <c r="B1005" s="47">
        <v>206886735</v>
      </c>
      <c r="C1005" s="94" t="s">
        <v>1901</v>
      </c>
      <c r="D1005" s="11" t="s">
        <v>1902</v>
      </c>
      <c r="E1005" s="11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32</v>
      </c>
      <c r="K1005" s="49" t="s">
        <v>76</v>
      </c>
      <c r="L1005" s="49" t="s">
        <v>85</v>
      </c>
      <c r="M1005" s="49" t="s">
        <v>88</v>
      </c>
      <c r="N1005" s="49" t="s">
        <v>89</v>
      </c>
      <c r="O1005" s="49" t="s">
        <v>37</v>
      </c>
      <c r="P1005" s="11" t="s">
        <v>80</v>
      </c>
      <c r="Q1005" s="11" t="s">
        <v>96</v>
      </c>
      <c r="R1005" s="11" t="s">
        <v>1087</v>
      </c>
      <c r="S1005" s="11" t="s">
        <v>2823</v>
      </c>
      <c r="T1005" s="90" t="s">
        <v>1</v>
      </c>
      <c r="U1005" s="90"/>
      <c r="V1005" s="51">
        <v>46027</v>
      </c>
      <c r="W1005" s="49" t="s">
        <v>1610</v>
      </c>
    </row>
    <row r="1006" spans="1:23" ht="13" customHeight="1" x14ac:dyDescent="0.35">
      <c r="A1006" s="11">
        <v>1001</v>
      </c>
      <c r="B1006" s="47">
        <v>205997633</v>
      </c>
      <c r="C1006" s="94" t="s">
        <v>1075</v>
      </c>
      <c r="D1006" s="11" t="s">
        <v>1076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88</v>
      </c>
      <c r="M1006" s="49" t="s">
        <v>95</v>
      </c>
      <c r="N1006" s="48" t="s">
        <v>79</v>
      </c>
      <c r="O1006" s="49" t="s">
        <v>37</v>
      </c>
      <c r="P1006" s="11" t="s">
        <v>80</v>
      </c>
      <c r="Q1006" s="11" t="s">
        <v>81</v>
      </c>
      <c r="R1006" s="49" t="s">
        <v>648</v>
      </c>
      <c r="S1006" s="11" t="s">
        <v>1842</v>
      </c>
      <c r="T1006" s="90" t="s">
        <v>7</v>
      </c>
      <c r="U1006" s="90" t="s">
        <v>3004</v>
      </c>
      <c r="V1006" s="51">
        <v>45915</v>
      </c>
      <c r="W1006" s="49" t="s">
        <v>1610</v>
      </c>
    </row>
    <row r="1007" spans="1:23" ht="13" customHeight="1" x14ac:dyDescent="0.35">
      <c r="A1007" s="11">
        <v>1002</v>
      </c>
      <c r="B1007" s="47">
        <v>113433097</v>
      </c>
      <c r="C1007" s="94" t="s">
        <v>1077</v>
      </c>
      <c r="D1007" s="11" t="s">
        <v>1078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32</v>
      </c>
      <c r="K1007" s="49" t="s">
        <v>76</v>
      </c>
      <c r="L1007" s="49" t="s">
        <v>84</v>
      </c>
      <c r="M1007" s="49" t="s">
        <v>85</v>
      </c>
      <c r="N1007" s="48" t="s">
        <v>86</v>
      </c>
      <c r="O1007" s="49" t="s">
        <v>37</v>
      </c>
      <c r="P1007" s="11" t="s">
        <v>80</v>
      </c>
      <c r="Q1007" s="11" t="s">
        <v>99</v>
      </c>
      <c r="R1007" s="11" t="s">
        <v>1087</v>
      </c>
      <c r="S1007" s="11" t="s">
        <v>2823</v>
      </c>
      <c r="T1007" s="90" t="s">
        <v>7</v>
      </c>
      <c r="U1007" s="90" t="s">
        <v>3004</v>
      </c>
      <c r="V1007" s="51">
        <v>45537</v>
      </c>
      <c r="W1007" s="49" t="s">
        <v>1610</v>
      </c>
    </row>
    <row r="1008" spans="1:23" ht="13" customHeight="1" x14ac:dyDescent="0.35">
      <c r="A1008" s="11">
        <v>1003</v>
      </c>
      <c r="B1008" s="47">
        <v>205845295</v>
      </c>
      <c r="C1008" s="94" t="s">
        <v>1079</v>
      </c>
      <c r="D1008" s="11" t="s">
        <v>1080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39</v>
      </c>
      <c r="K1008" s="49" t="s">
        <v>76</v>
      </c>
      <c r="L1008" s="49" t="s">
        <v>84</v>
      </c>
      <c r="M1008" s="49" t="s">
        <v>85</v>
      </c>
      <c r="N1008" s="49" t="s">
        <v>89</v>
      </c>
      <c r="O1008" s="49" t="s">
        <v>37</v>
      </c>
      <c r="P1008" s="11" t="s">
        <v>80</v>
      </c>
      <c r="Q1008" s="11" t="s">
        <v>90</v>
      </c>
      <c r="R1008" s="49" t="s">
        <v>628</v>
      </c>
      <c r="S1008" s="11" t="s">
        <v>629</v>
      </c>
      <c r="T1008" s="90" t="s">
        <v>1</v>
      </c>
      <c r="U1008" s="89"/>
      <c r="V1008" s="51">
        <v>45894</v>
      </c>
      <c r="W1008" s="49" t="s">
        <v>1609</v>
      </c>
    </row>
    <row r="1009" spans="1:23" ht="13" customHeight="1" x14ac:dyDescent="0.35">
      <c r="A1009" s="11">
        <v>1004</v>
      </c>
      <c r="B1009" s="47">
        <v>203850876</v>
      </c>
      <c r="C1009" s="94" t="s">
        <v>2451</v>
      </c>
      <c r="D1009" s="11" t="s">
        <v>2452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32</v>
      </c>
      <c r="K1009" s="49" t="s">
        <v>76</v>
      </c>
      <c r="L1009" s="49" t="s">
        <v>95</v>
      </c>
      <c r="M1009" s="49" t="s">
        <v>77</v>
      </c>
      <c r="N1009" s="48" t="s">
        <v>86</v>
      </c>
      <c r="O1009" s="49" t="s">
        <v>37</v>
      </c>
      <c r="P1009" s="11" t="s">
        <v>80</v>
      </c>
      <c r="Q1009" s="11" t="s">
        <v>90</v>
      </c>
      <c r="R1009" s="11" t="s">
        <v>1087</v>
      </c>
      <c r="S1009" s="11" t="s">
        <v>2823</v>
      </c>
      <c r="T1009" s="90" t="s">
        <v>10</v>
      </c>
      <c r="U1009" s="92"/>
      <c r="V1009" s="51">
        <v>45524</v>
      </c>
      <c r="W1009" s="49" t="s">
        <v>1610</v>
      </c>
    </row>
    <row r="1010" spans="1:23" ht="13" customHeight="1" x14ac:dyDescent="0.35">
      <c r="A1010" s="11">
        <v>1005</v>
      </c>
      <c r="B1010" s="47">
        <v>206851159</v>
      </c>
      <c r="C1010" s="94" t="s">
        <v>1843</v>
      </c>
      <c r="D1010" s="47" t="s">
        <v>1844</v>
      </c>
      <c r="E1010" s="47" t="s">
        <v>31</v>
      </c>
      <c r="F1010" s="48" t="s">
        <v>74</v>
      </c>
      <c r="G1010" s="11" t="s">
        <v>64</v>
      </c>
      <c r="H1010" s="11" t="s">
        <v>75</v>
      </c>
      <c r="I1010" s="47">
        <v>1299</v>
      </c>
      <c r="J1010" s="49" t="s">
        <v>32</v>
      </c>
      <c r="K1010" s="49" t="s">
        <v>76</v>
      </c>
      <c r="L1010" s="49" t="s">
        <v>88</v>
      </c>
      <c r="M1010" s="49" t="s">
        <v>95</v>
      </c>
      <c r="N1010" s="49" t="s">
        <v>89</v>
      </c>
      <c r="O1010" s="49" t="s">
        <v>37</v>
      </c>
      <c r="P1010" s="11" t="s">
        <v>80</v>
      </c>
      <c r="Q1010" s="47" t="s">
        <v>90</v>
      </c>
      <c r="R1010" s="11" t="s">
        <v>1087</v>
      </c>
      <c r="S1010" s="11" t="s">
        <v>2823</v>
      </c>
      <c r="T1010" s="90" t="s">
        <v>1</v>
      </c>
      <c r="U1010" s="92"/>
      <c r="V1010" s="51">
        <v>46013</v>
      </c>
      <c r="W1010" s="49" t="s">
        <v>1610</v>
      </c>
    </row>
    <row r="1011" spans="1:23" ht="13" customHeight="1" x14ac:dyDescent="0.35">
      <c r="A1011" s="11">
        <v>1006</v>
      </c>
      <c r="B1011" s="47">
        <v>204013683</v>
      </c>
      <c r="C1011" s="94" t="s">
        <v>1081</v>
      </c>
      <c r="D1011" s="79" t="s">
        <v>1082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39</v>
      </c>
      <c r="K1011" s="49" t="s">
        <v>76</v>
      </c>
      <c r="L1011" s="49" t="s">
        <v>88</v>
      </c>
      <c r="M1011" s="49" t="s">
        <v>95</v>
      </c>
      <c r="N1011" s="48" t="s">
        <v>79</v>
      </c>
      <c r="O1011" s="49" t="s">
        <v>37</v>
      </c>
      <c r="P1011" s="11" t="s">
        <v>80</v>
      </c>
      <c r="Q1011" s="74" t="s">
        <v>81</v>
      </c>
      <c r="R1011" s="11" t="s">
        <v>1087</v>
      </c>
      <c r="S1011" s="11" t="s">
        <v>2823</v>
      </c>
      <c r="T1011" s="90" t="s">
        <v>1</v>
      </c>
      <c r="U1011" s="107"/>
      <c r="V1011" s="51">
        <v>45551</v>
      </c>
      <c r="W1011" s="49" t="s">
        <v>1609</v>
      </c>
    </row>
    <row r="1012" spans="1:23" ht="13" customHeight="1" x14ac:dyDescent="0.35">
      <c r="A1012" s="11">
        <v>1007</v>
      </c>
      <c r="B1012" s="47">
        <v>205872523</v>
      </c>
      <c r="C1012" s="94" t="s">
        <v>1083</v>
      </c>
      <c r="D1012" s="79" t="s">
        <v>1084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39</v>
      </c>
      <c r="K1012" s="49" t="s">
        <v>76</v>
      </c>
      <c r="L1012" s="49" t="s">
        <v>84</v>
      </c>
      <c r="M1012" s="49" t="s">
        <v>85</v>
      </c>
      <c r="N1012" s="49" t="s">
        <v>89</v>
      </c>
      <c r="O1012" s="49" t="s">
        <v>37</v>
      </c>
      <c r="P1012" s="11" t="s">
        <v>80</v>
      </c>
      <c r="Q1012" s="11" t="s">
        <v>90</v>
      </c>
      <c r="R1012" s="11" t="s">
        <v>632</v>
      </c>
      <c r="S1012" s="11" t="s">
        <v>633</v>
      </c>
      <c r="T1012" s="90" t="s">
        <v>1</v>
      </c>
      <c r="U1012" s="90"/>
      <c r="V1012" s="51">
        <v>45894</v>
      </c>
      <c r="W1012" s="49" t="s">
        <v>1610</v>
      </c>
    </row>
    <row r="1013" spans="1:23" ht="13" customHeight="1" x14ac:dyDescent="0.35">
      <c r="A1013" s="11">
        <v>1008</v>
      </c>
      <c r="B1013" s="47">
        <v>113090848</v>
      </c>
      <c r="C1013" s="94" t="s">
        <v>1085</v>
      </c>
      <c r="D1013" s="79" t="s">
        <v>1086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39</v>
      </c>
      <c r="K1013" s="49" t="s">
        <v>76</v>
      </c>
      <c r="L1013" s="49" t="s">
        <v>78</v>
      </c>
      <c r="M1013" s="49" t="s">
        <v>92</v>
      </c>
      <c r="N1013" s="48" t="s">
        <v>86</v>
      </c>
      <c r="O1013" s="49" t="s">
        <v>37</v>
      </c>
      <c r="P1013" s="11" t="s">
        <v>80</v>
      </c>
      <c r="Q1013" s="11" t="s">
        <v>87</v>
      </c>
      <c r="R1013" s="11" t="s">
        <v>632</v>
      </c>
      <c r="S1013" s="11" t="s">
        <v>633</v>
      </c>
      <c r="T1013" s="90" t="s">
        <v>1</v>
      </c>
      <c r="U1013" s="91"/>
      <c r="V1013" s="51">
        <v>45586</v>
      </c>
      <c r="W1013" s="49" t="s">
        <v>1609</v>
      </c>
    </row>
    <row r="1014" spans="1:23" ht="13" customHeight="1" x14ac:dyDescent="0.35">
      <c r="A1014" s="11">
        <v>1009</v>
      </c>
      <c r="B1014" s="47">
        <v>109808062</v>
      </c>
      <c r="C1014" s="94" t="s">
        <v>1088</v>
      </c>
      <c r="D1014" s="79" t="s">
        <v>1089</v>
      </c>
      <c r="E1014" s="48" t="s">
        <v>34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39</v>
      </c>
      <c r="K1014" s="49" t="s">
        <v>76</v>
      </c>
      <c r="L1014" s="49" t="s">
        <v>95</v>
      </c>
      <c r="M1014" s="49" t="s">
        <v>77</v>
      </c>
      <c r="N1014" s="48" t="s">
        <v>108</v>
      </c>
      <c r="O1014" s="49" t="s">
        <v>37</v>
      </c>
      <c r="P1014" s="11" t="s">
        <v>80</v>
      </c>
      <c r="Q1014" s="11" t="s">
        <v>98</v>
      </c>
      <c r="R1014" s="49" t="s">
        <v>648</v>
      </c>
      <c r="S1014" s="11" t="s">
        <v>1842</v>
      </c>
      <c r="T1014" s="90" t="s">
        <v>10</v>
      </c>
      <c r="U1014" s="89"/>
      <c r="V1014" s="51">
        <v>44782</v>
      </c>
      <c r="W1014" s="49" t="s">
        <v>1611</v>
      </c>
    </row>
    <row r="1015" spans="1:23" ht="13" customHeight="1" x14ac:dyDescent="0.35">
      <c r="A1015" s="11">
        <v>1010</v>
      </c>
      <c r="B1015" s="47">
        <v>206850965</v>
      </c>
      <c r="C1015" s="94" t="s">
        <v>1853</v>
      </c>
      <c r="D1015" s="100" t="s">
        <v>1854</v>
      </c>
      <c r="E1015" s="47" t="s">
        <v>31</v>
      </c>
      <c r="F1015" s="48" t="s">
        <v>74</v>
      </c>
      <c r="G1015" s="11" t="s">
        <v>64</v>
      </c>
      <c r="H1015" s="11" t="s">
        <v>75</v>
      </c>
      <c r="I1015" s="47">
        <v>1299</v>
      </c>
      <c r="J1015" s="49" t="s">
        <v>32</v>
      </c>
      <c r="K1015" s="49" t="s">
        <v>76</v>
      </c>
      <c r="L1015" s="49" t="s">
        <v>95</v>
      </c>
      <c r="M1015" s="49" t="s">
        <v>77</v>
      </c>
      <c r="N1015" s="49" t="s">
        <v>89</v>
      </c>
      <c r="O1015" s="49" t="s">
        <v>37</v>
      </c>
      <c r="P1015" s="11" t="s">
        <v>80</v>
      </c>
      <c r="Q1015" s="78" t="s">
        <v>90</v>
      </c>
      <c r="R1015" s="11" t="s">
        <v>2955</v>
      </c>
      <c r="S1015" s="11" t="s">
        <v>2956</v>
      </c>
      <c r="T1015" s="90" t="s">
        <v>10</v>
      </c>
      <c r="U1015" s="91"/>
      <c r="V1015" s="51">
        <v>46013</v>
      </c>
      <c r="W1015" s="49" t="s">
        <v>1610</v>
      </c>
    </row>
    <row r="1016" spans="1:23" ht="13" customHeight="1" x14ac:dyDescent="0.35">
      <c r="A1016" s="11">
        <v>1011</v>
      </c>
      <c r="B1016" s="47">
        <v>113090891</v>
      </c>
      <c r="C1016" s="94" t="s">
        <v>1090</v>
      </c>
      <c r="D1016" s="79" t="s">
        <v>1091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32</v>
      </c>
      <c r="K1016" s="49" t="s">
        <v>76</v>
      </c>
      <c r="L1016" s="49" t="s">
        <v>84</v>
      </c>
      <c r="M1016" s="49" t="s">
        <v>85</v>
      </c>
      <c r="N1016" s="48" t="s">
        <v>86</v>
      </c>
      <c r="O1016" s="49" t="s">
        <v>37</v>
      </c>
      <c r="P1016" s="11" t="s">
        <v>80</v>
      </c>
      <c r="Q1016" s="11" t="s">
        <v>87</v>
      </c>
      <c r="R1016" s="49" t="s">
        <v>648</v>
      </c>
      <c r="S1016" s="11" t="s">
        <v>1842</v>
      </c>
      <c r="T1016" s="90" t="s">
        <v>1</v>
      </c>
      <c r="U1016" s="89"/>
      <c r="V1016" s="51">
        <v>45589</v>
      </c>
      <c r="W1016" s="49" t="s">
        <v>1610</v>
      </c>
    </row>
    <row r="1017" spans="1:23" ht="13" customHeight="1" x14ac:dyDescent="0.35">
      <c r="A1017" s="11">
        <v>1012</v>
      </c>
      <c r="B1017" s="47">
        <v>103909188</v>
      </c>
      <c r="C1017" s="94" t="s">
        <v>1092</v>
      </c>
      <c r="D1017" s="79" t="s">
        <v>1093</v>
      </c>
      <c r="E1017" s="48" t="s">
        <v>34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32</v>
      </c>
      <c r="K1017" s="49" t="s">
        <v>76</v>
      </c>
      <c r="L1017" s="49" t="s">
        <v>85</v>
      </c>
      <c r="M1017" s="49" t="s">
        <v>88</v>
      </c>
      <c r="N1017" s="48" t="s">
        <v>97</v>
      </c>
      <c r="O1017" s="49" t="s">
        <v>37</v>
      </c>
      <c r="P1017" s="11" t="s">
        <v>80</v>
      </c>
      <c r="Q1017" s="11" t="s">
        <v>98</v>
      </c>
      <c r="R1017" s="11" t="s">
        <v>1087</v>
      </c>
      <c r="S1017" s="11" t="s">
        <v>2823</v>
      </c>
      <c r="T1017" s="90" t="s">
        <v>1</v>
      </c>
      <c r="U1017" s="91"/>
      <c r="V1017" s="51">
        <v>44067</v>
      </c>
      <c r="W1017" s="49" t="s">
        <v>1614</v>
      </c>
    </row>
    <row r="1018" spans="1:23" ht="13" customHeight="1" x14ac:dyDescent="0.35">
      <c r="A1018" s="11">
        <v>1013</v>
      </c>
      <c r="B1018" s="97">
        <v>203736256</v>
      </c>
      <c r="C1018" s="47" t="s">
        <v>2916</v>
      </c>
      <c r="D1018" s="101" t="s">
        <v>2917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39</v>
      </c>
      <c r="K1018" s="49" t="s">
        <v>76</v>
      </c>
      <c r="L1018" s="49" t="s">
        <v>77</v>
      </c>
      <c r="M1018" s="49" t="s">
        <v>78</v>
      </c>
      <c r="N1018" s="49" t="s">
        <v>89</v>
      </c>
      <c r="O1018" s="49" t="s">
        <v>37</v>
      </c>
      <c r="P1018" s="11" t="s">
        <v>80</v>
      </c>
      <c r="Q1018" s="11" t="s">
        <v>90</v>
      </c>
      <c r="R1018" s="11" t="s">
        <v>628</v>
      </c>
      <c r="S1018" s="11" t="s">
        <v>629</v>
      </c>
      <c r="T1018" s="90" t="s">
        <v>10</v>
      </c>
      <c r="U1018" s="89"/>
      <c r="V1018" s="51">
        <v>45691</v>
      </c>
      <c r="W1018" s="49" t="s">
        <v>1610</v>
      </c>
    </row>
    <row r="1019" spans="1:23" ht="13" customHeight="1" x14ac:dyDescent="0.35">
      <c r="A1019" s="11">
        <v>1014</v>
      </c>
      <c r="B1019" s="47">
        <v>107117479</v>
      </c>
      <c r="C1019" s="94" t="s">
        <v>1094</v>
      </c>
      <c r="D1019" s="79" t="s">
        <v>1095</v>
      </c>
      <c r="E1019" s="48" t="s">
        <v>34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39</v>
      </c>
      <c r="K1019" s="49" t="s">
        <v>76</v>
      </c>
      <c r="L1019" s="49" t="s">
        <v>78</v>
      </c>
      <c r="M1019" s="49" t="s">
        <v>92</v>
      </c>
      <c r="N1019" s="48" t="s">
        <v>97</v>
      </c>
      <c r="O1019" s="49" t="s">
        <v>37</v>
      </c>
      <c r="P1019" s="11" t="s">
        <v>80</v>
      </c>
      <c r="Q1019" s="11" t="s">
        <v>98</v>
      </c>
      <c r="R1019" s="49" t="s">
        <v>648</v>
      </c>
      <c r="S1019" s="47" t="s">
        <v>1842</v>
      </c>
      <c r="T1019" s="90" t="s">
        <v>1</v>
      </c>
      <c r="U1019" s="91"/>
      <c r="V1019" s="51">
        <v>44782</v>
      </c>
      <c r="W1019" s="49" t="s">
        <v>1614</v>
      </c>
    </row>
    <row r="1020" spans="1:23" ht="13" customHeight="1" x14ac:dyDescent="0.35">
      <c r="A1020" s="11">
        <v>1015</v>
      </c>
      <c r="B1020" s="47">
        <v>203908331</v>
      </c>
      <c r="C1020" s="94" t="s">
        <v>1096</v>
      </c>
      <c r="D1020" s="79" t="s">
        <v>1097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39</v>
      </c>
      <c r="K1020" s="49" t="s">
        <v>76</v>
      </c>
      <c r="L1020" s="49" t="s">
        <v>92</v>
      </c>
      <c r="M1020" s="49" t="s">
        <v>84</v>
      </c>
      <c r="N1020" s="48" t="s">
        <v>86</v>
      </c>
      <c r="O1020" s="49" t="s">
        <v>37</v>
      </c>
      <c r="P1020" s="11" t="s">
        <v>80</v>
      </c>
      <c r="Q1020" s="11" t="s">
        <v>90</v>
      </c>
      <c r="R1020" s="11" t="s">
        <v>1087</v>
      </c>
      <c r="S1020" s="11" t="s">
        <v>2823</v>
      </c>
      <c r="T1020" s="90" t="s">
        <v>1</v>
      </c>
      <c r="U1020" s="89"/>
      <c r="V1020" s="51">
        <v>45537</v>
      </c>
      <c r="W1020" s="49" t="s">
        <v>1611</v>
      </c>
    </row>
    <row r="1021" spans="1:23" ht="13" customHeight="1" x14ac:dyDescent="0.35">
      <c r="A1021" s="11">
        <v>1016</v>
      </c>
      <c r="B1021" s="47">
        <v>204094492</v>
      </c>
      <c r="C1021" s="94" t="s">
        <v>1098</v>
      </c>
      <c r="D1021" s="79" t="s">
        <v>1099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95</v>
      </c>
      <c r="M1021" s="49" t="s">
        <v>77</v>
      </c>
      <c r="N1021" s="48" t="s">
        <v>86</v>
      </c>
      <c r="O1021" s="49" t="s">
        <v>37</v>
      </c>
      <c r="P1021" s="11" t="s">
        <v>80</v>
      </c>
      <c r="Q1021" s="11" t="s">
        <v>87</v>
      </c>
      <c r="R1021" s="49" t="s">
        <v>648</v>
      </c>
      <c r="S1021" s="11" t="s">
        <v>1842</v>
      </c>
      <c r="T1021" s="90" t="s">
        <v>10</v>
      </c>
      <c r="U1021" s="89"/>
      <c r="V1021" s="51">
        <v>45561</v>
      </c>
      <c r="W1021" s="49" t="s">
        <v>1610</v>
      </c>
    </row>
    <row r="1022" spans="1:23" ht="13" customHeight="1" x14ac:dyDescent="0.35">
      <c r="A1022" s="11">
        <v>1017</v>
      </c>
      <c r="B1022" s="47">
        <v>203850900</v>
      </c>
      <c r="C1022" s="94" t="s">
        <v>2516</v>
      </c>
      <c r="D1022" s="79" t="s">
        <v>2517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39</v>
      </c>
      <c r="K1022" s="49" t="s">
        <v>76</v>
      </c>
      <c r="L1022" s="49" t="s">
        <v>92</v>
      </c>
      <c r="M1022" s="49" t="s">
        <v>84</v>
      </c>
      <c r="N1022" s="48" t="s">
        <v>86</v>
      </c>
      <c r="O1022" s="49" t="s">
        <v>37</v>
      </c>
      <c r="P1022" s="11" t="s">
        <v>80</v>
      </c>
      <c r="Q1022" s="11" t="s">
        <v>90</v>
      </c>
      <c r="R1022" s="11" t="s">
        <v>1087</v>
      </c>
      <c r="S1022" s="11" t="s">
        <v>2823</v>
      </c>
      <c r="T1022" s="90" t="s">
        <v>1</v>
      </c>
      <c r="U1022" s="89"/>
      <c r="V1022" s="51">
        <v>45524</v>
      </c>
      <c r="W1022" s="49" t="s">
        <v>1610</v>
      </c>
    </row>
    <row r="1023" spans="1:23" ht="13" customHeight="1" x14ac:dyDescent="0.35">
      <c r="A1023" s="11">
        <v>1018</v>
      </c>
      <c r="B1023" s="47">
        <v>206926476</v>
      </c>
      <c r="C1023" s="94" t="s">
        <v>2076</v>
      </c>
      <c r="D1023" s="79" t="s">
        <v>2086</v>
      </c>
      <c r="E1023" s="48" t="s">
        <v>31</v>
      </c>
      <c r="F1023" s="48" t="s">
        <v>74</v>
      </c>
      <c r="G1023" s="48" t="s">
        <v>64</v>
      </c>
      <c r="H1023" s="48" t="s">
        <v>75</v>
      </c>
      <c r="I1023" s="11">
        <v>1299</v>
      </c>
      <c r="J1023" s="49" t="s">
        <v>32</v>
      </c>
      <c r="K1023" s="49" t="s">
        <v>76</v>
      </c>
      <c r="L1023" s="49" t="s">
        <v>88</v>
      </c>
      <c r="M1023" s="49" t="s">
        <v>95</v>
      </c>
      <c r="N1023" s="49" t="s">
        <v>89</v>
      </c>
      <c r="O1023" s="49" t="s">
        <v>37</v>
      </c>
      <c r="P1023" s="49" t="s">
        <v>80</v>
      </c>
      <c r="Q1023" s="49" t="s">
        <v>90</v>
      </c>
      <c r="R1023" s="49" t="s">
        <v>2825</v>
      </c>
      <c r="S1023" s="49" t="s">
        <v>643</v>
      </c>
      <c r="T1023" s="90" t="s">
        <v>1</v>
      </c>
      <c r="U1023" s="89"/>
      <c r="V1023" s="51">
        <v>46037</v>
      </c>
      <c r="W1023" s="49" t="s">
        <v>1610</v>
      </c>
    </row>
    <row r="1024" spans="1:23" ht="13" customHeight="1" x14ac:dyDescent="0.35">
      <c r="A1024" s="11">
        <v>1019</v>
      </c>
      <c r="B1024" s="47">
        <v>206853791</v>
      </c>
      <c r="C1024" s="94" t="s">
        <v>1931</v>
      </c>
      <c r="D1024" s="79" t="s">
        <v>1932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39</v>
      </c>
      <c r="K1024" s="49" t="s">
        <v>76</v>
      </c>
      <c r="L1024" s="49" t="s">
        <v>88</v>
      </c>
      <c r="M1024" s="49" t="s">
        <v>95</v>
      </c>
      <c r="N1024" s="49" t="s">
        <v>89</v>
      </c>
      <c r="O1024" s="48" t="s">
        <v>37</v>
      </c>
      <c r="P1024" s="48" t="s">
        <v>80</v>
      </c>
      <c r="Q1024" s="11" t="s">
        <v>90</v>
      </c>
      <c r="R1024" s="49" t="s">
        <v>648</v>
      </c>
      <c r="S1024" s="11" t="s">
        <v>1842</v>
      </c>
      <c r="T1024" s="90" t="s">
        <v>1</v>
      </c>
      <c r="U1024" s="89"/>
      <c r="V1024" s="51">
        <v>46030</v>
      </c>
      <c r="W1024" s="49" t="s">
        <v>1610</v>
      </c>
    </row>
    <row r="1025" spans="1:23" ht="13" customHeight="1" x14ac:dyDescent="0.35">
      <c r="A1025" s="11">
        <v>1020</v>
      </c>
      <c r="B1025" s="47">
        <v>203736773</v>
      </c>
      <c r="C1025" s="94" t="s">
        <v>1100</v>
      </c>
      <c r="D1025" s="79" t="s">
        <v>1101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32</v>
      </c>
      <c r="K1025" s="49" t="s">
        <v>76</v>
      </c>
      <c r="L1025" s="49" t="s">
        <v>92</v>
      </c>
      <c r="M1025" s="49" t="s">
        <v>84</v>
      </c>
      <c r="N1025" s="48" t="s">
        <v>86</v>
      </c>
      <c r="O1025" s="49" t="s">
        <v>37</v>
      </c>
      <c r="P1025" s="11" t="s">
        <v>80</v>
      </c>
      <c r="Q1025" s="11" t="s">
        <v>99</v>
      </c>
      <c r="R1025" s="49" t="s">
        <v>648</v>
      </c>
      <c r="S1025" s="11" t="s">
        <v>1842</v>
      </c>
      <c r="T1025" s="90" t="s">
        <v>7</v>
      </c>
      <c r="U1025" s="90" t="s">
        <v>3004</v>
      </c>
      <c r="V1025" s="51">
        <v>45502</v>
      </c>
      <c r="W1025" s="49" t="s">
        <v>1610</v>
      </c>
    </row>
    <row r="1026" spans="1:23" ht="13" customHeight="1" x14ac:dyDescent="0.35">
      <c r="A1026" s="11">
        <v>1021</v>
      </c>
      <c r="B1026" s="47">
        <v>204013730</v>
      </c>
      <c r="C1026" s="94" t="s">
        <v>1102</v>
      </c>
      <c r="D1026" s="79" t="s">
        <v>1103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32</v>
      </c>
      <c r="K1026" s="49" t="s">
        <v>76</v>
      </c>
      <c r="L1026" s="49" t="s">
        <v>85</v>
      </c>
      <c r="M1026" s="49" t="s">
        <v>88</v>
      </c>
      <c r="N1026" s="48" t="s">
        <v>79</v>
      </c>
      <c r="O1026" s="49" t="s">
        <v>37</v>
      </c>
      <c r="P1026" s="11" t="s">
        <v>80</v>
      </c>
      <c r="Q1026" s="11" t="s">
        <v>81</v>
      </c>
      <c r="R1026" s="11" t="s">
        <v>1087</v>
      </c>
      <c r="S1026" s="11" t="s">
        <v>2823</v>
      </c>
      <c r="T1026" s="90" t="s">
        <v>7</v>
      </c>
      <c r="U1026" s="90" t="s">
        <v>3004</v>
      </c>
      <c r="V1026" s="51">
        <v>45551</v>
      </c>
      <c r="W1026" s="49" t="s">
        <v>1610</v>
      </c>
    </row>
    <row r="1027" spans="1:23" ht="13" customHeight="1" x14ac:dyDescent="0.35">
      <c r="A1027" s="11">
        <v>1022</v>
      </c>
      <c r="B1027" s="47">
        <v>106268183</v>
      </c>
      <c r="C1027" s="94" t="s">
        <v>1104</v>
      </c>
      <c r="D1027" s="79" t="s">
        <v>1105</v>
      </c>
      <c r="E1027" s="48" t="s">
        <v>34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39</v>
      </c>
      <c r="K1027" s="49" t="s">
        <v>76</v>
      </c>
      <c r="L1027" s="49" t="s">
        <v>95</v>
      </c>
      <c r="M1027" s="49" t="s">
        <v>77</v>
      </c>
      <c r="N1027" s="48" t="s">
        <v>97</v>
      </c>
      <c r="O1027" s="49" t="s">
        <v>37</v>
      </c>
      <c r="P1027" s="11" t="s">
        <v>80</v>
      </c>
      <c r="Q1027" s="11" t="s">
        <v>98</v>
      </c>
      <c r="R1027" s="11" t="s">
        <v>2954</v>
      </c>
      <c r="S1027" s="11" t="s">
        <v>2822</v>
      </c>
      <c r="T1027" s="90" t="s">
        <v>10</v>
      </c>
      <c r="U1027" s="90"/>
      <c r="V1027" s="51">
        <v>44831</v>
      </c>
      <c r="W1027" s="49" t="s">
        <v>1614</v>
      </c>
    </row>
    <row r="1028" spans="1:23" ht="13" customHeight="1" x14ac:dyDescent="0.35">
      <c r="A1028" s="11">
        <v>1023</v>
      </c>
      <c r="B1028" s="47">
        <v>203965449</v>
      </c>
      <c r="C1028" s="94" t="s">
        <v>1106</v>
      </c>
      <c r="D1028" s="79" t="s">
        <v>1107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32</v>
      </c>
      <c r="K1028" s="49" t="s">
        <v>76</v>
      </c>
      <c r="L1028" s="49" t="s">
        <v>77</v>
      </c>
      <c r="M1028" s="49" t="s">
        <v>78</v>
      </c>
      <c r="N1028" s="48" t="s">
        <v>79</v>
      </c>
      <c r="O1028" s="49" t="s">
        <v>37</v>
      </c>
      <c r="P1028" s="11" t="s">
        <v>80</v>
      </c>
      <c r="Q1028" s="11" t="s">
        <v>81</v>
      </c>
      <c r="R1028" s="11" t="s">
        <v>640</v>
      </c>
      <c r="S1028" s="11" t="s">
        <v>2824</v>
      </c>
      <c r="T1028" s="90" t="s">
        <v>10</v>
      </c>
      <c r="U1028" s="89"/>
      <c r="V1028" s="51">
        <v>45544</v>
      </c>
      <c r="W1028" s="49" t="s">
        <v>1611</v>
      </c>
    </row>
    <row r="1029" spans="1:23" ht="13" customHeight="1" x14ac:dyDescent="0.35">
      <c r="A1029" s="11">
        <v>1024</v>
      </c>
      <c r="B1029" s="11">
        <v>205938163</v>
      </c>
      <c r="C1029" s="94" t="s">
        <v>2295</v>
      </c>
      <c r="D1029" s="79" t="s">
        <v>2296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39</v>
      </c>
      <c r="K1029" s="49" t="s">
        <v>76</v>
      </c>
      <c r="L1029" s="49" t="s">
        <v>78</v>
      </c>
      <c r="M1029" s="49" t="s">
        <v>92</v>
      </c>
      <c r="N1029" s="49" t="s">
        <v>89</v>
      </c>
      <c r="O1029" s="49" t="s">
        <v>37</v>
      </c>
      <c r="P1029" s="11" t="s">
        <v>80</v>
      </c>
      <c r="Q1029" s="2" t="s">
        <v>96</v>
      </c>
      <c r="R1029" s="11" t="s">
        <v>1087</v>
      </c>
      <c r="S1029" s="54" t="s">
        <v>2823</v>
      </c>
      <c r="T1029" s="90" t="s">
        <v>1</v>
      </c>
      <c r="U1029" s="91"/>
      <c r="V1029" s="51">
        <v>46051</v>
      </c>
      <c r="W1029" s="49" t="s">
        <v>1610</v>
      </c>
    </row>
    <row r="1030" spans="1:23" ht="13" customHeight="1" x14ac:dyDescent="0.35">
      <c r="A1030" s="11">
        <v>1025</v>
      </c>
      <c r="B1030" s="47">
        <v>205279080</v>
      </c>
      <c r="C1030" s="94" t="s">
        <v>2237</v>
      </c>
      <c r="D1030" s="11" t="s">
        <v>2238</v>
      </c>
      <c r="E1030" s="113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84</v>
      </c>
      <c r="M1030" s="49" t="s">
        <v>85</v>
      </c>
      <c r="N1030" s="49" t="s">
        <v>79</v>
      </c>
      <c r="O1030" s="49" t="s">
        <v>37</v>
      </c>
      <c r="P1030" s="49" t="s">
        <v>80</v>
      </c>
      <c r="Q1030" s="49" t="s">
        <v>96</v>
      </c>
      <c r="R1030" s="11" t="s">
        <v>632</v>
      </c>
      <c r="S1030" s="49" t="s">
        <v>633</v>
      </c>
      <c r="T1030" s="90" t="s">
        <v>1</v>
      </c>
      <c r="U1030" s="90"/>
      <c r="V1030" s="51">
        <v>46048</v>
      </c>
      <c r="W1030" s="49" t="s">
        <v>1610</v>
      </c>
    </row>
    <row r="1031" spans="1:23" ht="13" customHeight="1" x14ac:dyDescent="0.35">
      <c r="A1031" s="11">
        <v>1026</v>
      </c>
      <c r="B1031" s="47">
        <v>206004601</v>
      </c>
      <c r="C1031" s="94" t="s">
        <v>1108</v>
      </c>
      <c r="D1031" s="11" t="s">
        <v>1109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39</v>
      </c>
      <c r="K1031" s="49" t="s">
        <v>76</v>
      </c>
      <c r="L1031" s="49" t="s">
        <v>85</v>
      </c>
      <c r="M1031" s="49" t="s">
        <v>88</v>
      </c>
      <c r="N1031" s="49" t="s">
        <v>89</v>
      </c>
      <c r="O1031" s="49" t="s">
        <v>37</v>
      </c>
      <c r="P1031" s="11" t="s">
        <v>80</v>
      </c>
      <c r="Q1031" s="11" t="s">
        <v>81</v>
      </c>
      <c r="R1031" s="11" t="s">
        <v>640</v>
      </c>
      <c r="S1031" s="11" t="s">
        <v>2824</v>
      </c>
      <c r="T1031" s="90" t="s">
        <v>1</v>
      </c>
      <c r="U1031" s="90"/>
      <c r="V1031" s="51">
        <v>45915</v>
      </c>
      <c r="W1031" s="49" t="s">
        <v>1610</v>
      </c>
    </row>
    <row r="1032" spans="1:23" ht="13" customHeight="1" x14ac:dyDescent="0.35">
      <c r="A1032" s="11">
        <v>1027</v>
      </c>
      <c r="B1032" s="11">
        <v>205853892</v>
      </c>
      <c r="C1032" s="94" t="s">
        <v>2946</v>
      </c>
      <c r="D1032" s="11" t="s">
        <v>2947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78</v>
      </c>
      <c r="M1032" s="49" t="s">
        <v>92</v>
      </c>
      <c r="N1032" s="11" t="s">
        <v>89</v>
      </c>
      <c r="O1032" s="11" t="s">
        <v>37</v>
      </c>
      <c r="P1032" s="11" t="s">
        <v>80</v>
      </c>
      <c r="Q1032" s="11" t="s">
        <v>96</v>
      </c>
      <c r="R1032" s="11" t="s">
        <v>628</v>
      </c>
      <c r="S1032" s="11" t="s">
        <v>629</v>
      </c>
      <c r="T1032" s="90" t="s">
        <v>1</v>
      </c>
      <c r="U1032" s="90" t="s">
        <v>3006</v>
      </c>
      <c r="V1032" s="51">
        <v>46226</v>
      </c>
      <c r="W1032" s="11" t="s">
        <v>1610</v>
      </c>
    </row>
    <row r="1033" spans="1:23" ht="13" customHeight="1" x14ac:dyDescent="0.35">
      <c r="A1033" s="11">
        <v>1028</v>
      </c>
      <c r="B1033" s="47">
        <v>205997632</v>
      </c>
      <c r="C1033" s="94" t="s">
        <v>1110</v>
      </c>
      <c r="D1033" s="11" t="s">
        <v>1111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32</v>
      </c>
      <c r="K1033" s="49" t="s">
        <v>76</v>
      </c>
      <c r="L1033" s="49" t="s">
        <v>88</v>
      </c>
      <c r="M1033" s="49" t="s">
        <v>95</v>
      </c>
      <c r="N1033" s="48" t="s">
        <v>79</v>
      </c>
      <c r="O1033" s="49" t="s">
        <v>37</v>
      </c>
      <c r="P1033" s="11" t="s">
        <v>80</v>
      </c>
      <c r="Q1033" s="11" t="s">
        <v>81</v>
      </c>
      <c r="R1033" s="11" t="s">
        <v>2955</v>
      </c>
      <c r="S1033" s="11" t="s">
        <v>2956</v>
      </c>
      <c r="T1033" s="90" t="s">
        <v>1</v>
      </c>
      <c r="U1033" s="90"/>
      <c r="V1033" s="51">
        <v>45915</v>
      </c>
      <c r="W1033" s="49" t="s">
        <v>1610</v>
      </c>
    </row>
    <row r="1034" spans="1:23" ht="13" customHeight="1" x14ac:dyDescent="0.35">
      <c r="A1034" s="11">
        <v>1029</v>
      </c>
      <c r="B1034" s="47">
        <v>203965010</v>
      </c>
      <c r="C1034" s="94" t="s">
        <v>1112</v>
      </c>
      <c r="D1034" s="11" t="s">
        <v>1113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32</v>
      </c>
      <c r="K1034" s="49" t="s">
        <v>76</v>
      </c>
      <c r="L1034" s="49" t="s">
        <v>88</v>
      </c>
      <c r="M1034" s="49" t="s">
        <v>95</v>
      </c>
      <c r="N1034" s="48" t="s">
        <v>86</v>
      </c>
      <c r="O1034" s="49" t="s">
        <v>37</v>
      </c>
      <c r="P1034" s="11" t="s">
        <v>80</v>
      </c>
      <c r="Q1034" s="11" t="s">
        <v>99</v>
      </c>
      <c r="R1034" s="49" t="s">
        <v>648</v>
      </c>
      <c r="S1034" s="11" t="s">
        <v>1842</v>
      </c>
      <c r="T1034" s="90" t="s">
        <v>1</v>
      </c>
      <c r="U1034" s="89"/>
      <c r="V1034" s="51">
        <v>45544</v>
      </c>
      <c r="W1034" s="49" t="s">
        <v>1610</v>
      </c>
    </row>
    <row r="1035" spans="1:23" ht="13" customHeight="1" x14ac:dyDescent="0.35">
      <c r="A1035" s="11">
        <v>1030</v>
      </c>
      <c r="B1035" s="47">
        <v>203908908</v>
      </c>
      <c r="C1035" s="94" t="s">
        <v>1114</v>
      </c>
      <c r="D1035" s="11" t="s">
        <v>1115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39</v>
      </c>
      <c r="K1035" s="49" t="s">
        <v>76</v>
      </c>
      <c r="L1035" s="49" t="s">
        <v>92</v>
      </c>
      <c r="M1035" s="49" t="s">
        <v>84</v>
      </c>
      <c r="N1035" s="49" t="s">
        <v>89</v>
      </c>
      <c r="O1035" s="49" t="s">
        <v>37</v>
      </c>
      <c r="P1035" s="11" t="s">
        <v>80</v>
      </c>
      <c r="Q1035" s="11" t="s">
        <v>90</v>
      </c>
      <c r="R1035" s="11" t="s">
        <v>1087</v>
      </c>
      <c r="S1035" s="11" t="s">
        <v>2823</v>
      </c>
      <c r="T1035" s="90" t="s">
        <v>3</v>
      </c>
      <c r="U1035" s="91"/>
      <c r="V1035" s="51">
        <v>45537</v>
      </c>
      <c r="W1035" s="49" t="s">
        <v>1610</v>
      </c>
    </row>
    <row r="1036" spans="1:23" ht="13" customHeight="1" x14ac:dyDescent="0.35">
      <c r="A1036" s="11">
        <v>1031</v>
      </c>
      <c r="B1036" s="47">
        <v>206191926</v>
      </c>
      <c r="C1036" s="94" t="s">
        <v>1643</v>
      </c>
      <c r="D1036" s="11" t="s">
        <v>1634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32</v>
      </c>
      <c r="K1036" s="49" t="s">
        <v>76</v>
      </c>
      <c r="L1036" s="49" t="s">
        <v>85</v>
      </c>
      <c r="M1036" s="49" t="s">
        <v>88</v>
      </c>
      <c r="N1036" s="49" t="s">
        <v>89</v>
      </c>
      <c r="O1036" s="49" t="s">
        <v>37</v>
      </c>
      <c r="P1036" s="11" t="s">
        <v>80</v>
      </c>
      <c r="Q1036" s="11" t="s">
        <v>96</v>
      </c>
      <c r="R1036" s="11" t="s">
        <v>2955</v>
      </c>
      <c r="S1036" s="11" t="s">
        <v>2956</v>
      </c>
      <c r="T1036" s="90" t="s">
        <v>1</v>
      </c>
      <c r="U1036" s="91"/>
      <c r="V1036" s="51">
        <v>45936</v>
      </c>
      <c r="W1036" s="49" t="s">
        <v>1611</v>
      </c>
    </row>
    <row r="1037" spans="1:23" ht="13" customHeight="1" x14ac:dyDescent="0.35">
      <c r="A1037" s="11">
        <v>1032</v>
      </c>
      <c r="B1037" s="47">
        <v>204095809</v>
      </c>
      <c r="C1037" s="94" t="s">
        <v>1116</v>
      </c>
      <c r="D1037" s="11" t="s">
        <v>1117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39</v>
      </c>
      <c r="K1037" s="49" t="s">
        <v>76</v>
      </c>
      <c r="L1037" s="49" t="s">
        <v>95</v>
      </c>
      <c r="M1037" s="49" t="s">
        <v>77</v>
      </c>
      <c r="N1037" s="48" t="s">
        <v>86</v>
      </c>
      <c r="O1037" s="49" t="s">
        <v>37</v>
      </c>
      <c r="P1037" s="11" t="s">
        <v>80</v>
      </c>
      <c r="Q1037" s="11" t="s">
        <v>87</v>
      </c>
      <c r="R1037" s="11" t="s">
        <v>632</v>
      </c>
      <c r="S1037" s="11" t="s">
        <v>633</v>
      </c>
      <c r="T1037" s="90" t="s">
        <v>10</v>
      </c>
      <c r="U1037" s="89"/>
      <c r="V1037" s="51">
        <v>45561</v>
      </c>
      <c r="W1037" s="49" t="s">
        <v>1610</v>
      </c>
    </row>
    <row r="1038" spans="1:23" ht="13" customHeight="1" x14ac:dyDescent="0.35">
      <c r="A1038" s="11">
        <v>1033</v>
      </c>
      <c r="B1038" s="47">
        <v>204116442</v>
      </c>
      <c r="C1038" s="94" t="s">
        <v>1118</v>
      </c>
      <c r="D1038" s="11" t="s">
        <v>1119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77</v>
      </c>
      <c r="M1038" s="49" t="s">
        <v>78</v>
      </c>
      <c r="N1038" s="48" t="s">
        <v>86</v>
      </c>
      <c r="O1038" s="49" t="s">
        <v>37</v>
      </c>
      <c r="P1038" s="11" t="s">
        <v>80</v>
      </c>
      <c r="Q1038" s="11" t="s">
        <v>87</v>
      </c>
      <c r="R1038" s="49" t="s">
        <v>628</v>
      </c>
      <c r="S1038" s="11" t="s">
        <v>629</v>
      </c>
      <c r="T1038" s="90" t="s">
        <v>10</v>
      </c>
      <c r="U1038" s="90"/>
      <c r="V1038" s="51">
        <v>45561</v>
      </c>
      <c r="W1038" s="49" t="s">
        <v>1609</v>
      </c>
    </row>
    <row r="1039" spans="1:23" ht="13" customHeight="1" x14ac:dyDescent="0.35">
      <c r="A1039" s="11">
        <v>1034</v>
      </c>
      <c r="B1039" s="47">
        <v>203965178</v>
      </c>
      <c r="C1039" s="94" t="s">
        <v>1120</v>
      </c>
      <c r="D1039" s="11" t="s">
        <v>1121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39</v>
      </c>
      <c r="K1039" s="49" t="s">
        <v>76</v>
      </c>
      <c r="L1039" s="49" t="s">
        <v>77</v>
      </c>
      <c r="M1039" s="49" t="s">
        <v>78</v>
      </c>
      <c r="N1039" s="48" t="s">
        <v>79</v>
      </c>
      <c r="O1039" s="49" t="s">
        <v>37</v>
      </c>
      <c r="P1039" s="11" t="s">
        <v>80</v>
      </c>
      <c r="Q1039" s="11" t="s">
        <v>81</v>
      </c>
      <c r="R1039" s="49" t="s">
        <v>648</v>
      </c>
      <c r="S1039" s="11" t="s">
        <v>1842</v>
      </c>
      <c r="T1039" s="90" t="s">
        <v>10</v>
      </c>
      <c r="U1039" s="90"/>
      <c r="V1039" s="51">
        <v>45544</v>
      </c>
      <c r="W1039" s="49" t="s">
        <v>1610</v>
      </c>
    </row>
    <row r="1040" spans="1:23" ht="13" customHeight="1" x14ac:dyDescent="0.35">
      <c r="A1040" s="11">
        <v>1035</v>
      </c>
      <c r="B1040" s="47">
        <v>203993303</v>
      </c>
      <c r="C1040" s="94" t="s">
        <v>1122</v>
      </c>
      <c r="D1040" s="11" t="s">
        <v>1123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39</v>
      </c>
      <c r="K1040" s="49" t="s">
        <v>76</v>
      </c>
      <c r="L1040" s="49" t="s">
        <v>78</v>
      </c>
      <c r="M1040" s="49" t="s">
        <v>92</v>
      </c>
      <c r="N1040" s="48" t="s">
        <v>79</v>
      </c>
      <c r="O1040" s="49" t="s">
        <v>37</v>
      </c>
      <c r="P1040" s="11" t="s">
        <v>80</v>
      </c>
      <c r="Q1040" s="11" t="s">
        <v>81</v>
      </c>
      <c r="R1040" s="49" t="s">
        <v>628</v>
      </c>
      <c r="S1040" s="11" t="s">
        <v>629</v>
      </c>
      <c r="T1040" s="90" t="s">
        <v>1</v>
      </c>
      <c r="U1040" s="91"/>
      <c r="V1040" s="51">
        <v>45547</v>
      </c>
      <c r="W1040" s="49" t="s">
        <v>1610</v>
      </c>
    </row>
    <row r="1041" spans="1:23" ht="13" customHeight="1" x14ac:dyDescent="0.35">
      <c r="A1041" s="11">
        <v>1036</v>
      </c>
      <c r="B1041" s="47">
        <v>204053437</v>
      </c>
      <c r="C1041" s="94" t="s">
        <v>1124</v>
      </c>
      <c r="D1041" s="11" t="s">
        <v>1125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32</v>
      </c>
      <c r="K1041" s="49" t="s">
        <v>76</v>
      </c>
      <c r="L1041" s="49" t="s">
        <v>95</v>
      </c>
      <c r="M1041" s="49" t="s">
        <v>77</v>
      </c>
      <c r="N1041" s="48" t="s">
        <v>86</v>
      </c>
      <c r="O1041" s="49" t="s">
        <v>37</v>
      </c>
      <c r="P1041" s="11" t="s">
        <v>80</v>
      </c>
      <c r="Q1041" s="11" t="s">
        <v>99</v>
      </c>
      <c r="R1041" s="49" t="s">
        <v>648</v>
      </c>
      <c r="S1041" s="11" t="s">
        <v>1842</v>
      </c>
      <c r="T1041" s="90" t="s">
        <v>10</v>
      </c>
      <c r="U1041" s="89"/>
      <c r="V1041" s="51">
        <v>45558</v>
      </c>
      <c r="W1041" s="49" t="s">
        <v>1609</v>
      </c>
    </row>
    <row r="1042" spans="1:23" ht="13" customHeight="1" x14ac:dyDescent="0.35">
      <c r="A1042" s="11">
        <v>1037</v>
      </c>
      <c r="B1042" s="47">
        <v>203965022</v>
      </c>
      <c r="C1042" s="94" t="s">
        <v>1126</v>
      </c>
      <c r="D1042" s="11" t="s">
        <v>1127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32</v>
      </c>
      <c r="K1042" s="49" t="s">
        <v>76</v>
      </c>
      <c r="L1042" s="49" t="s">
        <v>78</v>
      </c>
      <c r="M1042" s="49" t="s">
        <v>92</v>
      </c>
      <c r="N1042" s="48" t="s">
        <v>86</v>
      </c>
      <c r="O1042" s="49" t="s">
        <v>37</v>
      </c>
      <c r="P1042" s="11" t="s">
        <v>80</v>
      </c>
      <c r="Q1042" s="11" t="s">
        <v>99</v>
      </c>
      <c r="R1042" s="11" t="s">
        <v>1087</v>
      </c>
      <c r="S1042" s="11" t="s">
        <v>2823</v>
      </c>
      <c r="T1042" s="90" t="s">
        <v>1</v>
      </c>
      <c r="U1042" s="90"/>
      <c r="V1042" s="51">
        <v>45544</v>
      </c>
      <c r="W1042" s="49" t="s">
        <v>1610</v>
      </c>
    </row>
    <row r="1043" spans="1:23" ht="13" customHeight="1" x14ac:dyDescent="0.35">
      <c r="A1043" s="11">
        <v>1038</v>
      </c>
      <c r="B1043" s="47">
        <v>206137333</v>
      </c>
      <c r="C1043" s="94" t="s">
        <v>1128</v>
      </c>
      <c r="D1043" s="11" t="s">
        <v>1129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77</v>
      </c>
      <c r="M1043" s="49" t="s">
        <v>78</v>
      </c>
      <c r="N1043" s="49" t="s">
        <v>89</v>
      </c>
      <c r="O1043" s="49" t="s">
        <v>37</v>
      </c>
      <c r="P1043" s="11" t="s">
        <v>80</v>
      </c>
      <c r="Q1043" s="11" t="s">
        <v>81</v>
      </c>
      <c r="R1043" s="11" t="s">
        <v>632</v>
      </c>
      <c r="S1043" s="11" t="s">
        <v>633</v>
      </c>
      <c r="T1043" s="90" t="s">
        <v>1</v>
      </c>
      <c r="U1043" s="90"/>
      <c r="V1043" s="51">
        <v>45929</v>
      </c>
      <c r="W1043" s="49" t="s">
        <v>1610</v>
      </c>
    </row>
    <row r="1044" spans="1:23" ht="13" customHeight="1" x14ac:dyDescent="0.35">
      <c r="A1044" s="11">
        <v>1039</v>
      </c>
      <c r="B1044" s="47">
        <v>205996135</v>
      </c>
      <c r="C1044" s="94" t="s">
        <v>1130</v>
      </c>
      <c r="D1044" s="11" t="s">
        <v>1131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39</v>
      </c>
      <c r="K1044" s="49" t="s">
        <v>76</v>
      </c>
      <c r="L1044" s="49" t="s">
        <v>77</v>
      </c>
      <c r="M1044" s="49" t="s">
        <v>78</v>
      </c>
      <c r="N1044" s="48" t="s">
        <v>79</v>
      </c>
      <c r="O1044" s="49" t="s">
        <v>37</v>
      </c>
      <c r="P1044" s="11" t="s">
        <v>80</v>
      </c>
      <c r="Q1044" s="11" t="s">
        <v>81</v>
      </c>
      <c r="R1044" s="11" t="s">
        <v>632</v>
      </c>
      <c r="S1044" s="11" t="s">
        <v>633</v>
      </c>
      <c r="T1044" s="90" t="s">
        <v>10</v>
      </c>
      <c r="U1044" s="90"/>
      <c r="V1044" s="51">
        <v>45915</v>
      </c>
      <c r="W1044" s="49" t="s">
        <v>1610</v>
      </c>
    </row>
    <row r="1045" spans="1:23" ht="13" customHeight="1" x14ac:dyDescent="0.35">
      <c r="A1045" s="11">
        <v>1040</v>
      </c>
      <c r="B1045" s="47">
        <v>204890370</v>
      </c>
      <c r="C1045" s="94" t="s">
        <v>1132</v>
      </c>
      <c r="D1045" s="11" t="s">
        <v>1133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1290</v>
      </c>
      <c r="J1045" s="49" t="s">
        <v>39</v>
      </c>
      <c r="K1045" s="49" t="s">
        <v>76</v>
      </c>
      <c r="L1045" s="49" t="s">
        <v>92</v>
      </c>
      <c r="M1045" s="49" t="s">
        <v>84</v>
      </c>
      <c r="N1045" s="49" t="s">
        <v>89</v>
      </c>
      <c r="O1045" s="49" t="s">
        <v>37</v>
      </c>
      <c r="P1045" s="11" t="s">
        <v>80</v>
      </c>
      <c r="Q1045" s="11" t="s">
        <v>90</v>
      </c>
      <c r="R1045" s="11" t="s">
        <v>1087</v>
      </c>
      <c r="S1045" s="11" t="s">
        <v>2823</v>
      </c>
      <c r="T1045" s="90" t="s">
        <v>1</v>
      </c>
      <c r="U1045" s="90"/>
      <c r="V1045" s="51">
        <v>45691</v>
      </c>
      <c r="W1045" s="49" t="s">
        <v>1610</v>
      </c>
    </row>
    <row r="1046" spans="1:23" ht="13" customHeight="1" x14ac:dyDescent="0.35">
      <c r="A1046" s="11">
        <v>1041</v>
      </c>
      <c r="B1046" s="47">
        <v>203851108</v>
      </c>
      <c r="C1046" s="94" t="s">
        <v>1134</v>
      </c>
      <c r="D1046" s="11" t="s">
        <v>1135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39</v>
      </c>
      <c r="K1046" s="49" t="s">
        <v>76</v>
      </c>
      <c r="L1046" s="49" t="s">
        <v>84</v>
      </c>
      <c r="M1046" s="49" t="s">
        <v>85</v>
      </c>
      <c r="N1046" s="48" t="s">
        <v>79</v>
      </c>
      <c r="O1046" s="49" t="s">
        <v>37</v>
      </c>
      <c r="P1046" s="11" t="s">
        <v>80</v>
      </c>
      <c r="Q1046" s="11" t="s">
        <v>81</v>
      </c>
      <c r="R1046" s="49" t="s">
        <v>628</v>
      </c>
      <c r="S1046" s="11" t="s">
        <v>629</v>
      </c>
      <c r="T1046" s="90" t="s">
        <v>3</v>
      </c>
      <c r="U1046" s="91"/>
      <c r="V1046" s="51">
        <v>45524</v>
      </c>
      <c r="W1046" s="49" t="s">
        <v>1612</v>
      </c>
    </row>
    <row r="1047" spans="1:23" ht="13" customHeight="1" x14ac:dyDescent="0.35">
      <c r="A1047" s="11">
        <v>1042</v>
      </c>
      <c r="B1047" s="47">
        <v>206129262</v>
      </c>
      <c r="C1047" s="94" t="s">
        <v>1136</v>
      </c>
      <c r="D1047" s="11" t="s">
        <v>1137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32</v>
      </c>
      <c r="K1047" s="49" t="s">
        <v>76</v>
      </c>
      <c r="L1047" s="49" t="s">
        <v>92</v>
      </c>
      <c r="M1047" s="49" t="s">
        <v>84</v>
      </c>
      <c r="N1047" s="49" t="s">
        <v>89</v>
      </c>
      <c r="O1047" s="49" t="s">
        <v>37</v>
      </c>
      <c r="P1047" s="11" t="s">
        <v>80</v>
      </c>
      <c r="Q1047" s="11" t="s">
        <v>81</v>
      </c>
      <c r="R1047" s="49" t="s">
        <v>648</v>
      </c>
      <c r="S1047" s="11" t="s">
        <v>1842</v>
      </c>
      <c r="T1047" s="90" t="s">
        <v>1</v>
      </c>
      <c r="U1047" s="90"/>
      <c r="V1047" s="51">
        <v>45929</v>
      </c>
      <c r="W1047" s="49" t="s">
        <v>1610</v>
      </c>
    </row>
    <row r="1048" spans="1:23" ht="13" customHeight="1" x14ac:dyDescent="0.35">
      <c r="A1048" s="11">
        <v>1043</v>
      </c>
      <c r="B1048" s="47">
        <v>206137338</v>
      </c>
      <c r="C1048" s="94" t="s">
        <v>1138</v>
      </c>
      <c r="D1048" s="11" t="s">
        <v>1139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39</v>
      </c>
      <c r="K1048" s="49" t="s">
        <v>76</v>
      </c>
      <c r="L1048" s="49" t="s">
        <v>77</v>
      </c>
      <c r="M1048" s="49" t="s">
        <v>78</v>
      </c>
      <c r="N1048" s="49" t="s">
        <v>89</v>
      </c>
      <c r="O1048" s="49" t="s">
        <v>37</v>
      </c>
      <c r="P1048" s="11" t="s">
        <v>80</v>
      </c>
      <c r="Q1048" s="11" t="s">
        <v>81</v>
      </c>
      <c r="R1048" s="11" t="s">
        <v>632</v>
      </c>
      <c r="S1048" s="11" t="s">
        <v>633</v>
      </c>
      <c r="T1048" s="90" t="s">
        <v>10</v>
      </c>
      <c r="U1048" s="90"/>
      <c r="V1048" s="51">
        <v>45929</v>
      </c>
      <c r="W1048" s="49" t="s">
        <v>1610</v>
      </c>
    </row>
    <row r="1049" spans="1:23" ht="13" customHeight="1" x14ac:dyDescent="0.35">
      <c r="A1049" s="11">
        <v>1044</v>
      </c>
      <c r="B1049" s="47">
        <v>206129614</v>
      </c>
      <c r="C1049" s="94" t="s">
        <v>1140</v>
      </c>
      <c r="D1049" s="11" t="s">
        <v>1141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88</v>
      </c>
      <c r="M1049" s="49" t="s">
        <v>95</v>
      </c>
      <c r="N1049" s="48" t="s">
        <v>79</v>
      </c>
      <c r="O1049" s="49" t="s">
        <v>37</v>
      </c>
      <c r="P1049" s="11" t="s">
        <v>80</v>
      </c>
      <c r="Q1049" s="11" t="s">
        <v>81</v>
      </c>
      <c r="R1049" s="11" t="s">
        <v>2955</v>
      </c>
      <c r="S1049" s="11" t="s">
        <v>2956</v>
      </c>
      <c r="T1049" s="90" t="s">
        <v>1</v>
      </c>
      <c r="U1049" s="90"/>
      <c r="V1049" s="51">
        <v>45929</v>
      </c>
      <c r="W1049" s="49" t="s">
        <v>1610</v>
      </c>
    </row>
    <row r="1050" spans="1:23" ht="13" customHeight="1" x14ac:dyDescent="0.35">
      <c r="A1050" s="11">
        <v>1045</v>
      </c>
      <c r="B1050" s="47">
        <v>204890373</v>
      </c>
      <c r="C1050" s="94" t="s">
        <v>1142</v>
      </c>
      <c r="D1050" s="11" t="s">
        <v>1143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1290</v>
      </c>
      <c r="J1050" s="49" t="s">
        <v>39</v>
      </c>
      <c r="K1050" s="49" t="s">
        <v>76</v>
      </c>
      <c r="L1050" s="49" t="s">
        <v>84</v>
      </c>
      <c r="M1050" s="49" t="s">
        <v>85</v>
      </c>
      <c r="N1050" s="48" t="s">
        <v>86</v>
      </c>
      <c r="O1050" s="49" t="s">
        <v>37</v>
      </c>
      <c r="P1050" s="11" t="s">
        <v>80</v>
      </c>
      <c r="Q1050" s="11" t="s">
        <v>90</v>
      </c>
      <c r="R1050" s="49" t="s">
        <v>628</v>
      </c>
      <c r="S1050" s="11" t="s">
        <v>629</v>
      </c>
      <c r="T1050" s="90" t="s">
        <v>1</v>
      </c>
      <c r="U1050" s="91"/>
      <c r="V1050" s="51">
        <v>45691</v>
      </c>
      <c r="W1050" s="49" t="s">
        <v>1610</v>
      </c>
    </row>
    <row r="1051" spans="1:23" ht="13" customHeight="1" x14ac:dyDescent="0.35">
      <c r="A1051" s="11">
        <v>1046</v>
      </c>
      <c r="B1051" s="97">
        <v>205845553</v>
      </c>
      <c r="C1051" s="47" t="s">
        <v>2918</v>
      </c>
      <c r="D1051" s="94" t="s">
        <v>2919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32</v>
      </c>
      <c r="K1051" s="49" t="s">
        <v>76</v>
      </c>
      <c r="L1051" s="49" t="s">
        <v>77</v>
      </c>
      <c r="M1051" s="49" t="s">
        <v>78</v>
      </c>
      <c r="N1051" s="48" t="s">
        <v>86</v>
      </c>
      <c r="O1051" s="49" t="s">
        <v>37</v>
      </c>
      <c r="P1051" s="11" t="s">
        <v>80</v>
      </c>
      <c r="Q1051" s="11" t="s">
        <v>90</v>
      </c>
      <c r="R1051" s="11" t="s">
        <v>628</v>
      </c>
      <c r="S1051" s="11" t="s">
        <v>629</v>
      </c>
      <c r="T1051" s="90" t="s">
        <v>10</v>
      </c>
      <c r="U1051" s="89"/>
      <c r="V1051" s="51">
        <v>45894</v>
      </c>
      <c r="W1051" s="49" t="s">
        <v>1609</v>
      </c>
    </row>
    <row r="1052" spans="1:23" ht="13" customHeight="1" x14ac:dyDescent="0.35">
      <c r="A1052" s="11">
        <v>1047</v>
      </c>
      <c r="B1052" s="47">
        <v>206239769</v>
      </c>
      <c r="C1052" s="94" t="s">
        <v>1694</v>
      </c>
      <c r="D1052" s="11" t="s">
        <v>1668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77</v>
      </c>
      <c r="M1052" s="49" t="s">
        <v>78</v>
      </c>
      <c r="N1052" s="48" t="s">
        <v>86</v>
      </c>
      <c r="O1052" s="49" t="s">
        <v>37</v>
      </c>
      <c r="P1052" s="11" t="s">
        <v>80</v>
      </c>
      <c r="Q1052" s="11" t="s">
        <v>90</v>
      </c>
      <c r="R1052" s="11" t="s">
        <v>2955</v>
      </c>
      <c r="S1052" s="11" t="s">
        <v>2956</v>
      </c>
      <c r="T1052" s="90" t="s">
        <v>10</v>
      </c>
      <c r="U1052" s="89"/>
      <c r="V1052" s="51">
        <v>45943</v>
      </c>
      <c r="W1052" s="49" t="s">
        <v>1602</v>
      </c>
    </row>
    <row r="1053" spans="1:23" ht="13" customHeight="1" x14ac:dyDescent="0.35">
      <c r="A1053" s="11">
        <v>1048</v>
      </c>
      <c r="B1053" s="47">
        <v>203850899</v>
      </c>
      <c r="C1053" s="94" t="s">
        <v>1144</v>
      </c>
      <c r="D1053" s="11" t="s">
        <v>1145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39</v>
      </c>
      <c r="K1053" s="49" t="s">
        <v>76</v>
      </c>
      <c r="L1053" s="49" t="s">
        <v>78</v>
      </c>
      <c r="M1053" s="49" t="s">
        <v>92</v>
      </c>
      <c r="N1053" s="48" t="s">
        <v>86</v>
      </c>
      <c r="O1053" s="49" t="s">
        <v>37</v>
      </c>
      <c r="P1053" s="11" t="s">
        <v>80</v>
      </c>
      <c r="Q1053" s="11" t="s">
        <v>90</v>
      </c>
      <c r="R1053" s="49" t="s">
        <v>628</v>
      </c>
      <c r="S1053" s="11" t="s">
        <v>629</v>
      </c>
      <c r="T1053" s="90" t="s">
        <v>1</v>
      </c>
      <c r="U1053" s="91"/>
      <c r="V1053" s="51">
        <v>45524</v>
      </c>
      <c r="W1053" s="49" t="s">
        <v>1610</v>
      </c>
    </row>
    <row r="1054" spans="1:23" ht="13" customHeight="1" x14ac:dyDescent="0.35">
      <c r="A1054" s="11">
        <v>1049</v>
      </c>
      <c r="B1054" s="47">
        <v>206250638</v>
      </c>
      <c r="C1054" s="94" t="s">
        <v>1695</v>
      </c>
      <c r="D1054" s="11" t="s">
        <v>1667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32</v>
      </c>
      <c r="K1054" s="49" t="s">
        <v>76</v>
      </c>
      <c r="L1054" s="49" t="s">
        <v>88</v>
      </c>
      <c r="M1054" s="49" t="s">
        <v>95</v>
      </c>
      <c r="N1054" s="49" t="s">
        <v>89</v>
      </c>
      <c r="O1054" s="49" t="s">
        <v>37</v>
      </c>
      <c r="P1054" s="11" t="s">
        <v>80</v>
      </c>
      <c r="Q1054" s="11" t="s">
        <v>81</v>
      </c>
      <c r="R1054" s="11" t="s">
        <v>1087</v>
      </c>
      <c r="S1054" s="11" t="s">
        <v>2823</v>
      </c>
      <c r="T1054" s="90" t="s">
        <v>1</v>
      </c>
      <c r="U1054" s="91"/>
      <c r="V1054" s="51">
        <v>45943</v>
      </c>
      <c r="W1054" s="49" t="s">
        <v>1609</v>
      </c>
    </row>
    <row r="1055" spans="1:23" ht="13" customHeight="1" x14ac:dyDescent="0.35">
      <c r="A1055" s="11">
        <v>1050</v>
      </c>
      <c r="B1055" s="47">
        <v>206239755</v>
      </c>
      <c r="C1055" s="94" t="s">
        <v>1680</v>
      </c>
      <c r="D1055" s="11" t="s">
        <v>1675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39</v>
      </c>
      <c r="K1055" s="49" t="s">
        <v>76</v>
      </c>
      <c r="L1055" s="49" t="s">
        <v>92</v>
      </c>
      <c r="M1055" s="49" t="s">
        <v>84</v>
      </c>
      <c r="N1055" s="49" t="s">
        <v>89</v>
      </c>
      <c r="O1055" s="49" t="s">
        <v>37</v>
      </c>
      <c r="P1055" s="11" t="s">
        <v>80</v>
      </c>
      <c r="Q1055" s="11" t="s">
        <v>90</v>
      </c>
      <c r="R1055" s="49" t="s">
        <v>628</v>
      </c>
      <c r="S1055" s="11" t="s">
        <v>629</v>
      </c>
      <c r="T1055" s="90" t="s">
        <v>1</v>
      </c>
      <c r="U1055" s="89"/>
      <c r="V1055" s="51">
        <v>45943</v>
      </c>
      <c r="W1055" s="49" t="s">
        <v>1609</v>
      </c>
    </row>
    <row r="1056" spans="1:23" ht="13" customHeight="1" x14ac:dyDescent="0.35">
      <c r="A1056" s="11">
        <v>1051</v>
      </c>
      <c r="B1056" s="47">
        <v>206890219</v>
      </c>
      <c r="C1056" s="94" t="s">
        <v>1903</v>
      </c>
      <c r="D1056" s="11" t="s">
        <v>1904</v>
      </c>
      <c r="E1056" s="11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39</v>
      </c>
      <c r="K1056" s="49" t="s">
        <v>76</v>
      </c>
      <c r="L1056" s="49" t="s">
        <v>77</v>
      </c>
      <c r="M1056" s="49" t="s">
        <v>78</v>
      </c>
      <c r="N1056" s="49" t="s">
        <v>89</v>
      </c>
      <c r="O1056" s="49" t="s">
        <v>37</v>
      </c>
      <c r="P1056" s="11" t="s">
        <v>80</v>
      </c>
      <c r="Q1056" s="11" t="s">
        <v>96</v>
      </c>
      <c r="R1056" s="11" t="s">
        <v>1087</v>
      </c>
      <c r="S1056" s="11" t="s">
        <v>2823</v>
      </c>
      <c r="T1056" s="90" t="s">
        <v>10</v>
      </c>
      <c r="U1056" s="91"/>
      <c r="V1056" s="51">
        <v>46027</v>
      </c>
      <c r="W1056" s="49" t="s">
        <v>1610</v>
      </c>
    </row>
    <row r="1057" spans="1:23" ht="13" customHeight="1" x14ac:dyDescent="0.35">
      <c r="A1057" s="11">
        <v>1052</v>
      </c>
      <c r="B1057" s="47">
        <v>204117683</v>
      </c>
      <c r="C1057" s="94" t="s">
        <v>1146</v>
      </c>
      <c r="D1057" s="11" t="s">
        <v>1147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39</v>
      </c>
      <c r="K1057" s="49" t="s">
        <v>76</v>
      </c>
      <c r="L1057" s="49" t="s">
        <v>85</v>
      </c>
      <c r="M1057" s="49" t="s">
        <v>88</v>
      </c>
      <c r="N1057" s="48" t="s">
        <v>86</v>
      </c>
      <c r="O1057" s="49" t="s">
        <v>37</v>
      </c>
      <c r="P1057" s="11" t="s">
        <v>80</v>
      </c>
      <c r="Q1057" s="11" t="s">
        <v>87</v>
      </c>
      <c r="R1057" s="11" t="s">
        <v>632</v>
      </c>
      <c r="S1057" s="11" t="s">
        <v>633</v>
      </c>
      <c r="T1057" s="90" t="s">
        <v>1</v>
      </c>
      <c r="U1057" s="90"/>
      <c r="V1057" s="51">
        <v>45561</v>
      </c>
      <c r="W1057" s="49" t="s">
        <v>1610</v>
      </c>
    </row>
    <row r="1058" spans="1:23" ht="13" customHeight="1" x14ac:dyDescent="0.35">
      <c r="A1058" s="11">
        <v>1053</v>
      </c>
      <c r="B1058" s="47">
        <v>203341966</v>
      </c>
      <c r="C1058" s="94" t="s">
        <v>1148</v>
      </c>
      <c r="D1058" s="11" t="s">
        <v>1149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32</v>
      </c>
      <c r="K1058" s="49" t="s">
        <v>76</v>
      </c>
      <c r="L1058" s="49" t="s">
        <v>78</v>
      </c>
      <c r="M1058" s="49" t="s">
        <v>92</v>
      </c>
      <c r="N1058" s="48" t="s">
        <v>86</v>
      </c>
      <c r="O1058" s="49" t="s">
        <v>37</v>
      </c>
      <c r="P1058" s="11" t="s">
        <v>80</v>
      </c>
      <c r="Q1058" s="11" t="s">
        <v>99</v>
      </c>
      <c r="R1058" s="49" t="s">
        <v>648</v>
      </c>
      <c r="S1058" s="11" t="s">
        <v>1842</v>
      </c>
      <c r="T1058" s="90" t="s">
        <v>1</v>
      </c>
      <c r="U1058" s="90"/>
      <c r="V1058" s="51">
        <v>45432</v>
      </c>
      <c r="W1058" s="49" t="s">
        <v>1610</v>
      </c>
    </row>
    <row r="1059" spans="1:23" ht="13" customHeight="1" x14ac:dyDescent="0.35">
      <c r="A1059" s="11">
        <v>1054</v>
      </c>
      <c r="B1059" s="47">
        <v>206004602</v>
      </c>
      <c r="C1059" s="94" t="s">
        <v>1150</v>
      </c>
      <c r="D1059" s="11" t="s">
        <v>1151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32</v>
      </c>
      <c r="K1059" s="49" t="s">
        <v>76</v>
      </c>
      <c r="L1059" s="49" t="s">
        <v>84</v>
      </c>
      <c r="M1059" s="49" t="s">
        <v>85</v>
      </c>
      <c r="N1059" s="48" t="s">
        <v>79</v>
      </c>
      <c r="O1059" s="49" t="s">
        <v>37</v>
      </c>
      <c r="P1059" s="11" t="s">
        <v>80</v>
      </c>
      <c r="Q1059" s="11" t="s">
        <v>81</v>
      </c>
      <c r="R1059" s="11" t="s">
        <v>640</v>
      </c>
      <c r="S1059" s="11" t="s">
        <v>2824</v>
      </c>
      <c r="T1059" s="90" t="s">
        <v>7</v>
      </c>
      <c r="U1059" s="90" t="s">
        <v>3004</v>
      </c>
      <c r="V1059" s="51">
        <v>45922</v>
      </c>
      <c r="W1059" s="49" t="s">
        <v>1610</v>
      </c>
    </row>
    <row r="1060" spans="1:23" ht="13" customHeight="1" x14ac:dyDescent="0.35">
      <c r="A1060" s="11">
        <v>1055</v>
      </c>
      <c r="B1060" s="47">
        <v>203965406</v>
      </c>
      <c r="C1060" s="94" t="s">
        <v>1152</v>
      </c>
      <c r="D1060" s="11" t="s">
        <v>1153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32</v>
      </c>
      <c r="K1060" s="49" t="s">
        <v>76</v>
      </c>
      <c r="L1060" s="49" t="s">
        <v>84</v>
      </c>
      <c r="M1060" s="49" t="s">
        <v>85</v>
      </c>
      <c r="N1060" s="48" t="s">
        <v>79</v>
      </c>
      <c r="O1060" s="49" t="s">
        <v>37</v>
      </c>
      <c r="P1060" s="11" t="s">
        <v>80</v>
      </c>
      <c r="Q1060" s="11" t="s">
        <v>81</v>
      </c>
      <c r="R1060" s="11" t="s">
        <v>1087</v>
      </c>
      <c r="S1060" s="11" t="s">
        <v>2823</v>
      </c>
      <c r="T1060" s="90" t="s">
        <v>1</v>
      </c>
      <c r="U1060" s="90"/>
      <c r="V1060" s="51">
        <v>45544</v>
      </c>
      <c r="W1060" s="49" t="s">
        <v>1610</v>
      </c>
    </row>
    <row r="1061" spans="1:23" ht="13" customHeight="1" x14ac:dyDescent="0.35">
      <c r="A1061" s="11">
        <v>1056</v>
      </c>
      <c r="B1061" s="47">
        <v>203850901</v>
      </c>
      <c r="C1061" s="94" t="s">
        <v>1154</v>
      </c>
      <c r="D1061" s="11" t="s">
        <v>1155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32</v>
      </c>
      <c r="K1061" s="49" t="s">
        <v>76</v>
      </c>
      <c r="L1061" s="49" t="s">
        <v>78</v>
      </c>
      <c r="M1061" s="49" t="s">
        <v>92</v>
      </c>
      <c r="N1061" s="48" t="s">
        <v>86</v>
      </c>
      <c r="O1061" s="49" t="s">
        <v>37</v>
      </c>
      <c r="P1061" s="11" t="s">
        <v>80</v>
      </c>
      <c r="Q1061" s="11" t="s">
        <v>90</v>
      </c>
      <c r="R1061" s="11" t="s">
        <v>1087</v>
      </c>
      <c r="S1061" s="11" t="s">
        <v>2823</v>
      </c>
      <c r="T1061" s="90" t="s">
        <v>1</v>
      </c>
      <c r="U1061" s="89"/>
      <c r="V1061" s="51">
        <v>45524</v>
      </c>
      <c r="W1061" s="49" t="s">
        <v>1610</v>
      </c>
    </row>
    <row r="1062" spans="1:23" ht="13" customHeight="1" x14ac:dyDescent="0.35">
      <c r="A1062" s="11">
        <v>1057</v>
      </c>
      <c r="B1062" s="47">
        <v>203851104</v>
      </c>
      <c r="C1062" s="94" t="s">
        <v>1156</v>
      </c>
      <c r="D1062" s="11" t="s">
        <v>1157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78</v>
      </c>
      <c r="M1062" s="49" t="s">
        <v>92</v>
      </c>
      <c r="N1062" s="48" t="s">
        <v>79</v>
      </c>
      <c r="O1062" s="49" t="s">
        <v>37</v>
      </c>
      <c r="P1062" s="11" t="s">
        <v>80</v>
      </c>
      <c r="Q1062" s="11" t="s">
        <v>81</v>
      </c>
      <c r="R1062" s="11" t="s">
        <v>2955</v>
      </c>
      <c r="S1062" s="11" t="s">
        <v>2956</v>
      </c>
      <c r="T1062" s="90" t="s">
        <v>7</v>
      </c>
      <c r="U1062" s="90" t="s">
        <v>3004</v>
      </c>
      <c r="V1062" s="51">
        <v>45524</v>
      </c>
      <c r="W1062" s="49" t="s">
        <v>1612</v>
      </c>
    </row>
    <row r="1063" spans="1:23" ht="13" customHeight="1" x14ac:dyDescent="0.35">
      <c r="A1063" s="11">
        <v>1058</v>
      </c>
      <c r="B1063" s="47">
        <v>206129267</v>
      </c>
      <c r="C1063" s="94" t="s">
        <v>1158</v>
      </c>
      <c r="D1063" s="11" t="s">
        <v>1159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32</v>
      </c>
      <c r="K1063" s="49" t="s">
        <v>76</v>
      </c>
      <c r="L1063" s="49" t="s">
        <v>78</v>
      </c>
      <c r="M1063" s="49" t="s">
        <v>92</v>
      </c>
      <c r="N1063" s="48" t="s">
        <v>79</v>
      </c>
      <c r="O1063" s="49" t="s">
        <v>37</v>
      </c>
      <c r="P1063" s="11" t="s">
        <v>80</v>
      </c>
      <c r="Q1063" s="11" t="s">
        <v>81</v>
      </c>
      <c r="R1063" s="49" t="s">
        <v>648</v>
      </c>
      <c r="S1063" s="11" t="s">
        <v>1842</v>
      </c>
      <c r="T1063" s="90" t="s">
        <v>7</v>
      </c>
      <c r="U1063" s="90" t="s">
        <v>3004</v>
      </c>
      <c r="V1063" s="51">
        <v>45929</v>
      </c>
      <c r="W1063" s="49" t="s">
        <v>1610</v>
      </c>
    </row>
    <row r="1064" spans="1:23" ht="13" customHeight="1" x14ac:dyDescent="0.35">
      <c r="A1064" s="11">
        <v>1059</v>
      </c>
      <c r="B1064" s="97">
        <v>205845556</v>
      </c>
      <c r="C1064" s="47" t="s">
        <v>2920</v>
      </c>
      <c r="D1064" s="94" t="s">
        <v>2921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39</v>
      </c>
      <c r="K1064" s="49" t="s">
        <v>76</v>
      </c>
      <c r="L1064" s="49" t="s">
        <v>88</v>
      </c>
      <c r="M1064" s="49" t="s">
        <v>95</v>
      </c>
      <c r="N1064" s="49" t="s">
        <v>89</v>
      </c>
      <c r="O1064" s="49" t="s">
        <v>37</v>
      </c>
      <c r="P1064" s="11" t="s">
        <v>80</v>
      </c>
      <c r="Q1064" s="11" t="s">
        <v>90</v>
      </c>
      <c r="R1064" s="11" t="s">
        <v>632</v>
      </c>
      <c r="S1064" s="11" t="s">
        <v>633</v>
      </c>
      <c r="T1064" s="90" t="s">
        <v>1</v>
      </c>
      <c r="U1064" s="90"/>
      <c r="V1064" s="51">
        <v>45894</v>
      </c>
      <c r="W1064" s="49" t="s">
        <v>1610</v>
      </c>
    </row>
    <row r="1065" spans="1:23" ht="13" customHeight="1" x14ac:dyDescent="0.35">
      <c r="A1065" s="11">
        <v>1060</v>
      </c>
      <c r="B1065" s="47">
        <v>205853893</v>
      </c>
      <c r="C1065" s="94" t="s">
        <v>1160</v>
      </c>
      <c r="D1065" s="11" t="s">
        <v>1161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77</v>
      </c>
      <c r="M1065" s="49" t="s">
        <v>78</v>
      </c>
      <c r="N1065" s="49" t="s">
        <v>79</v>
      </c>
      <c r="O1065" s="49" t="s">
        <v>37</v>
      </c>
      <c r="P1065" s="11" t="s">
        <v>80</v>
      </c>
      <c r="Q1065" s="11" t="s">
        <v>96</v>
      </c>
      <c r="R1065" s="49" t="s">
        <v>628</v>
      </c>
      <c r="S1065" s="11" t="s">
        <v>629</v>
      </c>
      <c r="T1065" s="90" t="s">
        <v>10</v>
      </c>
      <c r="U1065" s="90"/>
      <c r="V1065" s="51">
        <v>45894</v>
      </c>
      <c r="W1065" s="49" t="s">
        <v>1610</v>
      </c>
    </row>
    <row r="1066" spans="1:23" ht="13" customHeight="1" x14ac:dyDescent="0.35">
      <c r="A1066" s="11">
        <v>1061</v>
      </c>
      <c r="B1066" s="47">
        <v>206200807</v>
      </c>
      <c r="C1066" s="94" t="s">
        <v>1629</v>
      </c>
      <c r="D1066" s="11" t="s">
        <v>1623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32</v>
      </c>
      <c r="K1066" s="49" t="s">
        <v>76</v>
      </c>
      <c r="L1066" s="49" t="s">
        <v>78</v>
      </c>
      <c r="M1066" s="49" t="s">
        <v>92</v>
      </c>
      <c r="N1066" s="49" t="s">
        <v>89</v>
      </c>
      <c r="O1066" s="49" t="s">
        <v>37</v>
      </c>
      <c r="P1066" s="11" t="s">
        <v>80</v>
      </c>
      <c r="Q1066" s="11" t="s">
        <v>81</v>
      </c>
      <c r="R1066" s="49" t="s">
        <v>2825</v>
      </c>
      <c r="S1066" s="11" t="s">
        <v>643</v>
      </c>
      <c r="T1066" s="90" t="s">
        <v>1</v>
      </c>
      <c r="U1066" s="90"/>
      <c r="V1066" s="51">
        <v>45936</v>
      </c>
      <c r="W1066" s="49" t="s">
        <v>1610</v>
      </c>
    </row>
    <row r="1067" spans="1:23" ht="13" customHeight="1" x14ac:dyDescent="0.35">
      <c r="A1067" s="11">
        <v>1062</v>
      </c>
      <c r="B1067" s="47">
        <v>203635494</v>
      </c>
      <c r="C1067" s="94" t="s">
        <v>1162</v>
      </c>
      <c r="D1067" s="11" t="s">
        <v>1163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32</v>
      </c>
      <c r="K1067" s="49" t="s">
        <v>76</v>
      </c>
      <c r="L1067" s="49" t="s">
        <v>84</v>
      </c>
      <c r="M1067" s="49" t="s">
        <v>85</v>
      </c>
      <c r="N1067" s="48" t="s">
        <v>79</v>
      </c>
      <c r="O1067" s="49" t="s">
        <v>37</v>
      </c>
      <c r="P1067" s="11" t="s">
        <v>80</v>
      </c>
      <c r="Q1067" s="11" t="s">
        <v>81</v>
      </c>
      <c r="R1067" s="49" t="s">
        <v>648</v>
      </c>
      <c r="S1067" s="11" t="s">
        <v>1842</v>
      </c>
      <c r="T1067" s="90" t="s">
        <v>1</v>
      </c>
      <c r="U1067" s="91"/>
      <c r="V1067" s="51">
        <v>45481</v>
      </c>
      <c r="W1067" s="49" t="s">
        <v>1610</v>
      </c>
    </row>
    <row r="1068" spans="1:23" ht="13" customHeight="1" x14ac:dyDescent="0.35">
      <c r="A1068" s="11">
        <v>1063</v>
      </c>
      <c r="B1068" s="47">
        <v>203881694</v>
      </c>
      <c r="C1068" s="94" t="s">
        <v>1164</v>
      </c>
      <c r="D1068" s="11" t="s">
        <v>1165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39</v>
      </c>
      <c r="K1068" s="49" t="s">
        <v>76</v>
      </c>
      <c r="L1068" s="49" t="s">
        <v>92</v>
      </c>
      <c r="M1068" s="49" t="s">
        <v>84</v>
      </c>
      <c r="N1068" s="48" t="s">
        <v>79</v>
      </c>
      <c r="O1068" s="49" t="s">
        <v>37</v>
      </c>
      <c r="P1068" s="11" t="s">
        <v>80</v>
      </c>
      <c r="Q1068" s="11" t="s">
        <v>81</v>
      </c>
      <c r="R1068" s="49" t="s">
        <v>648</v>
      </c>
      <c r="S1068" s="11" t="s">
        <v>1842</v>
      </c>
      <c r="T1068" s="90" t="s">
        <v>1</v>
      </c>
      <c r="U1068" s="89" t="s">
        <v>3003</v>
      </c>
      <c r="V1068" s="51">
        <v>45530</v>
      </c>
      <c r="W1068" s="49" t="s">
        <v>1612</v>
      </c>
    </row>
    <row r="1069" spans="1:23" ht="13" customHeight="1" x14ac:dyDescent="0.35">
      <c r="A1069" s="11">
        <v>1064</v>
      </c>
      <c r="B1069" s="47">
        <v>205856635</v>
      </c>
      <c r="C1069" s="94" t="s">
        <v>1166</v>
      </c>
      <c r="D1069" s="11" t="s">
        <v>1167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32</v>
      </c>
      <c r="K1069" s="49" t="s">
        <v>76</v>
      </c>
      <c r="L1069" s="49" t="s">
        <v>92</v>
      </c>
      <c r="M1069" s="49" t="s">
        <v>84</v>
      </c>
      <c r="N1069" s="49" t="s">
        <v>79</v>
      </c>
      <c r="O1069" s="49" t="s">
        <v>37</v>
      </c>
      <c r="P1069" s="11" t="s">
        <v>80</v>
      </c>
      <c r="Q1069" s="11" t="s">
        <v>96</v>
      </c>
      <c r="R1069" s="49" t="s">
        <v>628</v>
      </c>
      <c r="S1069" s="11" t="s">
        <v>629</v>
      </c>
      <c r="T1069" s="90" t="s">
        <v>1</v>
      </c>
      <c r="U1069" s="89"/>
      <c r="V1069" s="51">
        <v>45894</v>
      </c>
      <c r="W1069" s="49" t="s">
        <v>1610</v>
      </c>
    </row>
    <row r="1070" spans="1:23" ht="13" customHeight="1" x14ac:dyDescent="0.35">
      <c r="A1070" s="11">
        <v>1065</v>
      </c>
      <c r="B1070" s="47">
        <v>203800780</v>
      </c>
      <c r="C1070" s="94" t="s">
        <v>1168</v>
      </c>
      <c r="D1070" s="11" t="s">
        <v>1169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32</v>
      </c>
      <c r="K1070" s="49" t="s">
        <v>76</v>
      </c>
      <c r="L1070" s="49" t="s">
        <v>92</v>
      </c>
      <c r="M1070" s="49" t="s">
        <v>84</v>
      </c>
      <c r="N1070" s="48" t="s">
        <v>86</v>
      </c>
      <c r="O1070" s="49" t="s">
        <v>37</v>
      </c>
      <c r="P1070" s="11" t="s">
        <v>80</v>
      </c>
      <c r="Q1070" s="11" t="s">
        <v>90</v>
      </c>
      <c r="R1070" s="49" t="s">
        <v>648</v>
      </c>
      <c r="S1070" s="11" t="s">
        <v>1842</v>
      </c>
      <c r="T1070" s="90" t="s">
        <v>1</v>
      </c>
      <c r="U1070" s="91"/>
      <c r="V1070" s="51">
        <v>45684</v>
      </c>
      <c r="W1070" s="49" t="s">
        <v>1609</v>
      </c>
    </row>
    <row r="1071" spans="1:23" ht="13" customHeight="1" x14ac:dyDescent="0.35">
      <c r="A1071" s="11">
        <v>1066</v>
      </c>
      <c r="B1071" s="47">
        <v>204072305</v>
      </c>
      <c r="C1071" s="94" t="s">
        <v>1170</v>
      </c>
      <c r="D1071" s="11" t="s">
        <v>1171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32</v>
      </c>
      <c r="K1071" s="49" t="s">
        <v>76</v>
      </c>
      <c r="L1071" s="49" t="s">
        <v>95</v>
      </c>
      <c r="M1071" s="49" t="s">
        <v>77</v>
      </c>
      <c r="N1071" s="48" t="s">
        <v>86</v>
      </c>
      <c r="O1071" s="49" t="s">
        <v>37</v>
      </c>
      <c r="P1071" s="11" t="s">
        <v>80</v>
      </c>
      <c r="Q1071" s="11" t="s">
        <v>90</v>
      </c>
      <c r="R1071" s="49" t="s">
        <v>648</v>
      </c>
      <c r="S1071" s="11" t="s">
        <v>1842</v>
      </c>
      <c r="T1071" s="90" t="s">
        <v>10</v>
      </c>
      <c r="U1071" s="89"/>
      <c r="V1071" s="51">
        <v>45558</v>
      </c>
      <c r="W1071" s="49" t="s">
        <v>1610</v>
      </c>
    </row>
    <row r="1072" spans="1:23" ht="13" customHeight="1" x14ac:dyDescent="0.35">
      <c r="A1072" s="11">
        <v>1067</v>
      </c>
      <c r="B1072" s="47">
        <v>204137711</v>
      </c>
      <c r="C1072" s="94" t="s">
        <v>1172</v>
      </c>
      <c r="D1072" s="11" t="s">
        <v>1173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39</v>
      </c>
      <c r="K1072" s="49" t="s">
        <v>76</v>
      </c>
      <c r="L1072" s="49" t="s">
        <v>88</v>
      </c>
      <c r="M1072" s="49" t="s">
        <v>95</v>
      </c>
      <c r="N1072" s="48" t="s">
        <v>86</v>
      </c>
      <c r="O1072" s="49" t="s">
        <v>37</v>
      </c>
      <c r="P1072" s="11" t="s">
        <v>80</v>
      </c>
      <c r="Q1072" s="11" t="s">
        <v>87</v>
      </c>
      <c r="R1072" s="49" t="s">
        <v>628</v>
      </c>
      <c r="S1072" s="11" t="s">
        <v>629</v>
      </c>
      <c r="T1072" s="90" t="s">
        <v>1</v>
      </c>
      <c r="U1072" s="89"/>
      <c r="V1072" s="51">
        <v>45565</v>
      </c>
      <c r="W1072" s="49" t="s">
        <v>1610</v>
      </c>
    </row>
    <row r="1073" spans="1:23" ht="13" customHeight="1" x14ac:dyDescent="0.35">
      <c r="A1073" s="11">
        <v>1068</v>
      </c>
      <c r="B1073" s="47">
        <v>204013686</v>
      </c>
      <c r="C1073" s="94" t="s">
        <v>1174</v>
      </c>
      <c r="D1073" s="11" t="s">
        <v>1175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39</v>
      </c>
      <c r="K1073" s="49" t="s">
        <v>76</v>
      </c>
      <c r="L1073" s="49" t="s">
        <v>85</v>
      </c>
      <c r="M1073" s="49" t="s">
        <v>88</v>
      </c>
      <c r="N1073" s="48" t="s">
        <v>79</v>
      </c>
      <c r="O1073" s="49" t="s">
        <v>37</v>
      </c>
      <c r="P1073" s="11" t="s">
        <v>80</v>
      </c>
      <c r="Q1073" s="11" t="s">
        <v>81</v>
      </c>
      <c r="R1073" s="11" t="s">
        <v>640</v>
      </c>
      <c r="S1073" s="11" t="s">
        <v>2824</v>
      </c>
      <c r="T1073" s="90" t="s">
        <v>1</v>
      </c>
      <c r="U1073" s="90"/>
      <c r="V1073" s="51">
        <v>45551</v>
      </c>
      <c r="W1073" s="49" t="s">
        <v>1609</v>
      </c>
    </row>
    <row r="1074" spans="1:23" ht="13" customHeight="1" x14ac:dyDescent="0.35">
      <c r="A1074" s="11">
        <v>1069</v>
      </c>
      <c r="B1074" s="47">
        <v>204868502</v>
      </c>
      <c r="C1074" s="94" t="s">
        <v>2518</v>
      </c>
      <c r="D1074" s="11" t="s">
        <v>2519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32</v>
      </c>
      <c r="K1074" s="49" t="s">
        <v>76</v>
      </c>
      <c r="L1074" s="49" t="s">
        <v>85</v>
      </c>
      <c r="M1074" s="49" t="s">
        <v>88</v>
      </c>
      <c r="N1074" s="48" t="s">
        <v>86</v>
      </c>
      <c r="O1074" s="49" t="s">
        <v>37</v>
      </c>
      <c r="P1074" s="11" t="s">
        <v>80</v>
      </c>
      <c r="Q1074" s="11" t="s">
        <v>90</v>
      </c>
      <c r="R1074" s="11" t="s">
        <v>1087</v>
      </c>
      <c r="S1074" s="11" t="s">
        <v>2823</v>
      </c>
      <c r="T1074" s="90" t="s">
        <v>1</v>
      </c>
      <c r="U1074" s="90"/>
      <c r="V1074" s="51">
        <v>45894</v>
      </c>
      <c r="W1074" s="49" t="s">
        <v>1610</v>
      </c>
    </row>
    <row r="1075" spans="1:23" ht="13" customHeight="1" x14ac:dyDescent="0.35">
      <c r="A1075" s="11">
        <v>1070</v>
      </c>
      <c r="B1075" s="47">
        <v>203881662</v>
      </c>
      <c r="C1075" s="94" t="s">
        <v>1176</v>
      </c>
      <c r="D1075" s="11" t="s">
        <v>1177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32</v>
      </c>
      <c r="K1075" s="49" t="s">
        <v>76</v>
      </c>
      <c r="L1075" s="49" t="s">
        <v>77</v>
      </c>
      <c r="M1075" s="49" t="s">
        <v>78</v>
      </c>
      <c r="N1075" s="48" t="s">
        <v>79</v>
      </c>
      <c r="O1075" s="49" t="s">
        <v>37</v>
      </c>
      <c r="P1075" s="11" t="s">
        <v>80</v>
      </c>
      <c r="Q1075" s="11" t="s">
        <v>81</v>
      </c>
      <c r="R1075" s="11" t="s">
        <v>2955</v>
      </c>
      <c r="S1075" s="11" t="s">
        <v>2956</v>
      </c>
      <c r="T1075" s="90" t="s">
        <v>10</v>
      </c>
      <c r="U1075" s="90"/>
      <c r="V1075" s="51">
        <v>45530</v>
      </c>
      <c r="W1075" s="49" t="s">
        <v>1610</v>
      </c>
    </row>
    <row r="1076" spans="1:23" ht="13" customHeight="1" x14ac:dyDescent="0.35">
      <c r="A1076" s="11">
        <v>1071</v>
      </c>
      <c r="B1076" s="47">
        <v>203851101</v>
      </c>
      <c r="C1076" s="94" t="s">
        <v>1178</v>
      </c>
      <c r="D1076" s="11" t="s">
        <v>1179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32</v>
      </c>
      <c r="K1076" s="49" t="s">
        <v>76</v>
      </c>
      <c r="L1076" s="49" t="s">
        <v>77</v>
      </c>
      <c r="M1076" s="49" t="s">
        <v>78</v>
      </c>
      <c r="N1076" s="48" t="s">
        <v>79</v>
      </c>
      <c r="O1076" s="49" t="s">
        <v>37</v>
      </c>
      <c r="P1076" s="11" t="s">
        <v>80</v>
      </c>
      <c r="Q1076" s="11" t="s">
        <v>81</v>
      </c>
      <c r="R1076" s="11" t="s">
        <v>1087</v>
      </c>
      <c r="S1076" s="11" t="s">
        <v>2823</v>
      </c>
      <c r="T1076" s="90" t="s">
        <v>10</v>
      </c>
      <c r="U1076" s="90"/>
      <c r="V1076" s="51">
        <v>45524</v>
      </c>
      <c r="W1076" s="49" t="s">
        <v>1612</v>
      </c>
    </row>
    <row r="1077" spans="1:23" ht="13" customHeight="1" x14ac:dyDescent="0.35">
      <c r="A1077" s="11">
        <v>1072</v>
      </c>
      <c r="B1077" s="47">
        <v>205997634</v>
      </c>
      <c r="C1077" s="94" t="s">
        <v>1180</v>
      </c>
      <c r="D1077" s="11" t="s">
        <v>1181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32</v>
      </c>
      <c r="K1077" s="49" t="s">
        <v>76</v>
      </c>
      <c r="L1077" s="49" t="s">
        <v>88</v>
      </c>
      <c r="M1077" s="49" t="s">
        <v>95</v>
      </c>
      <c r="N1077" s="48" t="s">
        <v>79</v>
      </c>
      <c r="O1077" s="49" t="s">
        <v>37</v>
      </c>
      <c r="P1077" s="11" t="s">
        <v>80</v>
      </c>
      <c r="Q1077" s="11" t="s">
        <v>81</v>
      </c>
      <c r="R1077" s="11" t="s">
        <v>1087</v>
      </c>
      <c r="S1077" s="11" t="s">
        <v>2823</v>
      </c>
      <c r="T1077" s="90" t="s">
        <v>1</v>
      </c>
      <c r="U1077" s="90"/>
      <c r="V1077" s="51">
        <v>45915</v>
      </c>
      <c r="W1077" s="49" t="s">
        <v>1610</v>
      </c>
    </row>
    <row r="1078" spans="1:23" ht="13" customHeight="1" x14ac:dyDescent="0.35">
      <c r="A1078" s="11">
        <v>1073</v>
      </c>
      <c r="B1078" s="47">
        <v>204967557</v>
      </c>
      <c r="C1078" s="94" t="s">
        <v>1182</v>
      </c>
      <c r="D1078" s="11" t="s">
        <v>1183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39</v>
      </c>
      <c r="K1078" s="49" t="s">
        <v>76</v>
      </c>
      <c r="L1078" s="49" t="s">
        <v>85</v>
      </c>
      <c r="M1078" s="49" t="s">
        <v>88</v>
      </c>
      <c r="N1078" s="48" t="s">
        <v>86</v>
      </c>
      <c r="O1078" s="49" t="s">
        <v>37</v>
      </c>
      <c r="P1078" s="11" t="s">
        <v>80</v>
      </c>
      <c r="Q1078" s="11" t="s">
        <v>90</v>
      </c>
      <c r="R1078" s="49" t="s">
        <v>648</v>
      </c>
      <c r="S1078" s="11" t="s">
        <v>1842</v>
      </c>
      <c r="T1078" s="90" t="s">
        <v>1</v>
      </c>
      <c r="U1078" s="90"/>
      <c r="V1078" s="51">
        <v>45719</v>
      </c>
      <c r="W1078" s="49" t="s">
        <v>1610</v>
      </c>
    </row>
    <row r="1079" spans="1:23" ht="13" customHeight="1" x14ac:dyDescent="0.35">
      <c r="A1079" s="11">
        <v>1074</v>
      </c>
      <c r="B1079" s="47">
        <v>204967039</v>
      </c>
      <c r="C1079" s="94" t="s">
        <v>1184</v>
      </c>
      <c r="D1079" s="11" t="s">
        <v>1185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77</v>
      </c>
      <c r="M1079" s="49" t="s">
        <v>78</v>
      </c>
      <c r="N1079" s="48" t="s">
        <v>86</v>
      </c>
      <c r="O1079" s="49" t="s">
        <v>37</v>
      </c>
      <c r="P1079" s="11" t="s">
        <v>80</v>
      </c>
      <c r="Q1079" s="11" t="s">
        <v>90</v>
      </c>
      <c r="R1079" s="49" t="s">
        <v>648</v>
      </c>
      <c r="S1079" s="11" t="s">
        <v>1842</v>
      </c>
      <c r="T1079" s="90" t="s">
        <v>10</v>
      </c>
      <c r="U1079" s="90"/>
      <c r="V1079" s="51">
        <v>45719</v>
      </c>
      <c r="W1079" s="49" t="s">
        <v>1610</v>
      </c>
    </row>
    <row r="1080" spans="1:23" ht="13" customHeight="1" x14ac:dyDescent="0.35">
      <c r="A1080" s="11">
        <v>1075</v>
      </c>
      <c r="B1080" s="47">
        <v>204967145</v>
      </c>
      <c r="C1080" s="94" t="s">
        <v>1186</v>
      </c>
      <c r="D1080" s="11" t="s">
        <v>1187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92</v>
      </c>
      <c r="M1080" s="49" t="s">
        <v>84</v>
      </c>
      <c r="N1080" s="48" t="s">
        <v>86</v>
      </c>
      <c r="O1080" s="49" t="s">
        <v>37</v>
      </c>
      <c r="P1080" s="11" t="s">
        <v>80</v>
      </c>
      <c r="Q1080" s="11" t="s">
        <v>90</v>
      </c>
      <c r="R1080" s="11" t="s">
        <v>1087</v>
      </c>
      <c r="S1080" s="11" t="s">
        <v>2823</v>
      </c>
      <c r="T1080" s="90" t="s">
        <v>1</v>
      </c>
      <c r="U1080" s="89"/>
      <c r="V1080" s="51">
        <v>45719</v>
      </c>
      <c r="W1080" s="49" t="s">
        <v>1612</v>
      </c>
    </row>
    <row r="1081" spans="1:23" ht="13" customHeight="1" x14ac:dyDescent="0.35">
      <c r="A1081" s="11">
        <v>1076</v>
      </c>
      <c r="B1081" s="47">
        <v>203512946</v>
      </c>
      <c r="C1081" s="94" t="s">
        <v>1188</v>
      </c>
      <c r="D1081" s="11" t="s">
        <v>1189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32</v>
      </c>
      <c r="K1081" s="49" t="s">
        <v>76</v>
      </c>
      <c r="L1081" s="49" t="s">
        <v>95</v>
      </c>
      <c r="M1081" s="49" t="s">
        <v>77</v>
      </c>
      <c r="N1081" s="48" t="s">
        <v>79</v>
      </c>
      <c r="O1081" s="49" t="s">
        <v>37</v>
      </c>
      <c r="P1081" s="11" t="s">
        <v>80</v>
      </c>
      <c r="Q1081" s="11" t="s">
        <v>81</v>
      </c>
      <c r="R1081" s="11" t="s">
        <v>2955</v>
      </c>
      <c r="S1081" s="11" t="s">
        <v>2956</v>
      </c>
      <c r="T1081" s="90" t="s">
        <v>10</v>
      </c>
      <c r="U1081" s="90"/>
      <c r="V1081" s="51">
        <v>45463</v>
      </c>
      <c r="W1081" s="49" t="s">
        <v>1610</v>
      </c>
    </row>
    <row r="1082" spans="1:23" ht="13" customHeight="1" x14ac:dyDescent="0.35">
      <c r="A1082" s="11">
        <v>1077</v>
      </c>
      <c r="B1082" s="47">
        <v>202189563</v>
      </c>
      <c r="C1082" s="94" t="s">
        <v>1190</v>
      </c>
      <c r="D1082" s="11" t="s">
        <v>1191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32</v>
      </c>
      <c r="K1082" s="49" t="s">
        <v>76</v>
      </c>
      <c r="L1082" s="49" t="s">
        <v>84</v>
      </c>
      <c r="M1082" s="49" t="s">
        <v>85</v>
      </c>
      <c r="N1082" s="48" t="s">
        <v>79</v>
      </c>
      <c r="O1082" s="49" t="s">
        <v>37</v>
      </c>
      <c r="P1082" s="11" t="s">
        <v>80</v>
      </c>
      <c r="Q1082" s="11" t="s">
        <v>81</v>
      </c>
      <c r="R1082" s="49" t="s">
        <v>648</v>
      </c>
      <c r="S1082" s="11" t="s">
        <v>1842</v>
      </c>
      <c r="T1082" s="90" t="s">
        <v>1</v>
      </c>
      <c r="U1082" s="89"/>
      <c r="V1082" s="51">
        <v>45537</v>
      </c>
      <c r="W1082" s="49" t="s">
        <v>1611</v>
      </c>
    </row>
    <row r="1083" spans="1:23" ht="13" customHeight="1" x14ac:dyDescent="0.35">
      <c r="A1083" s="11">
        <v>1078</v>
      </c>
      <c r="B1083" s="47">
        <v>203851102</v>
      </c>
      <c r="C1083" s="94" t="s">
        <v>1192</v>
      </c>
      <c r="D1083" s="11" t="s">
        <v>1193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39</v>
      </c>
      <c r="K1083" s="49" t="s">
        <v>76</v>
      </c>
      <c r="L1083" s="49" t="s">
        <v>95</v>
      </c>
      <c r="M1083" s="49" t="s">
        <v>77</v>
      </c>
      <c r="N1083" s="48" t="s">
        <v>79</v>
      </c>
      <c r="O1083" s="49" t="s">
        <v>37</v>
      </c>
      <c r="P1083" s="11" t="s">
        <v>80</v>
      </c>
      <c r="Q1083" s="11" t="s">
        <v>81</v>
      </c>
      <c r="R1083" s="49" t="s">
        <v>628</v>
      </c>
      <c r="S1083" s="11" t="s">
        <v>629</v>
      </c>
      <c r="T1083" s="90" t="s">
        <v>10</v>
      </c>
      <c r="U1083" s="90"/>
      <c r="V1083" s="51">
        <v>45524</v>
      </c>
      <c r="W1083" s="49" t="s">
        <v>1612</v>
      </c>
    </row>
    <row r="1084" spans="1:23" ht="13" customHeight="1" x14ac:dyDescent="0.35">
      <c r="A1084" s="11">
        <v>1079</v>
      </c>
      <c r="B1084" s="47">
        <v>205854084</v>
      </c>
      <c r="C1084" s="94" t="s">
        <v>1194</v>
      </c>
      <c r="D1084" s="11" t="s">
        <v>1195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84</v>
      </c>
      <c r="M1084" s="49" t="s">
        <v>85</v>
      </c>
      <c r="N1084" s="49" t="s">
        <v>79</v>
      </c>
      <c r="O1084" s="49" t="s">
        <v>37</v>
      </c>
      <c r="P1084" s="11" t="s">
        <v>80</v>
      </c>
      <c r="Q1084" s="11" t="s">
        <v>96</v>
      </c>
      <c r="R1084" s="11" t="s">
        <v>632</v>
      </c>
      <c r="S1084" s="11" t="s">
        <v>633</v>
      </c>
      <c r="T1084" s="90" t="s">
        <v>1</v>
      </c>
      <c r="U1084" s="90"/>
      <c r="V1084" s="51">
        <v>45894</v>
      </c>
      <c r="W1084" s="49" t="s">
        <v>1610</v>
      </c>
    </row>
    <row r="1085" spans="1:23" ht="13" customHeight="1" x14ac:dyDescent="0.35">
      <c r="A1085" s="11">
        <v>1080</v>
      </c>
      <c r="B1085" s="47">
        <v>106268302</v>
      </c>
      <c r="C1085" s="94" t="s">
        <v>1196</v>
      </c>
      <c r="D1085" s="11" t="s">
        <v>1197</v>
      </c>
      <c r="E1085" s="48" t="s">
        <v>34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32</v>
      </c>
      <c r="K1085" s="49" t="s">
        <v>76</v>
      </c>
      <c r="L1085" s="49" t="s">
        <v>95</v>
      </c>
      <c r="M1085" s="49" t="s">
        <v>77</v>
      </c>
      <c r="N1085" s="48" t="s">
        <v>97</v>
      </c>
      <c r="O1085" s="49" t="s">
        <v>37</v>
      </c>
      <c r="P1085" s="11" t="s">
        <v>80</v>
      </c>
      <c r="Q1085" s="11" t="s">
        <v>98</v>
      </c>
      <c r="R1085" s="11" t="s">
        <v>640</v>
      </c>
      <c r="S1085" s="11" t="s">
        <v>2824</v>
      </c>
      <c r="T1085" s="90" t="s">
        <v>10</v>
      </c>
      <c r="U1085" s="91"/>
      <c r="V1085" s="51">
        <v>44839</v>
      </c>
      <c r="W1085" s="49" t="s">
        <v>1614</v>
      </c>
    </row>
    <row r="1086" spans="1:23" ht="13" customHeight="1" x14ac:dyDescent="0.35">
      <c r="A1086" s="11">
        <v>1081</v>
      </c>
      <c r="B1086" s="47">
        <v>206915472</v>
      </c>
      <c r="C1086" s="94" t="s">
        <v>1981</v>
      </c>
      <c r="D1086" s="11" t="s">
        <v>1974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39</v>
      </c>
      <c r="K1086" s="49" t="s">
        <v>76</v>
      </c>
      <c r="L1086" s="49" t="s">
        <v>95</v>
      </c>
      <c r="M1086" s="49" t="s">
        <v>77</v>
      </c>
      <c r="N1086" s="49" t="s">
        <v>89</v>
      </c>
      <c r="O1086" s="49" t="s">
        <v>37</v>
      </c>
      <c r="P1086" s="11" t="s">
        <v>80</v>
      </c>
      <c r="Q1086" s="11" t="s">
        <v>90</v>
      </c>
      <c r="R1086" s="49" t="s">
        <v>628</v>
      </c>
      <c r="S1086" s="11" t="s">
        <v>629</v>
      </c>
      <c r="T1086" s="90" t="s">
        <v>10</v>
      </c>
      <c r="U1086" s="89"/>
      <c r="V1086" s="51">
        <v>46034</v>
      </c>
      <c r="W1086" s="49" t="s">
        <v>1610</v>
      </c>
    </row>
    <row r="1087" spans="1:23" ht="13" customHeight="1" x14ac:dyDescent="0.35">
      <c r="A1087" s="11">
        <v>1082</v>
      </c>
      <c r="B1087" s="47">
        <v>206129616</v>
      </c>
      <c r="C1087" s="94" t="s">
        <v>1198</v>
      </c>
      <c r="D1087" s="11" t="s">
        <v>1199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32</v>
      </c>
      <c r="K1087" s="49" t="s">
        <v>76</v>
      </c>
      <c r="L1087" s="49" t="s">
        <v>84</v>
      </c>
      <c r="M1087" s="49" t="s">
        <v>85</v>
      </c>
      <c r="N1087" s="48" t="s">
        <v>79</v>
      </c>
      <c r="O1087" s="49" t="s">
        <v>37</v>
      </c>
      <c r="P1087" s="11" t="s">
        <v>80</v>
      </c>
      <c r="Q1087" s="11" t="s">
        <v>81</v>
      </c>
      <c r="R1087" s="49" t="s">
        <v>648</v>
      </c>
      <c r="S1087" s="11" t="s">
        <v>1842</v>
      </c>
      <c r="T1087" s="90" t="s">
        <v>7</v>
      </c>
      <c r="U1087" s="90" t="s">
        <v>3004</v>
      </c>
      <c r="V1087" s="51">
        <v>45929</v>
      </c>
      <c r="W1087" s="49" t="s">
        <v>1610</v>
      </c>
    </row>
    <row r="1088" spans="1:23" ht="13" customHeight="1" x14ac:dyDescent="0.35">
      <c r="A1088" s="11">
        <v>1083</v>
      </c>
      <c r="B1088" s="47">
        <v>204951315</v>
      </c>
      <c r="C1088" s="94" t="s">
        <v>2520</v>
      </c>
      <c r="D1088" s="11" t="s">
        <v>2521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92</v>
      </c>
      <c r="M1088" s="49" t="s">
        <v>84</v>
      </c>
      <c r="N1088" s="48" t="s">
        <v>86</v>
      </c>
      <c r="O1088" s="49" t="s">
        <v>37</v>
      </c>
      <c r="P1088" s="11" t="s">
        <v>80</v>
      </c>
      <c r="Q1088" s="11" t="s">
        <v>90</v>
      </c>
      <c r="R1088" s="49" t="s">
        <v>648</v>
      </c>
      <c r="S1088" s="11" t="s">
        <v>1842</v>
      </c>
      <c r="T1088" s="90" t="s">
        <v>7</v>
      </c>
      <c r="U1088" s="90" t="s">
        <v>3004</v>
      </c>
      <c r="V1088" s="51">
        <v>45719</v>
      </c>
      <c r="W1088" s="49" t="s">
        <v>1610</v>
      </c>
    </row>
    <row r="1089" spans="1:23" ht="13" customHeight="1" x14ac:dyDescent="0.35">
      <c r="A1089" s="11">
        <v>1084</v>
      </c>
      <c r="B1089" s="47">
        <v>204009351</v>
      </c>
      <c r="C1089" s="94" t="s">
        <v>1200</v>
      </c>
      <c r="D1089" s="11" t="s">
        <v>1201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39</v>
      </c>
      <c r="K1089" s="49" t="s">
        <v>76</v>
      </c>
      <c r="L1089" s="49" t="s">
        <v>88</v>
      </c>
      <c r="M1089" s="49" t="s">
        <v>95</v>
      </c>
      <c r="N1089" s="48" t="s">
        <v>86</v>
      </c>
      <c r="O1089" s="49" t="s">
        <v>37</v>
      </c>
      <c r="P1089" s="11" t="s">
        <v>80</v>
      </c>
      <c r="Q1089" s="11" t="s">
        <v>90</v>
      </c>
      <c r="R1089" s="49" t="s">
        <v>648</v>
      </c>
      <c r="S1089" s="11" t="s">
        <v>1842</v>
      </c>
      <c r="T1089" s="90" t="s">
        <v>3</v>
      </c>
      <c r="U1089" s="90"/>
      <c r="V1089" s="51">
        <v>45551</v>
      </c>
      <c r="W1089" s="49" t="s">
        <v>1610</v>
      </c>
    </row>
    <row r="1090" spans="1:23" ht="13" customHeight="1" x14ac:dyDescent="0.35">
      <c r="A1090" s="11">
        <v>1085</v>
      </c>
      <c r="B1090" s="47">
        <v>203512947</v>
      </c>
      <c r="C1090" s="94" t="s">
        <v>1202</v>
      </c>
      <c r="D1090" s="11" t="s">
        <v>1203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39</v>
      </c>
      <c r="K1090" s="49" t="s">
        <v>76</v>
      </c>
      <c r="L1090" s="49" t="s">
        <v>88</v>
      </c>
      <c r="M1090" s="49" t="s">
        <v>95</v>
      </c>
      <c r="N1090" s="48" t="s">
        <v>79</v>
      </c>
      <c r="O1090" s="49" t="s">
        <v>37</v>
      </c>
      <c r="P1090" s="11" t="s">
        <v>80</v>
      </c>
      <c r="Q1090" s="11" t="s">
        <v>81</v>
      </c>
      <c r="R1090" s="11" t="s">
        <v>1087</v>
      </c>
      <c r="S1090" s="11" t="s">
        <v>2823</v>
      </c>
      <c r="T1090" s="90" t="s">
        <v>1</v>
      </c>
      <c r="U1090" s="91"/>
      <c r="V1090" s="51">
        <v>45463</v>
      </c>
      <c r="W1090" s="49" t="s">
        <v>1610</v>
      </c>
    </row>
    <row r="1091" spans="1:23" ht="13" customHeight="1" x14ac:dyDescent="0.35">
      <c r="A1091" s="11">
        <v>1086</v>
      </c>
      <c r="B1091" s="47">
        <v>206006426</v>
      </c>
      <c r="C1091" s="94" t="s">
        <v>1204</v>
      </c>
      <c r="D1091" s="11" t="s">
        <v>1205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77</v>
      </c>
      <c r="M1091" s="49" t="s">
        <v>78</v>
      </c>
      <c r="N1091" s="48" t="s">
        <v>79</v>
      </c>
      <c r="O1091" s="49" t="s">
        <v>37</v>
      </c>
      <c r="P1091" s="11" t="s">
        <v>80</v>
      </c>
      <c r="Q1091" s="11" t="s">
        <v>81</v>
      </c>
      <c r="R1091" s="49" t="s">
        <v>2825</v>
      </c>
      <c r="S1091" s="11" t="s">
        <v>643</v>
      </c>
      <c r="T1091" s="90" t="s">
        <v>10</v>
      </c>
      <c r="U1091" s="91"/>
      <c r="V1091" s="51">
        <v>45915</v>
      </c>
      <c r="W1091" s="49" t="s">
        <v>1610</v>
      </c>
    </row>
    <row r="1092" spans="1:23" ht="13" customHeight="1" x14ac:dyDescent="0.35">
      <c r="A1092" s="11">
        <v>1087</v>
      </c>
      <c r="B1092" s="47">
        <v>206129597</v>
      </c>
      <c r="C1092" s="94" t="s">
        <v>1206</v>
      </c>
      <c r="D1092" s="11" t="s">
        <v>1207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32</v>
      </c>
      <c r="K1092" s="49" t="s">
        <v>76</v>
      </c>
      <c r="L1092" s="49" t="s">
        <v>84</v>
      </c>
      <c r="M1092" s="49" t="s">
        <v>85</v>
      </c>
      <c r="N1092" s="48" t="s">
        <v>79</v>
      </c>
      <c r="O1092" s="49" t="s">
        <v>37</v>
      </c>
      <c r="P1092" s="11" t="s">
        <v>80</v>
      </c>
      <c r="Q1092" s="11" t="s">
        <v>81</v>
      </c>
      <c r="R1092" s="49" t="s">
        <v>648</v>
      </c>
      <c r="S1092" s="11" t="s">
        <v>1842</v>
      </c>
      <c r="T1092" s="90" t="s">
        <v>7</v>
      </c>
      <c r="U1092" s="90" t="s">
        <v>3004</v>
      </c>
      <c r="V1092" s="51">
        <v>45929</v>
      </c>
      <c r="W1092" s="49" t="s">
        <v>1610</v>
      </c>
    </row>
    <row r="1093" spans="1:23" ht="13" customHeight="1" x14ac:dyDescent="0.35">
      <c r="A1093" s="11">
        <v>1088</v>
      </c>
      <c r="B1093" s="47">
        <v>203522194</v>
      </c>
      <c r="C1093" s="94" t="s">
        <v>1208</v>
      </c>
      <c r="D1093" s="11" t="s">
        <v>1209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39</v>
      </c>
      <c r="K1093" s="49" t="s">
        <v>76</v>
      </c>
      <c r="L1093" s="49" t="s">
        <v>92</v>
      </c>
      <c r="M1093" s="49" t="s">
        <v>84</v>
      </c>
      <c r="N1093" s="48" t="s">
        <v>86</v>
      </c>
      <c r="O1093" s="49" t="s">
        <v>37</v>
      </c>
      <c r="P1093" s="11" t="s">
        <v>80</v>
      </c>
      <c r="Q1093" s="11" t="s">
        <v>99</v>
      </c>
      <c r="R1093" s="49" t="s">
        <v>648</v>
      </c>
      <c r="S1093" s="11" t="s">
        <v>1842</v>
      </c>
      <c r="T1093" s="90" t="s">
        <v>3</v>
      </c>
      <c r="U1093" s="90"/>
      <c r="V1093" s="51">
        <v>45463</v>
      </c>
      <c r="W1093" s="49" t="s">
        <v>1612</v>
      </c>
    </row>
    <row r="1094" spans="1:23" ht="13" customHeight="1" x14ac:dyDescent="0.35">
      <c r="A1094" s="11">
        <v>1089</v>
      </c>
      <c r="B1094" s="47">
        <v>204138127</v>
      </c>
      <c r="C1094" s="94" t="s">
        <v>1210</v>
      </c>
      <c r="D1094" s="11" t="s">
        <v>1211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32</v>
      </c>
      <c r="K1094" s="49" t="s">
        <v>76</v>
      </c>
      <c r="L1094" s="49" t="s">
        <v>92</v>
      </c>
      <c r="M1094" s="49" t="s">
        <v>84</v>
      </c>
      <c r="N1094" s="48" t="s">
        <v>86</v>
      </c>
      <c r="O1094" s="49" t="s">
        <v>37</v>
      </c>
      <c r="P1094" s="11" t="s">
        <v>80</v>
      </c>
      <c r="Q1094" s="11" t="s">
        <v>87</v>
      </c>
      <c r="R1094" s="11" t="s">
        <v>640</v>
      </c>
      <c r="S1094" s="11" t="s">
        <v>2824</v>
      </c>
      <c r="T1094" s="90" t="s">
        <v>1</v>
      </c>
      <c r="U1094" s="89"/>
      <c r="V1094" s="51">
        <v>45565</v>
      </c>
      <c r="W1094" s="49" t="s">
        <v>1612</v>
      </c>
    </row>
    <row r="1095" spans="1:23" ht="13" customHeight="1" x14ac:dyDescent="0.35">
      <c r="A1095" s="11">
        <v>1090</v>
      </c>
      <c r="B1095" s="47">
        <v>205996131</v>
      </c>
      <c r="C1095" s="94" t="s">
        <v>1212</v>
      </c>
      <c r="D1095" s="11" t="s">
        <v>1213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39</v>
      </c>
      <c r="K1095" s="49" t="s">
        <v>76</v>
      </c>
      <c r="L1095" s="49" t="s">
        <v>78</v>
      </c>
      <c r="M1095" s="49" t="s">
        <v>92</v>
      </c>
      <c r="N1095" s="49" t="s">
        <v>89</v>
      </c>
      <c r="O1095" s="49" t="s">
        <v>37</v>
      </c>
      <c r="P1095" s="11" t="s">
        <v>80</v>
      </c>
      <c r="Q1095" s="11" t="s">
        <v>81</v>
      </c>
      <c r="R1095" s="11" t="s">
        <v>632</v>
      </c>
      <c r="S1095" s="11" t="s">
        <v>633</v>
      </c>
      <c r="T1095" s="90" t="s">
        <v>7</v>
      </c>
      <c r="U1095" s="90" t="s">
        <v>3004</v>
      </c>
      <c r="V1095" s="51">
        <v>45915</v>
      </c>
      <c r="W1095" s="49" t="s">
        <v>1610</v>
      </c>
    </row>
    <row r="1096" spans="1:23" ht="13" customHeight="1" x14ac:dyDescent="0.35">
      <c r="A1096" s="11">
        <v>1091</v>
      </c>
      <c r="B1096" s="47">
        <v>206072874</v>
      </c>
      <c r="C1096" s="94" t="s">
        <v>1214</v>
      </c>
      <c r="D1096" s="11" t="s">
        <v>1215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92</v>
      </c>
      <c r="M1096" s="49" t="s">
        <v>84</v>
      </c>
      <c r="N1096" s="48" t="s">
        <v>79</v>
      </c>
      <c r="O1096" s="49" t="s">
        <v>37</v>
      </c>
      <c r="P1096" s="11" t="s">
        <v>80</v>
      </c>
      <c r="Q1096" s="11" t="s">
        <v>81</v>
      </c>
      <c r="R1096" s="49" t="s">
        <v>648</v>
      </c>
      <c r="S1096" s="11" t="s">
        <v>1842</v>
      </c>
      <c r="T1096" s="90" t="s">
        <v>1</v>
      </c>
      <c r="U1096" s="90"/>
      <c r="V1096" s="51">
        <v>45929</v>
      </c>
      <c r="W1096" s="49" t="s">
        <v>1610</v>
      </c>
    </row>
    <row r="1097" spans="1:23" ht="13" customHeight="1" x14ac:dyDescent="0.35">
      <c r="A1097" s="11">
        <v>1092</v>
      </c>
      <c r="B1097" s="47">
        <v>203964991</v>
      </c>
      <c r="C1097" s="94" t="s">
        <v>1216</v>
      </c>
      <c r="D1097" s="11" t="s">
        <v>1217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39</v>
      </c>
      <c r="K1097" s="49" t="s">
        <v>76</v>
      </c>
      <c r="L1097" s="49" t="s">
        <v>85</v>
      </c>
      <c r="M1097" s="49" t="s">
        <v>88</v>
      </c>
      <c r="N1097" s="48" t="s">
        <v>86</v>
      </c>
      <c r="O1097" s="49" t="s">
        <v>37</v>
      </c>
      <c r="P1097" s="11" t="s">
        <v>80</v>
      </c>
      <c r="Q1097" s="11" t="s">
        <v>99</v>
      </c>
      <c r="R1097" s="49" t="s">
        <v>648</v>
      </c>
      <c r="S1097" s="11" t="s">
        <v>1842</v>
      </c>
      <c r="T1097" s="90" t="s">
        <v>7</v>
      </c>
      <c r="U1097" s="90" t="s">
        <v>3004</v>
      </c>
      <c r="V1097" s="51">
        <v>45544</v>
      </c>
      <c r="W1097" s="49" t="s">
        <v>1610</v>
      </c>
    </row>
    <row r="1098" spans="1:23" ht="13" customHeight="1" x14ac:dyDescent="0.35">
      <c r="A1098" s="11">
        <v>1093</v>
      </c>
      <c r="B1098" s="47">
        <v>203468747</v>
      </c>
      <c r="C1098" s="94" t="s">
        <v>1220</v>
      </c>
      <c r="D1098" s="11" t="s">
        <v>1221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39</v>
      </c>
      <c r="K1098" s="49" t="s">
        <v>76</v>
      </c>
      <c r="L1098" s="49" t="s">
        <v>77</v>
      </c>
      <c r="M1098" s="49" t="s">
        <v>78</v>
      </c>
      <c r="N1098" s="48" t="s">
        <v>79</v>
      </c>
      <c r="O1098" s="49" t="s">
        <v>37</v>
      </c>
      <c r="P1098" s="11" t="s">
        <v>80</v>
      </c>
      <c r="Q1098" s="11" t="s">
        <v>81</v>
      </c>
      <c r="R1098" s="11" t="s">
        <v>1087</v>
      </c>
      <c r="S1098" s="11" t="s">
        <v>2823</v>
      </c>
      <c r="T1098" s="90" t="s">
        <v>10</v>
      </c>
      <c r="U1098" s="90"/>
      <c r="V1098" s="51">
        <v>45456</v>
      </c>
      <c r="W1098" s="49" t="s">
        <v>1612</v>
      </c>
    </row>
    <row r="1099" spans="1:23" ht="13" customHeight="1" x14ac:dyDescent="0.35">
      <c r="A1099" s="11">
        <v>1094</v>
      </c>
      <c r="B1099" s="47">
        <v>203908339</v>
      </c>
      <c r="C1099" s="94" t="s">
        <v>1222</v>
      </c>
      <c r="D1099" s="11" t="s">
        <v>1223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32</v>
      </c>
      <c r="K1099" s="49" t="s">
        <v>76</v>
      </c>
      <c r="L1099" s="49" t="s">
        <v>92</v>
      </c>
      <c r="M1099" s="49" t="s">
        <v>84</v>
      </c>
      <c r="N1099" s="48" t="s">
        <v>79</v>
      </c>
      <c r="O1099" s="49" t="s">
        <v>37</v>
      </c>
      <c r="P1099" s="11" t="s">
        <v>80</v>
      </c>
      <c r="Q1099" s="11" t="s">
        <v>81</v>
      </c>
      <c r="R1099" s="49" t="s">
        <v>648</v>
      </c>
      <c r="S1099" s="11" t="s">
        <v>1842</v>
      </c>
      <c r="T1099" s="90" t="s">
        <v>1</v>
      </c>
      <c r="U1099" s="89"/>
      <c r="V1099" s="51">
        <v>45537</v>
      </c>
      <c r="W1099" s="49" t="s">
        <v>1610</v>
      </c>
    </row>
    <row r="1100" spans="1:23" ht="13" customHeight="1" x14ac:dyDescent="0.35">
      <c r="A1100" s="11">
        <v>1095</v>
      </c>
      <c r="B1100" s="47">
        <v>203850898</v>
      </c>
      <c r="C1100" s="94" t="s">
        <v>2522</v>
      </c>
      <c r="D1100" s="11" t="s">
        <v>2523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39</v>
      </c>
      <c r="K1100" s="49" t="s">
        <v>76</v>
      </c>
      <c r="L1100" s="49" t="s">
        <v>95</v>
      </c>
      <c r="M1100" s="49" t="s">
        <v>77</v>
      </c>
      <c r="N1100" s="48" t="s">
        <v>86</v>
      </c>
      <c r="O1100" s="49" t="s">
        <v>37</v>
      </c>
      <c r="P1100" s="11" t="s">
        <v>80</v>
      </c>
      <c r="Q1100" s="11" t="s">
        <v>90</v>
      </c>
      <c r="R1100" s="11" t="s">
        <v>632</v>
      </c>
      <c r="S1100" s="11" t="s">
        <v>633</v>
      </c>
      <c r="T1100" s="90" t="s">
        <v>10</v>
      </c>
      <c r="U1100" s="91"/>
      <c r="V1100" s="51">
        <v>45524</v>
      </c>
      <c r="W1100" s="49" t="s">
        <v>1610</v>
      </c>
    </row>
    <row r="1101" spans="1:23" ht="13" customHeight="1" x14ac:dyDescent="0.35">
      <c r="A1101" s="11">
        <v>1096</v>
      </c>
      <c r="B1101" s="47">
        <v>204138128</v>
      </c>
      <c r="C1101" s="94" t="s">
        <v>1224</v>
      </c>
      <c r="D1101" s="11" t="s">
        <v>1225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39</v>
      </c>
      <c r="K1101" s="49" t="s">
        <v>76</v>
      </c>
      <c r="L1101" s="49" t="s">
        <v>77</v>
      </c>
      <c r="M1101" s="49" t="s">
        <v>78</v>
      </c>
      <c r="N1101" s="48" t="s">
        <v>86</v>
      </c>
      <c r="O1101" s="49" t="s">
        <v>37</v>
      </c>
      <c r="P1101" s="11" t="s">
        <v>80</v>
      </c>
      <c r="Q1101" s="11" t="s">
        <v>87</v>
      </c>
      <c r="R1101" s="49" t="s">
        <v>628</v>
      </c>
      <c r="S1101" s="11" t="s">
        <v>629</v>
      </c>
      <c r="T1101" s="90" t="s">
        <v>10</v>
      </c>
      <c r="U1101" s="91"/>
      <c r="V1101" s="51">
        <v>45565</v>
      </c>
      <c r="W1101" s="49" t="s">
        <v>1612</v>
      </c>
    </row>
    <row r="1102" spans="1:23" ht="13" customHeight="1" x14ac:dyDescent="0.35">
      <c r="A1102" s="11">
        <v>1097</v>
      </c>
      <c r="B1102" s="47">
        <v>204094494</v>
      </c>
      <c r="C1102" s="94" t="s">
        <v>1226</v>
      </c>
      <c r="D1102" s="11" t="s">
        <v>1227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39</v>
      </c>
      <c r="K1102" s="49" t="s">
        <v>76</v>
      </c>
      <c r="L1102" s="49" t="s">
        <v>95</v>
      </c>
      <c r="M1102" s="49" t="s">
        <v>77</v>
      </c>
      <c r="N1102" s="48" t="s">
        <v>86</v>
      </c>
      <c r="O1102" s="49" t="s">
        <v>37</v>
      </c>
      <c r="P1102" s="11" t="s">
        <v>80</v>
      </c>
      <c r="Q1102" s="11" t="s">
        <v>87</v>
      </c>
      <c r="R1102" s="49" t="s">
        <v>628</v>
      </c>
      <c r="S1102" s="11" t="s">
        <v>629</v>
      </c>
      <c r="T1102" s="90" t="s">
        <v>10</v>
      </c>
      <c r="U1102" s="90"/>
      <c r="V1102" s="51">
        <v>45561</v>
      </c>
      <c r="W1102" s="49" t="s">
        <v>1611</v>
      </c>
    </row>
    <row r="1103" spans="1:23" ht="13" customHeight="1" x14ac:dyDescent="0.35">
      <c r="A1103" s="11">
        <v>1098</v>
      </c>
      <c r="B1103" s="47">
        <v>203850925</v>
      </c>
      <c r="C1103" s="94" t="s">
        <v>2435</v>
      </c>
      <c r="D1103" s="11" t="s">
        <v>2436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32</v>
      </c>
      <c r="K1103" s="49" t="s">
        <v>76</v>
      </c>
      <c r="L1103" s="49" t="s">
        <v>95</v>
      </c>
      <c r="M1103" s="49" t="s">
        <v>77</v>
      </c>
      <c r="N1103" s="48" t="s">
        <v>86</v>
      </c>
      <c r="O1103" s="49" t="s">
        <v>37</v>
      </c>
      <c r="P1103" s="11" t="s">
        <v>80</v>
      </c>
      <c r="Q1103" s="11" t="s">
        <v>90</v>
      </c>
      <c r="R1103" s="49" t="s">
        <v>648</v>
      </c>
      <c r="S1103" s="11" t="s">
        <v>1842</v>
      </c>
      <c r="T1103" s="90" t="s">
        <v>10</v>
      </c>
      <c r="U1103" s="90"/>
      <c r="V1103" s="51">
        <v>45524</v>
      </c>
      <c r="W1103" s="49" t="s">
        <v>1611</v>
      </c>
    </row>
    <row r="1104" spans="1:23" ht="13" customHeight="1" x14ac:dyDescent="0.35">
      <c r="A1104" s="11">
        <v>1099</v>
      </c>
      <c r="B1104" s="47">
        <v>203965457</v>
      </c>
      <c r="C1104" s="94" t="s">
        <v>1228</v>
      </c>
      <c r="D1104" s="11" t="s">
        <v>1229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39</v>
      </c>
      <c r="K1104" s="49" t="s">
        <v>76</v>
      </c>
      <c r="L1104" s="49" t="s">
        <v>95</v>
      </c>
      <c r="M1104" s="49" t="s">
        <v>77</v>
      </c>
      <c r="N1104" s="48" t="s">
        <v>79</v>
      </c>
      <c r="O1104" s="49" t="s">
        <v>37</v>
      </c>
      <c r="P1104" s="11" t="s">
        <v>80</v>
      </c>
      <c r="Q1104" s="11" t="s">
        <v>81</v>
      </c>
      <c r="R1104" s="11" t="s">
        <v>632</v>
      </c>
      <c r="S1104" s="11" t="s">
        <v>633</v>
      </c>
      <c r="T1104" s="90" t="s">
        <v>10</v>
      </c>
      <c r="U1104" s="91"/>
      <c r="V1104" s="51">
        <v>45544</v>
      </c>
      <c r="W1104" s="49" t="s">
        <v>1610</v>
      </c>
    </row>
    <row r="1105" spans="1:23" ht="13" customHeight="1" x14ac:dyDescent="0.35">
      <c r="A1105" s="11">
        <v>1100</v>
      </c>
      <c r="B1105" s="47">
        <v>204467948</v>
      </c>
      <c r="C1105" s="94" t="s">
        <v>1230</v>
      </c>
      <c r="D1105" s="11" t="s">
        <v>1231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32</v>
      </c>
      <c r="K1105" s="49" t="s">
        <v>76</v>
      </c>
      <c r="L1105" s="49" t="s">
        <v>84</v>
      </c>
      <c r="M1105" s="49" t="s">
        <v>85</v>
      </c>
      <c r="N1105" s="48" t="s">
        <v>86</v>
      </c>
      <c r="O1105" s="49" t="s">
        <v>37</v>
      </c>
      <c r="P1105" s="11" t="s">
        <v>80</v>
      </c>
      <c r="Q1105" s="11" t="s">
        <v>87</v>
      </c>
      <c r="R1105" s="11" t="s">
        <v>1087</v>
      </c>
      <c r="S1105" s="11" t="s">
        <v>2823</v>
      </c>
      <c r="T1105" s="90" t="s">
        <v>1</v>
      </c>
      <c r="U1105" s="89"/>
      <c r="V1105" s="51">
        <v>45603</v>
      </c>
      <c r="W1105" s="49" t="s">
        <v>1610</v>
      </c>
    </row>
    <row r="1106" spans="1:23" ht="13" customHeight="1" x14ac:dyDescent="0.35">
      <c r="A1106" s="11">
        <v>1101</v>
      </c>
      <c r="B1106" s="47">
        <v>201487409</v>
      </c>
      <c r="C1106" s="94" t="s">
        <v>1232</v>
      </c>
      <c r="D1106" s="11" t="s">
        <v>1233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39</v>
      </c>
      <c r="K1106" s="49" t="s">
        <v>76</v>
      </c>
      <c r="L1106" s="49" t="s">
        <v>95</v>
      </c>
      <c r="M1106" s="49" t="s">
        <v>77</v>
      </c>
      <c r="N1106" s="48" t="s">
        <v>79</v>
      </c>
      <c r="O1106" s="49" t="s">
        <v>37</v>
      </c>
      <c r="P1106" s="11" t="s">
        <v>80</v>
      </c>
      <c r="Q1106" s="11" t="s">
        <v>81</v>
      </c>
      <c r="R1106" s="11" t="s">
        <v>632</v>
      </c>
      <c r="S1106" s="11" t="s">
        <v>633</v>
      </c>
      <c r="T1106" s="90" t="s">
        <v>10</v>
      </c>
      <c r="U1106" s="91"/>
      <c r="V1106" s="51">
        <v>45561</v>
      </c>
      <c r="W1106" s="49" t="s">
        <v>1609</v>
      </c>
    </row>
    <row r="1107" spans="1:23" ht="13" customHeight="1" x14ac:dyDescent="0.35">
      <c r="A1107" s="11">
        <v>1102</v>
      </c>
      <c r="B1107" s="47">
        <v>204331928</v>
      </c>
      <c r="C1107" s="94" t="s">
        <v>1234</v>
      </c>
      <c r="D1107" s="11" t="s">
        <v>1235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39</v>
      </c>
      <c r="K1107" s="49" t="s">
        <v>76</v>
      </c>
      <c r="L1107" s="49" t="s">
        <v>88</v>
      </c>
      <c r="M1107" s="49" t="s">
        <v>95</v>
      </c>
      <c r="N1107" s="48" t="s">
        <v>86</v>
      </c>
      <c r="O1107" s="49" t="s">
        <v>37</v>
      </c>
      <c r="P1107" s="11" t="s">
        <v>80</v>
      </c>
      <c r="Q1107" s="11" t="s">
        <v>87</v>
      </c>
      <c r="R1107" s="49" t="s">
        <v>648</v>
      </c>
      <c r="S1107" s="11" t="s">
        <v>1842</v>
      </c>
      <c r="T1107" s="90" t="s">
        <v>7</v>
      </c>
      <c r="U1107" s="90" t="s">
        <v>3004</v>
      </c>
      <c r="V1107" s="51">
        <v>45589</v>
      </c>
      <c r="W1107" s="49" t="s">
        <v>1610</v>
      </c>
    </row>
    <row r="1108" spans="1:23" ht="13" customHeight="1" x14ac:dyDescent="0.35">
      <c r="A1108" s="11">
        <v>1103</v>
      </c>
      <c r="B1108" s="47">
        <v>203341964</v>
      </c>
      <c r="C1108" s="94" t="s">
        <v>1236</v>
      </c>
      <c r="D1108" s="11" t="s">
        <v>1237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39</v>
      </c>
      <c r="K1108" s="49" t="s">
        <v>76</v>
      </c>
      <c r="L1108" s="49" t="s">
        <v>77</v>
      </c>
      <c r="M1108" s="49" t="s">
        <v>78</v>
      </c>
      <c r="N1108" s="48" t="s">
        <v>86</v>
      </c>
      <c r="O1108" s="49" t="s">
        <v>37</v>
      </c>
      <c r="P1108" s="11" t="s">
        <v>80</v>
      </c>
      <c r="Q1108" s="11" t="s">
        <v>99</v>
      </c>
      <c r="R1108" s="11" t="s">
        <v>1087</v>
      </c>
      <c r="S1108" s="11" t="s">
        <v>2823</v>
      </c>
      <c r="T1108" s="90" t="s">
        <v>10</v>
      </c>
      <c r="U1108" s="89"/>
      <c r="V1108" s="51">
        <v>45432</v>
      </c>
      <c r="W1108" s="49" t="s">
        <v>1610</v>
      </c>
    </row>
    <row r="1109" spans="1:23" ht="13" customHeight="1" x14ac:dyDescent="0.35">
      <c r="A1109" s="11">
        <v>1104</v>
      </c>
      <c r="B1109" s="47">
        <v>206926976</v>
      </c>
      <c r="C1109" s="94" t="s">
        <v>2077</v>
      </c>
      <c r="D1109" s="11" t="s">
        <v>2087</v>
      </c>
      <c r="E1109" s="48" t="s">
        <v>31</v>
      </c>
      <c r="F1109" s="48" t="s">
        <v>74</v>
      </c>
      <c r="G1109" s="48" t="s">
        <v>64</v>
      </c>
      <c r="H1109" s="48" t="s">
        <v>75</v>
      </c>
      <c r="I1109" s="11">
        <v>1290</v>
      </c>
      <c r="J1109" s="49" t="s">
        <v>32</v>
      </c>
      <c r="K1109" s="49" t="s">
        <v>76</v>
      </c>
      <c r="L1109" s="49" t="s">
        <v>92</v>
      </c>
      <c r="M1109" s="49" t="s">
        <v>84</v>
      </c>
      <c r="N1109" s="49" t="s">
        <v>89</v>
      </c>
      <c r="O1109" s="49" t="s">
        <v>37</v>
      </c>
      <c r="P1109" s="49" t="s">
        <v>80</v>
      </c>
      <c r="Q1109" s="49" t="s">
        <v>81</v>
      </c>
      <c r="R1109" s="11" t="s">
        <v>632</v>
      </c>
      <c r="S1109" s="49" t="s">
        <v>633</v>
      </c>
      <c r="T1109" s="90" t="s">
        <v>1</v>
      </c>
      <c r="U1109" s="89"/>
      <c r="V1109" s="51">
        <v>46037</v>
      </c>
      <c r="W1109" s="49" t="s">
        <v>1609</v>
      </c>
    </row>
    <row r="1110" spans="1:23" ht="13" customHeight="1" x14ac:dyDescent="0.35">
      <c r="A1110" s="11">
        <v>1105</v>
      </c>
      <c r="B1110" s="47">
        <v>203011024</v>
      </c>
      <c r="C1110" s="94" t="s">
        <v>1238</v>
      </c>
      <c r="D1110" s="11" t="s">
        <v>1239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39</v>
      </c>
      <c r="K1110" s="49" t="s">
        <v>76</v>
      </c>
      <c r="L1110" s="49" t="s">
        <v>95</v>
      </c>
      <c r="M1110" s="49" t="s">
        <v>77</v>
      </c>
      <c r="N1110" s="48" t="s">
        <v>79</v>
      </c>
      <c r="O1110" s="49" t="s">
        <v>37</v>
      </c>
      <c r="P1110" s="11" t="s">
        <v>80</v>
      </c>
      <c r="Q1110" s="11" t="s">
        <v>81</v>
      </c>
      <c r="R1110" s="11" t="s">
        <v>628</v>
      </c>
      <c r="S1110" s="11" t="s">
        <v>629</v>
      </c>
      <c r="T1110" s="90" t="s">
        <v>10</v>
      </c>
      <c r="U1110" s="91"/>
      <c r="V1110" s="51">
        <v>45603</v>
      </c>
      <c r="W1110" s="49" t="s">
        <v>1610</v>
      </c>
    </row>
    <row r="1111" spans="1:23" ht="13" customHeight="1" x14ac:dyDescent="0.35">
      <c r="A1111" s="11">
        <v>1106</v>
      </c>
      <c r="B1111" s="47">
        <v>204172230</v>
      </c>
      <c r="C1111" s="94" t="s">
        <v>2437</v>
      </c>
      <c r="D1111" s="11" t="s">
        <v>2438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32</v>
      </c>
      <c r="K1111" s="49" t="s">
        <v>76</v>
      </c>
      <c r="L1111" s="49" t="s">
        <v>78</v>
      </c>
      <c r="M1111" s="49" t="s">
        <v>92</v>
      </c>
      <c r="N1111" s="49" t="s">
        <v>89</v>
      </c>
      <c r="O1111" s="49" t="s">
        <v>37</v>
      </c>
      <c r="P1111" s="11" t="s">
        <v>80</v>
      </c>
      <c r="Q1111" s="11" t="s">
        <v>90</v>
      </c>
      <c r="R1111" s="11" t="s">
        <v>1087</v>
      </c>
      <c r="S1111" s="11" t="s">
        <v>2823</v>
      </c>
      <c r="T1111" s="90" t="s">
        <v>1</v>
      </c>
      <c r="U1111" s="91"/>
      <c r="V1111" s="51">
        <v>45568</v>
      </c>
      <c r="W1111" s="49" t="s">
        <v>1611</v>
      </c>
    </row>
    <row r="1112" spans="1:23" ht="13" customHeight="1" x14ac:dyDescent="0.35">
      <c r="A1112" s="11">
        <v>1107</v>
      </c>
      <c r="B1112" s="47">
        <v>205845560</v>
      </c>
      <c r="C1112" s="94" t="s">
        <v>1240</v>
      </c>
      <c r="D1112" s="11" t="s">
        <v>1241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32</v>
      </c>
      <c r="K1112" s="49" t="s">
        <v>76</v>
      </c>
      <c r="L1112" s="49" t="s">
        <v>77</v>
      </c>
      <c r="M1112" s="49" t="s">
        <v>78</v>
      </c>
      <c r="N1112" s="48" t="s">
        <v>86</v>
      </c>
      <c r="O1112" s="49" t="s">
        <v>37</v>
      </c>
      <c r="P1112" s="11" t="s">
        <v>80</v>
      </c>
      <c r="Q1112" s="11" t="s">
        <v>90</v>
      </c>
      <c r="R1112" s="11" t="s">
        <v>2955</v>
      </c>
      <c r="S1112" s="11" t="s">
        <v>2956</v>
      </c>
      <c r="T1112" s="90" t="s">
        <v>10</v>
      </c>
      <c r="U1112" s="90"/>
      <c r="V1112" s="51">
        <v>45894</v>
      </c>
      <c r="W1112" s="49" t="s">
        <v>1610</v>
      </c>
    </row>
    <row r="1113" spans="1:23" ht="13" customHeight="1" x14ac:dyDescent="0.35">
      <c r="A1113" s="11">
        <v>1108</v>
      </c>
      <c r="B1113" s="47">
        <v>203851002</v>
      </c>
      <c r="C1113" s="94" t="s">
        <v>1242</v>
      </c>
      <c r="D1113" s="11" t="s">
        <v>1243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39</v>
      </c>
      <c r="K1113" s="49" t="s">
        <v>76</v>
      </c>
      <c r="L1113" s="49" t="s">
        <v>84</v>
      </c>
      <c r="M1113" s="49" t="s">
        <v>85</v>
      </c>
      <c r="N1113" s="48" t="s">
        <v>79</v>
      </c>
      <c r="O1113" s="49" t="s">
        <v>37</v>
      </c>
      <c r="P1113" s="11" t="s">
        <v>80</v>
      </c>
      <c r="Q1113" s="11" t="s">
        <v>81</v>
      </c>
      <c r="R1113" s="11" t="s">
        <v>632</v>
      </c>
      <c r="S1113" s="11" t="s">
        <v>633</v>
      </c>
      <c r="T1113" s="90" t="s">
        <v>1</v>
      </c>
      <c r="U1113" s="89"/>
      <c r="V1113" s="51">
        <v>45524</v>
      </c>
      <c r="W1113" s="49" t="s">
        <v>1611</v>
      </c>
    </row>
    <row r="1114" spans="1:23" ht="13" customHeight="1" x14ac:dyDescent="0.35">
      <c r="A1114" s="11">
        <v>1109</v>
      </c>
      <c r="B1114" s="47">
        <v>203850924</v>
      </c>
      <c r="C1114" s="94" t="s">
        <v>2453</v>
      </c>
      <c r="D1114" s="11" t="s">
        <v>2454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32</v>
      </c>
      <c r="K1114" s="49" t="s">
        <v>76</v>
      </c>
      <c r="L1114" s="49" t="s">
        <v>92</v>
      </c>
      <c r="M1114" s="49" t="s">
        <v>84</v>
      </c>
      <c r="N1114" s="48" t="s">
        <v>86</v>
      </c>
      <c r="O1114" s="49" t="s">
        <v>37</v>
      </c>
      <c r="P1114" s="11" t="s">
        <v>80</v>
      </c>
      <c r="Q1114" s="11" t="s">
        <v>90</v>
      </c>
      <c r="R1114" s="49" t="s">
        <v>648</v>
      </c>
      <c r="S1114" s="11" t="s">
        <v>1842</v>
      </c>
      <c r="T1114" s="90" t="s">
        <v>1</v>
      </c>
      <c r="U1114" s="91"/>
      <c r="V1114" s="51">
        <v>45524</v>
      </c>
      <c r="W1114" s="49" t="s">
        <v>1611</v>
      </c>
    </row>
    <row r="1115" spans="1:23" ht="13" customHeight="1" x14ac:dyDescent="0.35">
      <c r="A1115" s="11">
        <v>1110</v>
      </c>
      <c r="B1115" s="47">
        <v>203850926</v>
      </c>
      <c r="C1115" s="94" t="s">
        <v>2455</v>
      </c>
      <c r="D1115" s="11" t="s">
        <v>2456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32</v>
      </c>
      <c r="K1115" s="49" t="s">
        <v>76</v>
      </c>
      <c r="L1115" s="49" t="s">
        <v>92</v>
      </c>
      <c r="M1115" s="49" t="s">
        <v>84</v>
      </c>
      <c r="N1115" s="48" t="s">
        <v>86</v>
      </c>
      <c r="O1115" s="49" t="s">
        <v>37</v>
      </c>
      <c r="P1115" s="11" t="s">
        <v>80</v>
      </c>
      <c r="Q1115" s="11" t="s">
        <v>90</v>
      </c>
      <c r="R1115" s="11" t="s">
        <v>632</v>
      </c>
      <c r="S1115" s="11" t="s">
        <v>633</v>
      </c>
      <c r="T1115" s="90" t="s">
        <v>1</v>
      </c>
      <c r="U1115" s="89"/>
      <c r="V1115" s="51">
        <v>45524</v>
      </c>
      <c r="W1115" s="49" t="s">
        <v>1611</v>
      </c>
    </row>
    <row r="1116" spans="1:23" ht="13" customHeight="1" x14ac:dyDescent="0.35">
      <c r="A1116" s="11">
        <v>1111</v>
      </c>
      <c r="B1116" s="47">
        <v>203850923</v>
      </c>
      <c r="C1116" s="94" t="s">
        <v>2457</v>
      </c>
      <c r="D1116" s="11" t="s">
        <v>2458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39</v>
      </c>
      <c r="K1116" s="49" t="s">
        <v>76</v>
      </c>
      <c r="L1116" s="49" t="s">
        <v>85</v>
      </c>
      <c r="M1116" s="49" t="s">
        <v>88</v>
      </c>
      <c r="N1116" s="48" t="s">
        <v>86</v>
      </c>
      <c r="O1116" s="49" t="s">
        <v>37</v>
      </c>
      <c r="P1116" s="11" t="s">
        <v>80</v>
      </c>
      <c r="Q1116" s="11" t="s">
        <v>90</v>
      </c>
      <c r="R1116" s="11" t="s">
        <v>632</v>
      </c>
      <c r="S1116" s="11" t="s">
        <v>633</v>
      </c>
      <c r="T1116" s="90" t="s">
        <v>1</v>
      </c>
      <c r="U1116" s="89"/>
      <c r="V1116" s="51">
        <v>45524</v>
      </c>
      <c r="W1116" s="49" t="s">
        <v>1611</v>
      </c>
    </row>
    <row r="1117" spans="1:23" ht="13" customHeight="1" x14ac:dyDescent="0.35">
      <c r="A1117" s="11">
        <v>1112</v>
      </c>
      <c r="B1117" s="47">
        <v>206873790</v>
      </c>
      <c r="C1117" s="94" t="s">
        <v>1929</v>
      </c>
      <c r="D1117" s="11" t="s">
        <v>1930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39</v>
      </c>
      <c r="K1117" s="49" t="s">
        <v>76</v>
      </c>
      <c r="L1117" s="49" t="s">
        <v>88</v>
      </c>
      <c r="M1117" s="49" t="s">
        <v>95</v>
      </c>
      <c r="N1117" s="49" t="s">
        <v>89</v>
      </c>
      <c r="O1117" s="48" t="s">
        <v>37</v>
      </c>
      <c r="P1117" s="48" t="s">
        <v>80</v>
      </c>
      <c r="Q1117" s="11" t="s">
        <v>90</v>
      </c>
      <c r="R1117" s="49" t="s">
        <v>648</v>
      </c>
      <c r="S1117" s="11" t="s">
        <v>1842</v>
      </c>
      <c r="T1117" s="90" t="s">
        <v>1</v>
      </c>
      <c r="U1117" s="89"/>
      <c r="V1117" s="51">
        <v>46030</v>
      </c>
      <c r="W1117" s="49" t="s">
        <v>1610</v>
      </c>
    </row>
    <row r="1118" spans="1:23" ht="13" customHeight="1" x14ac:dyDescent="0.35">
      <c r="A1118" s="11">
        <v>1113</v>
      </c>
      <c r="B1118" s="47">
        <v>206015650</v>
      </c>
      <c r="C1118" s="94" t="s">
        <v>1244</v>
      </c>
      <c r="D1118" s="11" t="s">
        <v>1245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39</v>
      </c>
      <c r="K1118" s="49" t="s">
        <v>76</v>
      </c>
      <c r="L1118" s="49" t="s">
        <v>77</v>
      </c>
      <c r="M1118" s="49" t="s">
        <v>78</v>
      </c>
      <c r="N1118" s="49" t="s">
        <v>89</v>
      </c>
      <c r="O1118" s="49" t="s">
        <v>37</v>
      </c>
      <c r="P1118" s="11" t="s">
        <v>80</v>
      </c>
      <c r="Q1118" s="11" t="s">
        <v>81</v>
      </c>
      <c r="R1118" s="49" t="s">
        <v>628</v>
      </c>
      <c r="S1118" s="11" t="s">
        <v>629</v>
      </c>
      <c r="T1118" s="90" t="s">
        <v>10</v>
      </c>
      <c r="U1118" s="90"/>
      <c r="V1118" s="51">
        <v>45915</v>
      </c>
      <c r="W1118" s="49" t="s">
        <v>1610</v>
      </c>
    </row>
    <row r="1119" spans="1:23" ht="13" customHeight="1" x14ac:dyDescent="0.35">
      <c r="A1119" s="11">
        <v>1114</v>
      </c>
      <c r="B1119" s="47">
        <v>205854085</v>
      </c>
      <c r="C1119" s="94" t="s">
        <v>1246</v>
      </c>
      <c r="D1119" s="11" t="s">
        <v>1247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32</v>
      </c>
      <c r="K1119" s="49" t="s">
        <v>76</v>
      </c>
      <c r="L1119" s="49" t="s">
        <v>78</v>
      </c>
      <c r="M1119" s="49" t="s">
        <v>92</v>
      </c>
      <c r="N1119" s="49" t="s">
        <v>89</v>
      </c>
      <c r="O1119" s="49" t="s">
        <v>37</v>
      </c>
      <c r="P1119" s="11" t="s">
        <v>80</v>
      </c>
      <c r="Q1119" s="11" t="s">
        <v>96</v>
      </c>
      <c r="R1119" s="11" t="s">
        <v>640</v>
      </c>
      <c r="S1119" s="11" t="s">
        <v>2824</v>
      </c>
      <c r="T1119" s="90" t="s">
        <v>1</v>
      </c>
      <c r="U1119" s="90"/>
      <c r="V1119" s="51">
        <v>45894</v>
      </c>
      <c r="W1119" s="49" t="s">
        <v>1610</v>
      </c>
    </row>
    <row r="1120" spans="1:23" ht="13" customHeight="1" x14ac:dyDescent="0.35">
      <c r="A1120" s="11">
        <v>1115</v>
      </c>
      <c r="B1120" s="47">
        <v>205996136</v>
      </c>
      <c r="C1120" s="94" t="s">
        <v>1248</v>
      </c>
      <c r="D1120" s="11" t="s">
        <v>1249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32</v>
      </c>
      <c r="K1120" s="49" t="s">
        <v>76</v>
      </c>
      <c r="L1120" s="49" t="s">
        <v>78</v>
      </c>
      <c r="M1120" s="49" t="s">
        <v>92</v>
      </c>
      <c r="N1120" s="48" t="s">
        <v>79</v>
      </c>
      <c r="O1120" s="49" t="s">
        <v>37</v>
      </c>
      <c r="P1120" s="11" t="s">
        <v>80</v>
      </c>
      <c r="Q1120" s="11" t="s">
        <v>81</v>
      </c>
      <c r="R1120" s="11" t="s">
        <v>632</v>
      </c>
      <c r="S1120" s="11" t="s">
        <v>633</v>
      </c>
      <c r="T1120" s="90" t="s">
        <v>1</v>
      </c>
      <c r="U1120" s="91"/>
      <c r="V1120" s="51">
        <v>45915</v>
      </c>
      <c r="W1120" s="49" t="s">
        <v>1610</v>
      </c>
    </row>
    <row r="1121" spans="1:23" ht="13" customHeight="1" x14ac:dyDescent="0.35">
      <c r="A1121" s="11">
        <v>1116</v>
      </c>
      <c r="B1121" s="47">
        <v>206491329</v>
      </c>
      <c r="C1121" s="94" t="s">
        <v>2241</v>
      </c>
      <c r="D1121" s="11" t="s">
        <v>2242</v>
      </c>
      <c r="E1121" s="113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32</v>
      </c>
      <c r="K1121" s="49" t="s">
        <v>76</v>
      </c>
      <c r="L1121" s="49" t="s">
        <v>84</v>
      </c>
      <c r="M1121" s="49" t="s">
        <v>85</v>
      </c>
      <c r="N1121" s="49" t="s">
        <v>89</v>
      </c>
      <c r="O1121" s="49" t="s">
        <v>37</v>
      </c>
      <c r="P1121" s="49" t="s">
        <v>80</v>
      </c>
      <c r="Q1121" s="49" t="s">
        <v>96</v>
      </c>
      <c r="R1121" s="11" t="s">
        <v>632</v>
      </c>
      <c r="S1121" s="49" t="s">
        <v>633</v>
      </c>
      <c r="T1121" s="90" t="s">
        <v>1</v>
      </c>
      <c r="U1121" s="90"/>
      <c r="V1121" s="51">
        <v>46048</v>
      </c>
      <c r="W1121" s="49" t="s">
        <v>1610</v>
      </c>
    </row>
    <row r="1122" spans="1:23" ht="13" customHeight="1" x14ac:dyDescent="0.35">
      <c r="A1122" s="11">
        <v>1117</v>
      </c>
      <c r="B1122" s="47">
        <v>204052506</v>
      </c>
      <c r="C1122" s="94" t="s">
        <v>1250</v>
      </c>
      <c r="D1122" s="11" t="s">
        <v>1251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39</v>
      </c>
      <c r="K1122" s="49" t="s">
        <v>76</v>
      </c>
      <c r="L1122" s="49" t="s">
        <v>95</v>
      </c>
      <c r="M1122" s="49" t="s">
        <v>77</v>
      </c>
      <c r="N1122" s="48" t="s">
        <v>86</v>
      </c>
      <c r="O1122" s="49" t="s">
        <v>37</v>
      </c>
      <c r="P1122" s="11" t="s">
        <v>80</v>
      </c>
      <c r="Q1122" s="11" t="s">
        <v>99</v>
      </c>
      <c r="R1122" s="11" t="s">
        <v>632</v>
      </c>
      <c r="S1122" s="11" t="s">
        <v>633</v>
      </c>
      <c r="T1122" s="90" t="s">
        <v>10</v>
      </c>
      <c r="U1122" s="90"/>
      <c r="V1122" s="51">
        <v>45561</v>
      </c>
      <c r="W1122" s="49" t="s">
        <v>1610</v>
      </c>
    </row>
    <row r="1123" spans="1:23" ht="13" customHeight="1" x14ac:dyDescent="0.35">
      <c r="A1123" s="11">
        <v>1118</v>
      </c>
      <c r="B1123" s="47">
        <v>204094496</v>
      </c>
      <c r="C1123" s="94" t="s">
        <v>1252</v>
      </c>
      <c r="D1123" s="11" t="s">
        <v>1253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84</v>
      </c>
      <c r="M1123" s="49" t="s">
        <v>85</v>
      </c>
      <c r="N1123" s="48" t="s">
        <v>86</v>
      </c>
      <c r="O1123" s="49" t="s">
        <v>37</v>
      </c>
      <c r="P1123" s="11" t="s">
        <v>80</v>
      </c>
      <c r="Q1123" s="11" t="s">
        <v>87</v>
      </c>
      <c r="R1123" s="49" t="s">
        <v>648</v>
      </c>
      <c r="S1123" s="11" t="s">
        <v>1842</v>
      </c>
      <c r="T1123" s="90" t="s">
        <v>1</v>
      </c>
      <c r="U1123" s="90"/>
      <c r="V1123" s="51">
        <v>45561</v>
      </c>
      <c r="W1123" s="49" t="s">
        <v>1610</v>
      </c>
    </row>
    <row r="1124" spans="1:23" ht="13" customHeight="1" x14ac:dyDescent="0.35">
      <c r="A1124" s="11">
        <v>1119</v>
      </c>
      <c r="B1124" s="47">
        <v>205252750</v>
      </c>
      <c r="C1124" s="94" t="s">
        <v>2235</v>
      </c>
      <c r="D1124" s="11" t="s">
        <v>2236</v>
      </c>
      <c r="E1124" s="113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32</v>
      </c>
      <c r="K1124" s="49" t="s">
        <v>76</v>
      </c>
      <c r="L1124" s="49" t="s">
        <v>84</v>
      </c>
      <c r="M1124" s="49" t="s">
        <v>85</v>
      </c>
      <c r="N1124" s="49" t="s">
        <v>79</v>
      </c>
      <c r="O1124" s="49" t="s">
        <v>37</v>
      </c>
      <c r="P1124" s="49" t="s">
        <v>80</v>
      </c>
      <c r="Q1124" s="49" t="s">
        <v>96</v>
      </c>
      <c r="R1124" s="11" t="s">
        <v>1087</v>
      </c>
      <c r="S1124" s="49" t="s">
        <v>2823</v>
      </c>
      <c r="T1124" s="90" t="s">
        <v>1</v>
      </c>
      <c r="U1124" s="91"/>
      <c r="V1124" s="51">
        <v>46048</v>
      </c>
      <c r="W1124" s="49" t="s">
        <v>1610</v>
      </c>
    </row>
    <row r="1125" spans="1:23" ht="13" customHeight="1" x14ac:dyDescent="0.35">
      <c r="A1125" s="11">
        <v>1120</v>
      </c>
      <c r="B1125" s="47">
        <v>206886635</v>
      </c>
      <c r="C1125" s="94" t="s">
        <v>1905</v>
      </c>
      <c r="D1125" s="11" t="s">
        <v>1906</v>
      </c>
      <c r="E1125" s="11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39</v>
      </c>
      <c r="K1125" s="49" t="s">
        <v>76</v>
      </c>
      <c r="L1125" s="49" t="s">
        <v>92</v>
      </c>
      <c r="M1125" s="49" t="s">
        <v>84</v>
      </c>
      <c r="N1125" s="49" t="s">
        <v>89</v>
      </c>
      <c r="O1125" s="49" t="s">
        <v>37</v>
      </c>
      <c r="P1125" s="11" t="s">
        <v>80</v>
      </c>
      <c r="Q1125" s="11" t="s">
        <v>96</v>
      </c>
      <c r="R1125" s="11" t="s">
        <v>232</v>
      </c>
      <c r="S1125" s="11" t="s">
        <v>1797</v>
      </c>
      <c r="T1125" s="90" t="s">
        <v>1</v>
      </c>
      <c r="U1125" s="91"/>
      <c r="V1125" s="51">
        <v>46027</v>
      </c>
      <c r="W1125" s="49" t="s">
        <v>1610</v>
      </c>
    </row>
    <row r="1126" spans="1:23" ht="13" customHeight="1" x14ac:dyDescent="0.35">
      <c r="A1126" s="11">
        <v>1121</v>
      </c>
      <c r="B1126" s="47">
        <v>206886512</v>
      </c>
      <c r="C1126" s="94" t="s">
        <v>1907</v>
      </c>
      <c r="D1126" s="11" t="s">
        <v>1908</v>
      </c>
      <c r="E1126" s="11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32</v>
      </c>
      <c r="K1126" s="49" t="s">
        <v>76</v>
      </c>
      <c r="L1126" s="49" t="s">
        <v>84</v>
      </c>
      <c r="M1126" s="49" t="s">
        <v>85</v>
      </c>
      <c r="N1126" s="49" t="s">
        <v>89</v>
      </c>
      <c r="O1126" s="49" t="s">
        <v>37</v>
      </c>
      <c r="P1126" s="11" t="s">
        <v>80</v>
      </c>
      <c r="Q1126" s="11" t="s">
        <v>96</v>
      </c>
      <c r="R1126" s="11" t="s">
        <v>232</v>
      </c>
      <c r="S1126" s="11" t="s">
        <v>1797</v>
      </c>
      <c r="T1126" s="90" t="s">
        <v>1</v>
      </c>
      <c r="U1126" s="90"/>
      <c r="V1126" s="51">
        <v>46027</v>
      </c>
      <c r="W1126" s="49" t="s">
        <v>1610</v>
      </c>
    </row>
    <row r="1127" spans="1:23" ht="13" customHeight="1" x14ac:dyDescent="0.35">
      <c r="A1127" s="11">
        <v>1122</v>
      </c>
      <c r="B1127" s="47">
        <v>206889908</v>
      </c>
      <c r="C1127" s="94" t="s">
        <v>1909</v>
      </c>
      <c r="D1127" s="11" t="s">
        <v>1910</v>
      </c>
      <c r="E1127" s="11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32</v>
      </c>
      <c r="K1127" s="49" t="s">
        <v>76</v>
      </c>
      <c r="L1127" s="49" t="s">
        <v>85</v>
      </c>
      <c r="M1127" s="49" t="s">
        <v>88</v>
      </c>
      <c r="N1127" s="49" t="s">
        <v>89</v>
      </c>
      <c r="O1127" s="49" t="s">
        <v>37</v>
      </c>
      <c r="P1127" s="11" t="s">
        <v>80</v>
      </c>
      <c r="Q1127" s="11" t="s">
        <v>96</v>
      </c>
      <c r="R1127" s="11" t="s">
        <v>232</v>
      </c>
      <c r="S1127" s="11" t="s">
        <v>1797</v>
      </c>
      <c r="T1127" s="90" t="s">
        <v>1</v>
      </c>
      <c r="U1127" s="91"/>
      <c r="V1127" s="51">
        <v>46027</v>
      </c>
      <c r="W1127" s="49" t="s">
        <v>1610</v>
      </c>
    </row>
    <row r="1128" spans="1:23" ht="13" customHeight="1" x14ac:dyDescent="0.35">
      <c r="A1128" s="11">
        <v>1123</v>
      </c>
      <c r="B1128" s="47">
        <v>206897663</v>
      </c>
      <c r="C1128" s="94" t="s">
        <v>1961</v>
      </c>
      <c r="D1128" s="11" t="s">
        <v>1962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1290</v>
      </c>
      <c r="J1128" s="49" t="s">
        <v>39</v>
      </c>
      <c r="K1128" s="49" t="s">
        <v>76</v>
      </c>
      <c r="L1128" s="49" t="s">
        <v>84</v>
      </c>
      <c r="M1128" s="49" t="s">
        <v>85</v>
      </c>
      <c r="N1128" s="49" t="s">
        <v>89</v>
      </c>
      <c r="O1128" s="48" t="s">
        <v>37</v>
      </c>
      <c r="P1128" s="48" t="s">
        <v>80</v>
      </c>
      <c r="Q1128" s="11" t="s">
        <v>81</v>
      </c>
      <c r="R1128" s="11" t="s">
        <v>1087</v>
      </c>
      <c r="S1128" s="11" t="s">
        <v>2823</v>
      </c>
      <c r="T1128" s="90" t="s">
        <v>1</v>
      </c>
      <c r="U1128" s="91"/>
      <c r="V1128" s="51">
        <v>46030</v>
      </c>
      <c r="W1128" s="49" t="s">
        <v>1611</v>
      </c>
    </row>
    <row r="1129" spans="1:23" ht="13" customHeight="1" x14ac:dyDescent="0.35">
      <c r="A1129" s="11">
        <v>1124</v>
      </c>
      <c r="B1129" s="47">
        <v>204010043</v>
      </c>
      <c r="C1129" s="94" t="s">
        <v>2439</v>
      </c>
      <c r="D1129" s="11" t="s">
        <v>2440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32</v>
      </c>
      <c r="K1129" s="49" t="s">
        <v>76</v>
      </c>
      <c r="L1129" s="49" t="s">
        <v>78</v>
      </c>
      <c r="M1129" s="49" t="s">
        <v>92</v>
      </c>
      <c r="N1129" s="48" t="s">
        <v>86</v>
      </c>
      <c r="O1129" s="49" t="s">
        <v>37</v>
      </c>
      <c r="P1129" s="11" t="s">
        <v>80</v>
      </c>
      <c r="Q1129" s="11" t="s">
        <v>90</v>
      </c>
      <c r="R1129" s="11" t="s">
        <v>1087</v>
      </c>
      <c r="S1129" s="11" t="s">
        <v>2823</v>
      </c>
      <c r="T1129" s="90" t="s">
        <v>1</v>
      </c>
      <c r="U1129" s="91"/>
      <c r="V1129" s="51">
        <v>45551</v>
      </c>
      <c r="W1129" s="49" t="s">
        <v>1611</v>
      </c>
    </row>
    <row r="1130" spans="1:23" ht="13" customHeight="1" x14ac:dyDescent="0.35">
      <c r="A1130" s="11">
        <v>1125</v>
      </c>
      <c r="B1130" s="47">
        <v>201536170</v>
      </c>
      <c r="C1130" s="94" t="s">
        <v>1254</v>
      </c>
      <c r="D1130" s="11" t="s">
        <v>1255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32</v>
      </c>
      <c r="K1130" s="49" t="s">
        <v>76</v>
      </c>
      <c r="L1130" s="49" t="s">
        <v>95</v>
      </c>
      <c r="M1130" s="49" t="s">
        <v>77</v>
      </c>
      <c r="N1130" s="48" t="s">
        <v>86</v>
      </c>
      <c r="O1130" s="49" t="s">
        <v>37</v>
      </c>
      <c r="P1130" s="11" t="s">
        <v>80</v>
      </c>
      <c r="Q1130" s="11" t="s">
        <v>87</v>
      </c>
      <c r="R1130" s="49" t="s">
        <v>648</v>
      </c>
      <c r="S1130" s="11" t="s">
        <v>1842</v>
      </c>
      <c r="T1130" s="90" t="s">
        <v>10</v>
      </c>
      <c r="U1130" s="91"/>
      <c r="V1130" s="51">
        <v>45568</v>
      </c>
      <c r="W1130" s="49" t="s">
        <v>1611</v>
      </c>
    </row>
    <row r="1131" spans="1:23" ht="13" customHeight="1" x14ac:dyDescent="0.35">
      <c r="A1131" s="11">
        <v>1126</v>
      </c>
      <c r="B1131" s="47">
        <v>203342037</v>
      </c>
      <c r="C1131" s="94" t="s">
        <v>1256</v>
      </c>
      <c r="D1131" s="11" t="s">
        <v>1257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32</v>
      </c>
      <c r="K1131" s="49" t="s">
        <v>76</v>
      </c>
      <c r="L1131" s="49" t="s">
        <v>95</v>
      </c>
      <c r="M1131" s="49" t="s">
        <v>77</v>
      </c>
      <c r="N1131" s="48" t="s">
        <v>86</v>
      </c>
      <c r="O1131" s="49" t="s">
        <v>37</v>
      </c>
      <c r="P1131" s="11" t="s">
        <v>80</v>
      </c>
      <c r="Q1131" s="11" t="s">
        <v>99</v>
      </c>
      <c r="R1131" s="11" t="s">
        <v>632</v>
      </c>
      <c r="S1131" s="11" t="s">
        <v>633</v>
      </c>
      <c r="T1131" s="90" t="s">
        <v>10</v>
      </c>
      <c r="U1131" s="89"/>
      <c r="V1131" s="51">
        <v>45432</v>
      </c>
      <c r="W1131" s="49" t="s">
        <v>1610</v>
      </c>
    </row>
    <row r="1132" spans="1:23" ht="13" customHeight="1" x14ac:dyDescent="0.35">
      <c r="A1132" s="11">
        <v>1127</v>
      </c>
      <c r="B1132" s="47">
        <v>206139179</v>
      </c>
      <c r="C1132" s="94" t="s">
        <v>1258</v>
      </c>
      <c r="D1132" s="11" t="s">
        <v>1259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32</v>
      </c>
      <c r="K1132" s="49" t="s">
        <v>76</v>
      </c>
      <c r="L1132" s="49" t="s">
        <v>95</v>
      </c>
      <c r="M1132" s="49" t="s">
        <v>77</v>
      </c>
      <c r="N1132" s="48" t="s">
        <v>79</v>
      </c>
      <c r="O1132" s="49" t="s">
        <v>37</v>
      </c>
      <c r="P1132" s="11" t="s">
        <v>80</v>
      </c>
      <c r="Q1132" s="11" t="s">
        <v>81</v>
      </c>
      <c r="R1132" s="11" t="s">
        <v>632</v>
      </c>
      <c r="S1132" s="11" t="s">
        <v>633</v>
      </c>
      <c r="T1132" s="90" t="s">
        <v>10</v>
      </c>
      <c r="U1132" s="89"/>
      <c r="V1132" s="51">
        <v>45929</v>
      </c>
      <c r="W1132" s="49" t="s">
        <v>1610</v>
      </c>
    </row>
    <row r="1133" spans="1:23" ht="13" customHeight="1" x14ac:dyDescent="0.35">
      <c r="A1133" s="11">
        <v>1128</v>
      </c>
      <c r="B1133" s="47">
        <v>203881659</v>
      </c>
      <c r="C1133" s="94" t="s">
        <v>1260</v>
      </c>
      <c r="D1133" s="11" t="s">
        <v>1261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39</v>
      </c>
      <c r="K1133" s="49" t="s">
        <v>76</v>
      </c>
      <c r="L1133" s="49" t="s">
        <v>92</v>
      </c>
      <c r="M1133" s="49" t="s">
        <v>84</v>
      </c>
      <c r="N1133" s="48" t="s">
        <v>79</v>
      </c>
      <c r="O1133" s="49" t="s">
        <v>37</v>
      </c>
      <c r="P1133" s="11" t="s">
        <v>80</v>
      </c>
      <c r="Q1133" s="11" t="s">
        <v>81</v>
      </c>
      <c r="R1133" s="11" t="s">
        <v>632</v>
      </c>
      <c r="S1133" s="11" t="s">
        <v>633</v>
      </c>
      <c r="T1133" s="90" t="s">
        <v>1</v>
      </c>
      <c r="U1133" s="89" t="s">
        <v>3003</v>
      </c>
      <c r="V1133" s="51">
        <v>45530</v>
      </c>
      <c r="W1133" s="49" t="s">
        <v>1610</v>
      </c>
    </row>
    <row r="1134" spans="1:23" ht="13" customHeight="1" x14ac:dyDescent="0.35">
      <c r="A1134" s="11">
        <v>1129</v>
      </c>
      <c r="B1134" s="47">
        <v>201204303</v>
      </c>
      <c r="C1134" s="94" t="s">
        <v>1262</v>
      </c>
      <c r="D1134" s="11" t="s">
        <v>1263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32</v>
      </c>
      <c r="K1134" s="49" t="s">
        <v>76</v>
      </c>
      <c r="L1134" s="49" t="s">
        <v>85</v>
      </c>
      <c r="M1134" s="49" t="s">
        <v>88</v>
      </c>
      <c r="N1134" s="48" t="s">
        <v>79</v>
      </c>
      <c r="O1134" s="49" t="s">
        <v>37</v>
      </c>
      <c r="P1134" s="11" t="s">
        <v>80</v>
      </c>
      <c r="Q1134" s="11" t="s">
        <v>81</v>
      </c>
      <c r="R1134" s="11" t="s">
        <v>2955</v>
      </c>
      <c r="S1134" s="11" t="s">
        <v>2956</v>
      </c>
      <c r="T1134" s="90" t="s">
        <v>1</v>
      </c>
      <c r="U1134" s="89"/>
      <c r="V1134" s="51">
        <v>45544</v>
      </c>
      <c r="W1134" s="49" t="s">
        <v>1610</v>
      </c>
    </row>
    <row r="1135" spans="1:23" ht="13" customHeight="1" x14ac:dyDescent="0.35">
      <c r="A1135" s="11">
        <v>1130</v>
      </c>
      <c r="B1135" s="47">
        <v>203800479</v>
      </c>
      <c r="C1135" s="94" t="s">
        <v>2524</v>
      </c>
      <c r="D1135" s="11" t="s">
        <v>2525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32</v>
      </c>
      <c r="K1135" s="49" t="s">
        <v>76</v>
      </c>
      <c r="L1135" s="49" t="s">
        <v>77</v>
      </c>
      <c r="M1135" s="49" t="s">
        <v>78</v>
      </c>
      <c r="N1135" s="48" t="s">
        <v>86</v>
      </c>
      <c r="O1135" s="49" t="s">
        <v>37</v>
      </c>
      <c r="P1135" s="11" t="s">
        <v>80</v>
      </c>
      <c r="Q1135" s="11" t="s">
        <v>90</v>
      </c>
      <c r="R1135" s="11" t="s">
        <v>1087</v>
      </c>
      <c r="S1135" s="11" t="s">
        <v>2823</v>
      </c>
      <c r="T1135" s="90" t="s">
        <v>10</v>
      </c>
      <c r="U1135" s="91"/>
      <c r="V1135" s="51">
        <v>45516</v>
      </c>
      <c r="W1135" s="49" t="s">
        <v>1610</v>
      </c>
    </row>
    <row r="1136" spans="1:23" ht="13" customHeight="1" x14ac:dyDescent="0.35">
      <c r="A1136" s="11">
        <v>1131</v>
      </c>
      <c r="B1136" s="47">
        <v>204868706</v>
      </c>
      <c r="C1136" s="94" t="s">
        <v>1264</v>
      </c>
      <c r="D1136" s="11" t="s">
        <v>1265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32</v>
      </c>
      <c r="K1136" s="49" t="s">
        <v>76</v>
      </c>
      <c r="L1136" s="49" t="s">
        <v>85</v>
      </c>
      <c r="M1136" s="49" t="s">
        <v>88</v>
      </c>
      <c r="N1136" s="48" t="s">
        <v>86</v>
      </c>
      <c r="O1136" s="49" t="s">
        <v>37</v>
      </c>
      <c r="P1136" s="11" t="s">
        <v>80</v>
      </c>
      <c r="Q1136" s="11" t="s">
        <v>90</v>
      </c>
      <c r="R1136" s="49" t="s">
        <v>648</v>
      </c>
      <c r="S1136" s="11" t="s">
        <v>1842</v>
      </c>
      <c r="T1136" s="90" t="s">
        <v>1</v>
      </c>
      <c r="U1136" s="91"/>
      <c r="V1136" s="51">
        <v>45894</v>
      </c>
      <c r="W1136" s="49" t="s">
        <v>1610</v>
      </c>
    </row>
    <row r="1137" spans="1:23" ht="13" customHeight="1" x14ac:dyDescent="0.35">
      <c r="A1137" s="11">
        <v>1132</v>
      </c>
      <c r="B1137" s="47">
        <v>203881695</v>
      </c>
      <c r="C1137" s="94" t="s">
        <v>1266</v>
      </c>
      <c r="D1137" s="11" t="s">
        <v>1267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39</v>
      </c>
      <c r="K1137" s="49" t="s">
        <v>76</v>
      </c>
      <c r="L1137" s="49" t="s">
        <v>88</v>
      </c>
      <c r="M1137" s="49" t="s">
        <v>95</v>
      </c>
      <c r="N1137" s="48" t="s">
        <v>79</v>
      </c>
      <c r="O1137" s="49" t="s">
        <v>37</v>
      </c>
      <c r="P1137" s="11" t="s">
        <v>80</v>
      </c>
      <c r="Q1137" s="11" t="s">
        <v>81</v>
      </c>
      <c r="R1137" s="11" t="s">
        <v>632</v>
      </c>
      <c r="S1137" s="11" t="s">
        <v>633</v>
      </c>
      <c r="T1137" s="90" t="s">
        <v>7</v>
      </c>
      <c r="U1137" s="90" t="s">
        <v>3004</v>
      </c>
      <c r="V1137" s="51">
        <v>45530</v>
      </c>
      <c r="W1137" s="49" t="s">
        <v>1612</v>
      </c>
    </row>
    <row r="1138" spans="1:23" ht="13" customHeight="1" x14ac:dyDescent="0.35">
      <c r="A1138" s="11">
        <v>1133</v>
      </c>
      <c r="B1138" s="47">
        <v>206250613</v>
      </c>
      <c r="C1138" s="94" t="s">
        <v>1696</v>
      </c>
      <c r="D1138" s="11" t="s">
        <v>1657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32</v>
      </c>
      <c r="K1138" s="49" t="s">
        <v>76</v>
      </c>
      <c r="L1138" s="49" t="s">
        <v>78</v>
      </c>
      <c r="M1138" s="49" t="s">
        <v>92</v>
      </c>
      <c r="N1138" s="49" t="s">
        <v>89</v>
      </c>
      <c r="O1138" s="49" t="s">
        <v>37</v>
      </c>
      <c r="P1138" s="11" t="s">
        <v>80</v>
      </c>
      <c r="Q1138" s="11" t="s">
        <v>81</v>
      </c>
      <c r="R1138" s="49" t="s">
        <v>2825</v>
      </c>
      <c r="S1138" s="11" t="s">
        <v>643</v>
      </c>
      <c r="T1138" s="90" t="s">
        <v>7</v>
      </c>
      <c r="U1138" s="90" t="s">
        <v>3004</v>
      </c>
      <c r="V1138" s="51">
        <v>45943</v>
      </c>
      <c r="W1138" s="49" t="s">
        <v>1609</v>
      </c>
    </row>
    <row r="1139" spans="1:23" ht="13" customHeight="1" x14ac:dyDescent="0.35">
      <c r="A1139" s="11">
        <v>1134</v>
      </c>
      <c r="B1139" s="47">
        <v>113366831</v>
      </c>
      <c r="C1139" s="94" t="s">
        <v>1268</v>
      </c>
      <c r="D1139" s="11" t="s">
        <v>1269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39</v>
      </c>
      <c r="K1139" s="49" t="s">
        <v>76</v>
      </c>
      <c r="L1139" s="49" t="s">
        <v>77</v>
      </c>
      <c r="M1139" s="49" t="s">
        <v>78</v>
      </c>
      <c r="N1139" s="48" t="s">
        <v>86</v>
      </c>
      <c r="O1139" s="49" t="s">
        <v>37</v>
      </c>
      <c r="P1139" s="11" t="s">
        <v>80</v>
      </c>
      <c r="Q1139" s="11" t="s">
        <v>99</v>
      </c>
      <c r="R1139" s="49" t="s">
        <v>628</v>
      </c>
      <c r="S1139" s="112" t="s">
        <v>629</v>
      </c>
      <c r="T1139" s="90" t="s">
        <v>10</v>
      </c>
      <c r="U1139" s="90"/>
      <c r="V1139" s="51">
        <v>45537</v>
      </c>
      <c r="W1139" s="49" t="s">
        <v>1610</v>
      </c>
    </row>
    <row r="1140" spans="1:23" ht="13" customHeight="1" x14ac:dyDescent="0.35">
      <c r="A1140" s="11">
        <v>1135</v>
      </c>
      <c r="B1140" s="47">
        <v>205939862</v>
      </c>
      <c r="C1140" s="94" t="s">
        <v>2163</v>
      </c>
      <c r="D1140" s="11" t="s">
        <v>2164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32</v>
      </c>
      <c r="K1140" s="49" t="s">
        <v>76</v>
      </c>
      <c r="L1140" s="49" t="s">
        <v>78</v>
      </c>
      <c r="M1140" s="49" t="s">
        <v>92</v>
      </c>
      <c r="N1140" s="49" t="s">
        <v>89</v>
      </c>
      <c r="O1140" s="49" t="s">
        <v>37</v>
      </c>
      <c r="P1140" s="11" t="s">
        <v>80</v>
      </c>
      <c r="Q1140" s="11" t="s">
        <v>96</v>
      </c>
      <c r="R1140" s="11" t="s">
        <v>632</v>
      </c>
      <c r="S1140" s="112" t="s">
        <v>633</v>
      </c>
      <c r="T1140" s="90" t="s">
        <v>1</v>
      </c>
      <c r="U1140" s="91"/>
      <c r="V1140" s="51">
        <v>46048</v>
      </c>
      <c r="W1140" s="49" t="s">
        <v>1610</v>
      </c>
    </row>
    <row r="1141" spans="1:23" ht="13" customHeight="1" x14ac:dyDescent="0.35">
      <c r="A1141" s="11">
        <v>1136</v>
      </c>
      <c r="B1141" s="47">
        <v>203736775</v>
      </c>
      <c r="C1141" s="94" t="s">
        <v>1270</v>
      </c>
      <c r="D1141" s="11" t="s">
        <v>1271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32</v>
      </c>
      <c r="K1141" s="49" t="s">
        <v>76</v>
      </c>
      <c r="L1141" s="49" t="s">
        <v>77</v>
      </c>
      <c r="M1141" s="49" t="s">
        <v>78</v>
      </c>
      <c r="N1141" s="48" t="s">
        <v>86</v>
      </c>
      <c r="O1141" s="49" t="s">
        <v>37</v>
      </c>
      <c r="P1141" s="11" t="s">
        <v>80</v>
      </c>
      <c r="Q1141" s="11" t="s">
        <v>99</v>
      </c>
      <c r="R1141" s="11" t="s">
        <v>2955</v>
      </c>
      <c r="S1141" s="11" t="s">
        <v>2956</v>
      </c>
      <c r="T1141" s="90" t="s">
        <v>10</v>
      </c>
      <c r="U1141" s="91"/>
      <c r="V1141" s="51">
        <v>45502</v>
      </c>
      <c r="W1141" s="49" t="s">
        <v>1610</v>
      </c>
    </row>
    <row r="1142" spans="1:23" ht="13" customHeight="1" x14ac:dyDescent="0.35">
      <c r="A1142" s="11">
        <v>1137</v>
      </c>
      <c r="B1142" s="47">
        <v>112549647</v>
      </c>
      <c r="C1142" s="94" t="s">
        <v>1272</v>
      </c>
      <c r="D1142" s="11" t="s">
        <v>1273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32</v>
      </c>
      <c r="K1142" s="49" t="s">
        <v>76</v>
      </c>
      <c r="L1142" s="49" t="s">
        <v>92</v>
      </c>
      <c r="M1142" s="49" t="s">
        <v>84</v>
      </c>
      <c r="N1142" s="48" t="s">
        <v>86</v>
      </c>
      <c r="O1142" s="49" t="s">
        <v>37</v>
      </c>
      <c r="P1142" s="11" t="s">
        <v>80</v>
      </c>
      <c r="Q1142" s="11" t="s">
        <v>87</v>
      </c>
      <c r="R1142" s="49" t="s">
        <v>648</v>
      </c>
      <c r="S1142" s="112" t="s">
        <v>1842</v>
      </c>
      <c r="T1142" s="90" t="s">
        <v>3</v>
      </c>
      <c r="U1142" s="90"/>
      <c r="V1142" s="51">
        <v>45586</v>
      </c>
      <c r="W1142" s="49" t="s">
        <v>1610</v>
      </c>
    </row>
    <row r="1143" spans="1:23" ht="13" customHeight="1" x14ac:dyDescent="0.35">
      <c r="A1143" s="11">
        <v>1138</v>
      </c>
      <c r="B1143" s="47">
        <v>202199036</v>
      </c>
      <c r="C1143" s="94" t="s">
        <v>1274</v>
      </c>
      <c r="D1143" s="11" t="s">
        <v>1275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39</v>
      </c>
      <c r="K1143" s="49" t="s">
        <v>76</v>
      </c>
      <c r="L1143" s="49" t="s">
        <v>77</v>
      </c>
      <c r="M1143" s="49" t="s">
        <v>78</v>
      </c>
      <c r="N1143" s="48" t="s">
        <v>86</v>
      </c>
      <c r="O1143" s="49" t="s">
        <v>37</v>
      </c>
      <c r="P1143" s="11" t="s">
        <v>80</v>
      </c>
      <c r="Q1143" s="11" t="s">
        <v>87</v>
      </c>
      <c r="R1143" s="49" t="s">
        <v>648</v>
      </c>
      <c r="S1143" s="112" t="s">
        <v>1842</v>
      </c>
      <c r="T1143" s="90" t="s">
        <v>10</v>
      </c>
      <c r="U1143" s="90"/>
      <c r="V1143" s="51">
        <v>45561</v>
      </c>
      <c r="W1143" s="49" t="s">
        <v>1610</v>
      </c>
    </row>
    <row r="1144" spans="1:23" ht="13" customHeight="1" x14ac:dyDescent="0.35">
      <c r="A1144" s="11">
        <v>1139</v>
      </c>
      <c r="B1144" s="47">
        <v>204373724</v>
      </c>
      <c r="C1144" s="94" t="s">
        <v>1276</v>
      </c>
      <c r="D1144" s="11" t="s">
        <v>1277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32</v>
      </c>
      <c r="K1144" s="49" t="s">
        <v>76</v>
      </c>
      <c r="L1144" s="49" t="s">
        <v>88</v>
      </c>
      <c r="M1144" s="49" t="s">
        <v>95</v>
      </c>
      <c r="N1144" s="48" t="s">
        <v>86</v>
      </c>
      <c r="O1144" s="49" t="s">
        <v>37</v>
      </c>
      <c r="P1144" s="11" t="s">
        <v>80</v>
      </c>
      <c r="Q1144" s="11" t="s">
        <v>99</v>
      </c>
      <c r="R1144" s="49" t="s">
        <v>648</v>
      </c>
      <c r="S1144" s="112" t="s">
        <v>1842</v>
      </c>
      <c r="T1144" s="90" t="s">
        <v>1</v>
      </c>
      <c r="U1144" s="90"/>
      <c r="V1144" s="51">
        <v>45593</v>
      </c>
      <c r="W1144" s="49" t="s">
        <v>1610</v>
      </c>
    </row>
    <row r="1145" spans="1:23" ht="13" customHeight="1" x14ac:dyDescent="0.35">
      <c r="A1145" s="11">
        <v>1140</v>
      </c>
      <c r="B1145" s="47">
        <v>203918123</v>
      </c>
      <c r="C1145" s="94" t="s">
        <v>1278</v>
      </c>
      <c r="D1145" s="11" t="s">
        <v>1279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84</v>
      </c>
      <c r="M1145" s="49" t="s">
        <v>85</v>
      </c>
      <c r="N1145" s="48" t="s">
        <v>86</v>
      </c>
      <c r="O1145" s="49" t="s">
        <v>37</v>
      </c>
      <c r="P1145" s="11" t="s">
        <v>80</v>
      </c>
      <c r="Q1145" s="11" t="s">
        <v>99</v>
      </c>
      <c r="R1145" s="11" t="s">
        <v>2955</v>
      </c>
      <c r="S1145" s="112" t="s">
        <v>2956</v>
      </c>
      <c r="T1145" s="90" t="s">
        <v>1</v>
      </c>
      <c r="U1145" s="90"/>
      <c r="V1145" s="51">
        <v>45537</v>
      </c>
      <c r="W1145" s="49" t="s">
        <v>1610</v>
      </c>
    </row>
    <row r="1146" spans="1:23" ht="13" customHeight="1" x14ac:dyDescent="0.35">
      <c r="A1146" s="11">
        <v>1141</v>
      </c>
      <c r="B1146" s="47">
        <v>205199830</v>
      </c>
      <c r="C1146" s="95" t="s">
        <v>2141</v>
      </c>
      <c r="D1146" s="11" t="s">
        <v>2142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39</v>
      </c>
      <c r="K1146" s="49" t="s">
        <v>76</v>
      </c>
      <c r="L1146" s="49" t="s">
        <v>95</v>
      </c>
      <c r="M1146" s="49" t="s">
        <v>77</v>
      </c>
      <c r="N1146" s="49" t="s">
        <v>79</v>
      </c>
      <c r="O1146" s="49" t="s">
        <v>37</v>
      </c>
      <c r="P1146" s="11" t="s">
        <v>80</v>
      </c>
      <c r="Q1146" s="11" t="s">
        <v>96</v>
      </c>
      <c r="R1146" s="11" t="s">
        <v>2955</v>
      </c>
      <c r="S1146" s="112" t="s">
        <v>2956</v>
      </c>
      <c r="T1146" s="90" t="s">
        <v>10</v>
      </c>
      <c r="U1146" s="90"/>
      <c r="V1146" s="51">
        <v>46048</v>
      </c>
      <c r="W1146" s="49" t="s">
        <v>1610</v>
      </c>
    </row>
    <row r="1147" spans="1:23" ht="13" customHeight="1" x14ac:dyDescent="0.35">
      <c r="A1147" s="11">
        <v>1142</v>
      </c>
      <c r="B1147" s="47">
        <v>201264954</v>
      </c>
      <c r="C1147" s="94" t="s">
        <v>1280</v>
      </c>
      <c r="D1147" s="11" t="s">
        <v>1281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32</v>
      </c>
      <c r="K1147" s="49" t="s">
        <v>76</v>
      </c>
      <c r="L1147" s="49" t="s">
        <v>77</v>
      </c>
      <c r="M1147" s="49" t="s">
        <v>78</v>
      </c>
      <c r="N1147" s="48" t="s">
        <v>86</v>
      </c>
      <c r="O1147" s="49" t="s">
        <v>37</v>
      </c>
      <c r="P1147" s="11" t="s">
        <v>80</v>
      </c>
      <c r="Q1147" s="11" t="s">
        <v>87</v>
      </c>
      <c r="R1147" s="49" t="s">
        <v>648</v>
      </c>
      <c r="S1147" s="112" t="s">
        <v>1842</v>
      </c>
      <c r="T1147" s="90" t="s">
        <v>10</v>
      </c>
      <c r="U1147" s="90"/>
      <c r="V1147" s="51">
        <v>45561</v>
      </c>
      <c r="W1147" s="49" t="s">
        <v>1610</v>
      </c>
    </row>
    <row r="1148" spans="1:23" ht="13" customHeight="1" x14ac:dyDescent="0.35">
      <c r="A1148" s="11">
        <v>1143</v>
      </c>
      <c r="B1148" s="47">
        <v>203468744</v>
      </c>
      <c r="C1148" s="94" t="s">
        <v>1282</v>
      </c>
      <c r="D1148" s="11" t="s">
        <v>1283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39</v>
      </c>
      <c r="K1148" s="49" t="s">
        <v>76</v>
      </c>
      <c r="L1148" s="49" t="s">
        <v>77</v>
      </c>
      <c r="M1148" s="49" t="s">
        <v>78</v>
      </c>
      <c r="N1148" s="48" t="s">
        <v>79</v>
      </c>
      <c r="O1148" s="49" t="s">
        <v>37</v>
      </c>
      <c r="P1148" s="11" t="s">
        <v>80</v>
      </c>
      <c r="Q1148" s="11" t="s">
        <v>81</v>
      </c>
      <c r="R1148" s="49" t="s">
        <v>628</v>
      </c>
      <c r="S1148" s="112" t="s">
        <v>629</v>
      </c>
      <c r="T1148" s="90" t="s">
        <v>10</v>
      </c>
      <c r="U1148" s="90"/>
      <c r="V1148" s="51">
        <v>45456</v>
      </c>
      <c r="W1148" s="49" t="s">
        <v>1612</v>
      </c>
    </row>
    <row r="1149" spans="1:23" ht="13" customHeight="1" x14ac:dyDescent="0.35">
      <c r="A1149" s="11">
        <v>1144</v>
      </c>
      <c r="B1149" s="47">
        <v>205127496</v>
      </c>
      <c r="C1149" s="94" t="s">
        <v>2185</v>
      </c>
      <c r="D1149" s="11" t="s">
        <v>2186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39</v>
      </c>
      <c r="K1149" s="49" t="s">
        <v>76</v>
      </c>
      <c r="L1149" s="49" t="s">
        <v>85</v>
      </c>
      <c r="M1149" s="49" t="s">
        <v>88</v>
      </c>
      <c r="N1149" s="49" t="s">
        <v>89</v>
      </c>
      <c r="O1149" s="49" t="s">
        <v>37</v>
      </c>
      <c r="P1149" s="11" t="s">
        <v>80</v>
      </c>
      <c r="Q1149" s="11" t="s">
        <v>96</v>
      </c>
      <c r="R1149" s="49" t="s">
        <v>2825</v>
      </c>
      <c r="S1149" s="102" t="s">
        <v>643</v>
      </c>
      <c r="T1149" s="90" t="s">
        <v>1</v>
      </c>
      <c r="U1149" s="90"/>
      <c r="V1149" s="51">
        <v>46048</v>
      </c>
      <c r="W1149" s="49" t="s">
        <v>1610</v>
      </c>
    </row>
    <row r="1150" spans="1:23" ht="13" customHeight="1" x14ac:dyDescent="0.35">
      <c r="A1150" s="11">
        <v>1145</v>
      </c>
      <c r="B1150" s="47">
        <v>204009358</v>
      </c>
      <c r="C1150" s="94" t="s">
        <v>1284</v>
      </c>
      <c r="D1150" s="11" t="s">
        <v>1285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32</v>
      </c>
      <c r="K1150" s="49" t="s">
        <v>76</v>
      </c>
      <c r="L1150" s="49" t="s">
        <v>88</v>
      </c>
      <c r="M1150" s="49" t="s">
        <v>95</v>
      </c>
      <c r="N1150" s="48" t="s">
        <v>86</v>
      </c>
      <c r="O1150" s="49" t="s">
        <v>37</v>
      </c>
      <c r="P1150" s="11" t="s">
        <v>80</v>
      </c>
      <c r="Q1150" s="11" t="s">
        <v>90</v>
      </c>
      <c r="R1150" s="49" t="s">
        <v>648</v>
      </c>
      <c r="S1150" s="112" t="s">
        <v>1842</v>
      </c>
      <c r="T1150" s="90" t="s">
        <v>1</v>
      </c>
      <c r="U1150" s="91"/>
      <c r="V1150" s="51">
        <v>45551</v>
      </c>
      <c r="W1150" s="49" t="s">
        <v>1610</v>
      </c>
    </row>
    <row r="1151" spans="1:23" ht="13" customHeight="1" x14ac:dyDescent="0.35">
      <c r="A1151" s="11">
        <v>1146</v>
      </c>
      <c r="B1151" s="97">
        <v>205845550</v>
      </c>
      <c r="C1151" s="47" t="s">
        <v>2922</v>
      </c>
      <c r="D1151" s="94" t="s">
        <v>2923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39</v>
      </c>
      <c r="K1151" s="49" t="s">
        <v>76</v>
      </c>
      <c r="L1151" s="49" t="s">
        <v>84</v>
      </c>
      <c r="M1151" s="49" t="s">
        <v>85</v>
      </c>
      <c r="N1151" s="49" t="s">
        <v>89</v>
      </c>
      <c r="O1151" s="49" t="s">
        <v>37</v>
      </c>
      <c r="P1151" s="11" t="s">
        <v>80</v>
      </c>
      <c r="Q1151" s="11" t="s">
        <v>90</v>
      </c>
      <c r="R1151" s="11" t="s">
        <v>2955</v>
      </c>
      <c r="S1151" s="112" t="s">
        <v>2956</v>
      </c>
      <c r="T1151" s="90" t="s">
        <v>1</v>
      </c>
      <c r="U1151" s="89"/>
      <c r="V1151" s="51">
        <v>45894</v>
      </c>
      <c r="W1151" s="49" t="s">
        <v>1610</v>
      </c>
    </row>
    <row r="1152" spans="1:23" ht="13" customHeight="1" x14ac:dyDescent="0.35">
      <c r="A1152" s="11">
        <v>1147</v>
      </c>
      <c r="B1152" s="47">
        <v>103776227</v>
      </c>
      <c r="C1152" s="94" t="s">
        <v>1286</v>
      </c>
      <c r="D1152" s="11" t="s">
        <v>1287</v>
      </c>
      <c r="E1152" s="48" t="s">
        <v>34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32</v>
      </c>
      <c r="K1152" s="49" t="s">
        <v>76</v>
      </c>
      <c r="L1152" s="49" t="s">
        <v>88</v>
      </c>
      <c r="M1152" s="49" t="s">
        <v>95</v>
      </c>
      <c r="N1152" s="48" t="s">
        <v>108</v>
      </c>
      <c r="O1152" s="49" t="s">
        <v>37</v>
      </c>
      <c r="P1152" s="11" t="s">
        <v>80</v>
      </c>
      <c r="Q1152" s="11" t="s">
        <v>98</v>
      </c>
      <c r="R1152" s="49" t="s">
        <v>648</v>
      </c>
      <c r="S1152" s="112" t="s">
        <v>1842</v>
      </c>
      <c r="T1152" s="90" t="s">
        <v>3</v>
      </c>
      <c r="U1152" s="90"/>
      <c r="V1152" s="51">
        <v>44782</v>
      </c>
      <c r="W1152" s="49" t="s">
        <v>1610</v>
      </c>
    </row>
    <row r="1153" spans="1:23" ht="13" customHeight="1" x14ac:dyDescent="0.35">
      <c r="A1153" s="11">
        <v>1148</v>
      </c>
      <c r="B1153" s="47">
        <v>206230580</v>
      </c>
      <c r="C1153" s="94" t="s">
        <v>1683</v>
      </c>
      <c r="D1153" s="11" t="s">
        <v>1678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32</v>
      </c>
      <c r="K1153" s="49" t="s">
        <v>76</v>
      </c>
      <c r="L1153" s="49" t="s">
        <v>95</v>
      </c>
      <c r="M1153" s="49" t="s">
        <v>77</v>
      </c>
      <c r="N1153" s="49" t="s">
        <v>89</v>
      </c>
      <c r="O1153" s="49" t="s">
        <v>37</v>
      </c>
      <c r="P1153" s="11" t="s">
        <v>80</v>
      </c>
      <c r="Q1153" s="11" t="s">
        <v>96</v>
      </c>
      <c r="R1153" s="11" t="s">
        <v>2955</v>
      </c>
      <c r="S1153" s="112" t="s">
        <v>2956</v>
      </c>
      <c r="T1153" s="90" t="s">
        <v>10</v>
      </c>
      <c r="U1153" s="89"/>
      <c r="V1153" s="51">
        <v>45943</v>
      </c>
      <c r="W1153" s="49" t="s">
        <v>1609</v>
      </c>
    </row>
    <row r="1154" spans="1:23" ht="13" customHeight="1" x14ac:dyDescent="0.35">
      <c r="A1154" s="11">
        <v>1149</v>
      </c>
      <c r="B1154" s="47">
        <v>205853886</v>
      </c>
      <c r="C1154" s="94" t="s">
        <v>1288</v>
      </c>
      <c r="D1154" s="11" t="s">
        <v>1289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32</v>
      </c>
      <c r="K1154" s="49" t="s">
        <v>76</v>
      </c>
      <c r="L1154" s="49" t="s">
        <v>95</v>
      </c>
      <c r="M1154" s="49" t="s">
        <v>77</v>
      </c>
      <c r="N1154" s="49" t="s">
        <v>89</v>
      </c>
      <c r="O1154" s="49" t="s">
        <v>37</v>
      </c>
      <c r="P1154" s="11" t="s">
        <v>80</v>
      </c>
      <c r="Q1154" s="11" t="s">
        <v>96</v>
      </c>
      <c r="R1154" s="11" t="s">
        <v>2955</v>
      </c>
      <c r="S1154" s="11" t="s">
        <v>2956</v>
      </c>
      <c r="T1154" s="90" t="s">
        <v>10</v>
      </c>
      <c r="U1154" s="89"/>
      <c r="V1154" s="51">
        <v>45894</v>
      </c>
      <c r="W1154" s="49" t="s">
        <v>1610</v>
      </c>
    </row>
    <row r="1155" spans="1:23" ht="13" customHeight="1" x14ac:dyDescent="0.35">
      <c r="A1155" s="11">
        <v>1150</v>
      </c>
      <c r="B1155" s="47">
        <v>203965456</v>
      </c>
      <c r="C1155" s="94" t="s">
        <v>1290</v>
      </c>
      <c r="D1155" s="11" t="s">
        <v>1291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39</v>
      </c>
      <c r="K1155" s="49" t="s">
        <v>76</v>
      </c>
      <c r="L1155" s="49" t="s">
        <v>95</v>
      </c>
      <c r="M1155" s="49" t="s">
        <v>77</v>
      </c>
      <c r="N1155" s="48" t="s">
        <v>79</v>
      </c>
      <c r="O1155" s="49" t="s">
        <v>37</v>
      </c>
      <c r="P1155" s="11" t="s">
        <v>80</v>
      </c>
      <c r="Q1155" s="11" t="s">
        <v>81</v>
      </c>
      <c r="R1155" s="11" t="s">
        <v>632</v>
      </c>
      <c r="S1155" s="112" t="s">
        <v>633</v>
      </c>
      <c r="T1155" s="90" t="s">
        <v>10</v>
      </c>
      <c r="U1155" s="89"/>
      <c r="V1155" s="51">
        <v>45544</v>
      </c>
      <c r="W1155" s="49" t="s">
        <v>1610</v>
      </c>
    </row>
    <row r="1156" spans="1:23" ht="13" customHeight="1" x14ac:dyDescent="0.35">
      <c r="A1156" s="11">
        <v>1151</v>
      </c>
      <c r="B1156" s="47">
        <v>206886513</v>
      </c>
      <c r="C1156" s="94" t="s">
        <v>1911</v>
      </c>
      <c r="D1156" s="11" t="s">
        <v>1912</v>
      </c>
      <c r="E1156" s="11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39</v>
      </c>
      <c r="K1156" s="49" t="s">
        <v>76</v>
      </c>
      <c r="L1156" s="49" t="s">
        <v>85</v>
      </c>
      <c r="M1156" s="49" t="s">
        <v>88</v>
      </c>
      <c r="N1156" s="49" t="s">
        <v>89</v>
      </c>
      <c r="O1156" s="49" t="s">
        <v>37</v>
      </c>
      <c r="P1156" s="11" t="s">
        <v>80</v>
      </c>
      <c r="Q1156" s="11" t="s">
        <v>96</v>
      </c>
      <c r="R1156" s="11" t="s">
        <v>1087</v>
      </c>
      <c r="S1156" s="112" t="s">
        <v>2823</v>
      </c>
      <c r="T1156" s="90" t="s">
        <v>1</v>
      </c>
      <c r="U1156" s="90"/>
      <c r="V1156" s="51">
        <v>46027</v>
      </c>
      <c r="W1156" s="49" t="s">
        <v>1610</v>
      </c>
    </row>
    <row r="1157" spans="1:23" ht="13" customHeight="1" x14ac:dyDescent="0.35">
      <c r="A1157" s="11">
        <v>1152</v>
      </c>
      <c r="B1157" s="47">
        <v>206886644</v>
      </c>
      <c r="C1157" s="94" t="s">
        <v>1913</v>
      </c>
      <c r="D1157" s="11" t="s">
        <v>1914</v>
      </c>
      <c r="E1157" s="11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39</v>
      </c>
      <c r="K1157" s="49" t="s">
        <v>76</v>
      </c>
      <c r="L1157" s="49" t="s">
        <v>85</v>
      </c>
      <c r="M1157" s="49" t="s">
        <v>88</v>
      </c>
      <c r="N1157" s="49" t="s">
        <v>89</v>
      </c>
      <c r="O1157" s="49" t="s">
        <v>37</v>
      </c>
      <c r="P1157" s="11" t="s">
        <v>80</v>
      </c>
      <c r="Q1157" s="11" t="s">
        <v>96</v>
      </c>
      <c r="R1157" s="11" t="s">
        <v>1087</v>
      </c>
      <c r="S1157" s="112" t="s">
        <v>2823</v>
      </c>
      <c r="T1157" s="90" t="s">
        <v>1</v>
      </c>
      <c r="U1157" s="89"/>
      <c r="V1157" s="51">
        <v>46027</v>
      </c>
      <c r="W1157" s="49" t="s">
        <v>1610</v>
      </c>
    </row>
    <row r="1158" spans="1:23" ht="13" customHeight="1" x14ac:dyDescent="0.35">
      <c r="A1158" s="11">
        <v>1153</v>
      </c>
      <c r="B1158" s="97">
        <v>205845549</v>
      </c>
      <c r="C1158" s="47" t="s">
        <v>2924</v>
      </c>
      <c r="D1158" s="94" t="s">
        <v>2925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39</v>
      </c>
      <c r="K1158" s="49" t="s">
        <v>76</v>
      </c>
      <c r="L1158" s="49" t="s">
        <v>92</v>
      </c>
      <c r="M1158" s="49" t="s">
        <v>84</v>
      </c>
      <c r="N1158" s="49" t="s">
        <v>89</v>
      </c>
      <c r="O1158" s="49" t="s">
        <v>37</v>
      </c>
      <c r="P1158" s="11" t="s">
        <v>80</v>
      </c>
      <c r="Q1158" s="11" t="s">
        <v>90</v>
      </c>
      <c r="R1158" s="11" t="s">
        <v>2955</v>
      </c>
      <c r="S1158" s="112" t="s">
        <v>2956</v>
      </c>
      <c r="T1158" s="90" t="s">
        <v>1</v>
      </c>
      <c r="U1158" s="89"/>
      <c r="V1158" s="51">
        <v>45894</v>
      </c>
      <c r="W1158" s="49" t="s">
        <v>1610</v>
      </c>
    </row>
    <row r="1159" spans="1:23" ht="13" customHeight="1" x14ac:dyDescent="0.35">
      <c r="A1159" s="11">
        <v>1154</v>
      </c>
      <c r="B1159" s="47">
        <v>206192239</v>
      </c>
      <c r="C1159" s="94" t="s">
        <v>1648</v>
      </c>
      <c r="D1159" s="11" t="s">
        <v>1639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95</v>
      </c>
      <c r="M1159" s="49" t="s">
        <v>77</v>
      </c>
      <c r="N1159" s="49" t="s">
        <v>79</v>
      </c>
      <c r="O1159" s="49" t="s">
        <v>37</v>
      </c>
      <c r="P1159" s="11" t="s">
        <v>80</v>
      </c>
      <c r="Q1159" s="11" t="s">
        <v>96</v>
      </c>
      <c r="R1159" s="49" t="s">
        <v>628</v>
      </c>
      <c r="S1159" s="112" t="s">
        <v>629</v>
      </c>
      <c r="T1159" s="90" t="s">
        <v>10</v>
      </c>
      <c r="U1159" s="91"/>
      <c r="V1159" s="51">
        <v>45936</v>
      </c>
      <c r="W1159" s="49" t="s">
        <v>1610</v>
      </c>
    </row>
    <row r="1160" spans="1:23" ht="13" customHeight="1" x14ac:dyDescent="0.35">
      <c r="A1160" s="11">
        <v>1155</v>
      </c>
      <c r="B1160" s="47">
        <v>203512943</v>
      </c>
      <c r="C1160" s="94" t="s">
        <v>1292</v>
      </c>
      <c r="D1160" s="11" t="s">
        <v>1293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39</v>
      </c>
      <c r="K1160" s="49" t="s">
        <v>76</v>
      </c>
      <c r="L1160" s="49" t="s">
        <v>84</v>
      </c>
      <c r="M1160" s="49" t="s">
        <v>85</v>
      </c>
      <c r="N1160" s="48" t="s">
        <v>79</v>
      </c>
      <c r="O1160" s="49" t="s">
        <v>37</v>
      </c>
      <c r="P1160" s="11" t="s">
        <v>80</v>
      </c>
      <c r="Q1160" s="11" t="s">
        <v>81</v>
      </c>
      <c r="R1160" s="49" t="s">
        <v>648</v>
      </c>
      <c r="S1160" s="112" t="s">
        <v>1842</v>
      </c>
      <c r="T1160" s="90" t="s">
        <v>1</v>
      </c>
      <c r="U1160" s="89"/>
      <c r="V1160" s="51">
        <v>45463</v>
      </c>
      <c r="W1160" s="49" t="s">
        <v>1610</v>
      </c>
    </row>
    <row r="1161" spans="1:23" ht="13" customHeight="1" x14ac:dyDescent="0.35">
      <c r="A1161" s="11">
        <v>1156</v>
      </c>
      <c r="B1161" s="47">
        <v>204009949</v>
      </c>
      <c r="C1161" s="94" t="s">
        <v>1294</v>
      </c>
      <c r="D1161" s="11" t="s">
        <v>1295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32</v>
      </c>
      <c r="K1161" s="49" t="s">
        <v>76</v>
      </c>
      <c r="L1161" s="49" t="s">
        <v>78</v>
      </c>
      <c r="M1161" s="49" t="s">
        <v>92</v>
      </c>
      <c r="N1161" s="48" t="s">
        <v>86</v>
      </c>
      <c r="O1161" s="49" t="s">
        <v>37</v>
      </c>
      <c r="P1161" s="11" t="s">
        <v>80</v>
      </c>
      <c r="Q1161" s="11" t="s">
        <v>90</v>
      </c>
      <c r="R1161" s="11" t="s">
        <v>640</v>
      </c>
      <c r="S1161" s="11" t="s">
        <v>2824</v>
      </c>
      <c r="T1161" s="90" t="s">
        <v>1</v>
      </c>
      <c r="U1161" s="91"/>
      <c r="V1161" s="51">
        <v>45789</v>
      </c>
      <c r="W1161" s="49" t="s">
        <v>1610</v>
      </c>
    </row>
    <row r="1162" spans="1:23" ht="13" customHeight="1" x14ac:dyDescent="0.35">
      <c r="A1162" s="11">
        <v>1157</v>
      </c>
      <c r="B1162" s="47">
        <v>203964990</v>
      </c>
      <c r="C1162" s="94" t="s">
        <v>1296</v>
      </c>
      <c r="D1162" s="11" t="s">
        <v>1297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32</v>
      </c>
      <c r="K1162" s="49" t="s">
        <v>76</v>
      </c>
      <c r="L1162" s="49" t="s">
        <v>78</v>
      </c>
      <c r="M1162" s="49" t="s">
        <v>92</v>
      </c>
      <c r="N1162" s="48" t="s">
        <v>86</v>
      </c>
      <c r="O1162" s="49" t="s">
        <v>37</v>
      </c>
      <c r="P1162" s="11" t="s">
        <v>80</v>
      </c>
      <c r="Q1162" s="11" t="s">
        <v>99</v>
      </c>
      <c r="R1162" s="49" t="s">
        <v>648</v>
      </c>
      <c r="S1162" s="11" t="s">
        <v>1842</v>
      </c>
      <c r="T1162" s="90" t="s">
        <v>1</v>
      </c>
      <c r="U1162" s="91"/>
      <c r="V1162" s="51">
        <v>45544</v>
      </c>
      <c r="W1162" s="49" t="s">
        <v>1610</v>
      </c>
    </row>
    <row r="1163" spans="1:23" ht="13" customHeight="1" x14ac:dyDescent="0.35">
      <c r="A1163" s="11">
        <v>1158</v>
      </c>
      <c r="B1163" s="47">
        <v>204117685</v>
      </c>
      <c r="C1163" s="94" t="s">
        <v>1298</v>
      </c>
      <c r="D1163" s="11" t="s">
        <v>1299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85</v>
      </c>
      <c r="M1163" s="49" t="s">
        <v>88</v>
      </c>
      <c r="N1163" s="48" t="s">
        <v>86</v>
      </c>
      <c r="O1163" s="49" t="s">
        <v>37</v>
      </c>
      <c r="P1163" s="11" t="s">
        <v>80</v>
      </c>
      <c r="Q1163" s="11" t="s">
        <v>87</v>
      </c>
      <c r="R1163" s="49" t="s">
        <v>628</v>
      </c>
      <c r="S1163" s="11" t="s">
        <v>629</v>
      </c>
      <c r="T1163" s="90" t="s">
        <v>1</v>
      </c>
      <c r="U1163" s="89"/>
      <c r="V1163" s="51">
        <v>45561</v>
      </c>
      <c r="W1163" s="49" t="s">
        <v>1610</v>
      </c>
    </row>
    <row r="1164" spans="1:23" ht="13" customHeight="1" x14ac:dyDescent="0.35">
      <c r="A1164" s="11">
        <v>1159</v>
      </c>
      <c r="B1164" s="97">
        <v>205845546</v>
      </c>
      <c r="C1164" s="47" t="s">
        <v>2926</v>
      </c>
      <c r="D1164" s="94" t="s">
        <v>2927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32</v>
      </c>
      <c r="K1164" s="49" t="s">
        <v>76</v>
      </c>
      <c r="L1164" s="49" t="s">
        <v>85</v>
      </c>
      <c r="M1164" s="49" t="s">
        <v>88</v>
      </c>
      <c r="N1164" s="48" t="s">
        <v>86</v>
      </c>
      <c r="O1164" s="49" t="s">
        <v>37</v>
      </c>
      <c r="P1164" s="11" t="s">
        <v>80</v>
      </c>
      <c r="Q1164" s="11" t="s">
        <v>90</v>
      </c>
      <c r="R1164" s="11" t="s">
        <v>2955</v>
      </c>
      <c r="S1164" s="11" t="s">
        <v>2956</v>
      </c>
      <c r="T1164" s="90" t="s">
        <v>1</v>
      </c>
      <c r="U1164" s="90"/>
      <c r="V1164" s="51">
        <v>45894</v>
      </c>
      <c r="W1164" s="49" t="s">
        <v>1610</v>
      </c>
    </row>
    <row r="1165" spans="1:23" ht="13" customHeight="1" x14ac:dyDescent="0.35">
      <c r="A1165" s="11">
        <v>1160</v>
      </c>
      <c r="B1165" s="47">
        <v>203908332</v>
      </c>
      <c r="C1165" s="94" t="s">
        <v>2441</v>
      </c>
      <c r="D1165" s="11" t="s">
        <v>2442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32</v>
      </c>
      <c r="K1165" s="49" t="s">
        <v>76</v>
      </c>
      <c r="L1165" s="49" t="s">
        <v>77</v>
      </c>
      <c r="M1165" s="49" t="s">
        <v>78</v>
      </c>
      <c r="N1165" s="48" t="s">
        <v>86</v>
      </c>
      <c r="O1165" s="49" t="s">
        <v>37</v>
      </c>
      <c r="P1165" s="11" t="s">
        <v>80</v>
      </c>
      <c r="Q1165" s="11" t="s">
        <v>90</v>
      </c>
      <c r="R1165" s="49" t="s">
        <v>628</v>
      </c>
      <c r="S1165" s="11" t="s">
        <v>629</v>
      </c>
      <c r="T1165" s="90" t="s">
        <v>10</v>
      </c>
      <c r="U1165" s="91"/>
      <c r="V1165" s="51">
        <v>45537</v>
      </c>
      <c r="W1165" s="49" t="s">
        <v>1611</v>
      </c>
    </row>
    <row r="1166" spans="1:23" ht="13" customHeight="1" x14ac:dyDescent="0.35">
      <c r="A1166" s="11">
        <v>1161</v>
      </c>
      <c r="B1166" s="47">
        <v>206604522</v>
      </c>
      <c r="C1166" s="94" t="s">
        <v>2143</v>
      </c>
      <c r="D1166" s="11" t="s">
        <v>2144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39</v>
      </c>
      <c r="K1166" s="49" t="s">
        <v>76</v>
      </c>
      <c r="L1166" s="49" t="s">
        <v>92</v>
      </c>
      <c r="M1166" s="49" t="s">
        <v>84</v>
      </c>
      <c r="N1166" s="49" t="s">
        <v>89</v>
      </c>
      <c r="O1166" s="49" t="s">
        <v>37</v>
      </c>
      <c r="P1166" s="11" t="s">
        <v>80</v>
      </c>
      <c r="Q1166" s="11" t="s">
        <v>96</v>
      </c>
      <c r="R1166" s="49" t="s">
        <v>2825</v>
      </c>
      <c r="S1166" s="49" t="s">
        <v>643</v>
      </c>
      <c r="T1166" s="90" t="s">
        <v>1</v>
      </c>
      <c r="U1166" s="91"/>
      <c r="V1166" s="51">
        <v>46048</v>
      </c>
      <c r="W1166" s="49" t="s">
        <v>1610</v>
      </c>
    </row>
    <row r="1167" spans="1:23" ht="13" customHeight="1" x14ac:dyDescent="0.35">
      <c r="A1167" s="11">
        <v>1162</v>
      </c>
      <c r="B1167" s="47">
        <v>206851164</v>
      </c>
      <c r="C1167" s="94" t="s">
        <v>1933</v>
      </c>
      <c r="D1167" s="11" t="s">
        <v>1934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84</v>
      </c>
      <c r="M1167" s="49" t="s">
        <v>85</v>
      </c>
      <c r="N1167" s="49" t="s">
        <v>89</v>
      </c>
      <c r="O1167" s="48" t="s">
        <v>37</v>
      </c>
      <c r="P1167" s="48" t="s">
        <v>80</v>
      </c>
      <c r="Q1167" s="11" t="s">
        <v>90</v>
      </c>
      <c r="R1167" s="49" t="s">
        <v>648</v>
      </c>
      <c r="S1167" s="11" t="s">
        <v>1842</v>
      </c>
      <c r="T1167" s="90" t="s">
        <v>1</v>
      </c>
      <c r="U1167" s="90"/>
      <c r="V1167" s="51">
        <v>46030</v>
      </c>
      <c r="W1167" s="49" t="s">
        <v>1610</v>
      </c>
    </row>
    <row r="1168" spans="1:23" ht="13" customHeight="1" x14ac:dyDescent="0.35">
      <c r="A1168" s="11">
        <v>1163</v>
      </c>
      <c r="B1168" s="47">
        <v>203908334</v>
      </c>
      <c r="C1168" s="94" t="s">
        <v>1300</v>
      </c>
      <c r="D1168" s="11" t="s">
        <v>1301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39</v>
      </c>
      <c r="K1168" s="49" t="s">
        <v>76</v>
      </c>
      <c r="L1168" s="49" t="s">
        <v>78</v>
      </c>
      <c r="M1168" s="49" t="s">
        <v>92</v>
      </c>
      <c r="N1168" s="48" t="s">
        <v>86</v>
      </c>
      <c r="O1168" s="49" t="s">
        <v>37</v>
      </c>
      <c r="P1168" s="11" t="s">
        <v>80</v>
      </c>
      <c r="Q1168" s="11" t="s">
        <v>90</v>
      </c>
      <c r="R1168" s="11" t="s">
        <v>632</v>
      </c>
      <c r="S1168" s="11" t="s">
        <v>633</v>
      </c>
      <c r="T1168" s="90" t="s">
        <v>1</v>
      </c>
      <c r="U1168" s="91"/>
      <c r="V1168" s="51">
        <v>45537</v>
      </c>
      <c r="W1168" s="49" t="s">
        <v>1611</v>
      </c>
    </row>
    <row r="1169" spans="1:23" ht="13" customHeight="1" x14ac:dyDescent="0.35">
      <c r="A1169" s="11">
        <v>1164</v>
      </c>
      <c r="B1169" s="47">
        <v>206129263</v>
      </c>
      <c r="C1169" s="94" t="s">
        <v>1302</v>
      </c>
      <c r="D1169" s="11" t="s">
        <v>1303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32</v>
      </c>
      <c r="K1169" s="49" t="s">
        <v>76</v>
      </c>
      <c r="L1169" s="49" t="s">
        <v>78</v>
      </c>
      <c r="M1169" s="49" t="s">
        <v>92</v>
      </c>
      <c r="N1169" s="48" t="s">
        <v>79</v>
      </c>
      <c r="O1169" s="49" t="s">
        <v>37</v>
      </c>
      <c r="P1169" s="11" t="s">
        <v>80</v>
      </c>
      <c r="Q1169" s="11" t="s">
        <v>81</v>
      </c>
      <c r="R1169" s="49" t="s">
        <v>648</v>
      </c>
      <c r="S1169" s="11" t="s">
        <v>1842</v>
      </c>
      <c r="T1169" s="90" t="s">
        <v>1</v>
      </c>
      <c r="U1169" s="89"/>
      <c r="V1169" s="51">
        <v>45929</v>
      </c>
      <c r="W1169" s="49" t="s">
        <v>1610</v>
      </c>
    </row>
    <row r="1170" spans="1:23" ht="13" customHeight="1" x14ac:dyDescent="0.35">
      <c r="A1170" s="11">
        <v>1165</v>
      </c>
      <c r="B1170" s="47">
        <v>204013685</v>
      </c>
      <c r="C1170" s="94" t="s">
        <v>1304</v>
      </c>
      <c r="D1170" s="11" t="s">
        <v>1305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39</v>
      </c>
      <c r="K1170" s="49" t="s">
        <v>76</v>
      </c>
      <c r="L1170" s="49" t="s">
        <v>92</v>
      </c>
      <c r="M1170" s="49" t="s">
        <v>84</v>
      </c>
      <c r="N1170" s="48" t="s">
        <v>79</v>
      </c>
      <c r="O1170" s="49" t="s">
        <v>37</v>
      </c>
      <c r="P1170" s="11" t="s">
        <v>80</v>
      </c>
      <c r="Q1170" s="11" t="s">
        <v>81</v>
      </c>
      <c r="R1170" s="49" t="s">
        <v>628</v>
      </c>
      <c r="S1170" s="11" t="s">
        <v>629</v>
      </c>
      <c r="T1170" s="90" t="s">
        <v>1</v>
      </c>
      <c r="U1170" s="89"/>
      <c r="V1170" s="51">
        <v>45551</v>
      </c>
      <c r="W1170" s="49" t="s">
        <v>1609</v>
      </c>
    </row>
    <row r="1171" spans="1:23" ht="13" customHeight="1" x14ac:dyDescent="0.35">
      <c r="A1171" s="11">
        <v>1166</v>
      </c>
      <c r="B1171" s="47">
        <v>206200800</v>
      </c>
      <c r="C1171" s="94" t="s">
        <v>1628</v>
      </c>
      <c r="D1171" s="11" t="s">
        <v>1622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32</v>
      </c>
      <c r="K1171" s="49" t="s">
        <v>76</v>
      </c>
      <c r="L1171" s="49" t="s">
        <v>77</v>
      </c>
      <c r="M1171" s="49" t="s">
        <v>78</v>
      </c>
      <c r="N1171" s="49" t="s">
        <v>89</v>
      </c>
      <c r="O1171" s="49" t="s">
        <v>37</v>
      </c>
      <c r="P1171" s="11" t="s">
        <v>80</v>
      </c>
      <c r="Q1171" s="11" t="s">
        <v>81</v>
      </c>
      <c r="R1171" s="49" t="s">
        <v>2825</v>
      </c>
      <c r="S1171" s="11" t="s">
        <v>643</v>
      </c>
      <c r="T1171" s="90" t="s">
        <v>10</v>
      </c>
      <c r="U1171" s="91"/>
      <c r="V1171" s="51">
        <v>45936</v>
      </c>
      <c r="W1171" s="49" t="s">
        <v>1610</v>
      </c>
    </row>
    <row r="1172" spans="1:23" ht="13" customHeight="1" x14ac:dyDescent="0.35">
      <c r="A1172" s="11">
        <v>1167</v>
      </c>
      <c r="B1172" s="47">
        <v>206846532</v>
      </c>
      <c r="C1172" s="94" t="s">
        <v>1861</v>
      </c>
      <c r="D1172" s="47" t="s">
        <v>1862</v>
      </c>
      <c r="E1172" s="47" t="s">
        <v>31</v>
      </c>
      <c r="F1172" s="48" t="s">
        <v>74</v>
      </c>
      <c r="G1172" s="11" t="s">
        <v>64</v>
      </c>
      <c r="H1172" s="11" t="s">
        <v>75</v>
      </c>
      <c r="I1172" s="47">
        <v>1299</v>
      </c>
      <c r="J1172" s="49" t="s">
        <v>39</v>
      </c>
      <c r="K1172" s="49" t="s">
        <v>76</v>
      </c>
      <c r="L1172" s="49" t="s">
        <v>84</v>
      </c>
      <c r="M1172" s="49" t="s">
        <v>85</v>
      </c>
      <c r="N1172" s="49" t="s">
        <v>89</v>
      </c>
      <c r="O1172" s="49" t="s">
        <v>37</v>
      </c>
      <c r="P1172" s="11" t="s">
        <v>80</v>
      </c>
      <c r="Q1172" s="47" t="s">
        <v>90</v>
      </c>
      <c r="R1172" s="11" t="s">
        <v>2954</v>
      </c>
      <c r="S1172" s="47" t="s">
        <v>2822</v>
      </c>
      <c r="T1172" s="90" t="s">
        <v>1</v>
      </c>
      <c r="U1172" s="91"/>
      <c r="V1172" s="51">
        <v>46013</v>
      </c>
      <c r="W1172" s="49" t="s">
        <v>1610</v>
      </c>
    </row>
    <row r="1173" spans="1:23" ht="13" customHeight="1" x14ac:dyDescent="0.35">
      <c r="A1173" s="11">
        <v>1168</v>
      </c>
      <c r="B1173" s="47">
        <v>206890218</v>
      </c>
      <c r="C1173" s="94" t="s">
        <v>1915</v>
      </c>
      <c r="D1173" s="11" t="s">
        <v>1916</v>
      </c>
      <c r="E1173" s="11" t="s">
        <v>31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32</v>
      </c>
      <c r="K1173" s="49" t="s">
        <v>76</v>
      </c>
      <c r="L1173" s="49" t="s">
        <v>85</v>
      </c>
      <c r="M1173" s="49" t="s">
        <v>88</v>
      </c>
      <c r="N1173" s="49" t="s">
        <v>89</v>
      </c>
      <c r="O1173" s="49" t="s">
        <v>37</v>
      </c>
      <c r="P1173" s="11" t="s">
        <v>80</v>
      </c>
      <c r="Q1173" s="11" t="s">
        <v>96</v>
      </c>
      <c r="R1173" s="49" t="s">
        <v>628</v>
      </c>
      <c r="S1173" s="11" t="s">
        <v>629</v>
      </c>
      <c r="T1173" s="90" t="s">
        <v>1</v>
      </c>
      <c r="U1173" s="89"/>
      <c r="V1173" s="51">
        <v>46027</v>
      </c>
      <c r="W1173" s="11" t="s">
        <v>1609</v>
      </c>
    </row>
    <row r="1174" spans="1:23" ht="13" customHeight="1" x14ac:dyDescent="0.35">
      <c r="A1174" s="11">
        <v>1169</v>
      </c>
      <c r="B1174" s="47">
        <v>205845555</v>
      </c>
      <c r="C1174" s="94" t="s">
        <v>2526</v>
      </c>
      <c r="D1174" s="11" t="s">
        <v>2527</v>
      </c>
      <c r="E1174" s="48" t="s">
        <v>31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32</v>
      </c>
      <c r="K1174" s="49" t="s">
        <v>76</v>
      </c>
      <c r="L1174" s="49" t="s">
        <v>88</v>
      </c>
      <c r="M1174" s="49" t="s">
        <v>95</v>
      </c>
      <c r="N1174" s="49" t="s">
        <v>89</v>
      </c>
      <c r="O1174" s="49" t="s">
        <v>37</v>
      </c>
      <c r="P1174" s="11" t="s">
        <v>80</v>
      </c>
      <c r="Q1174" s="11" t="s">
        <v>90</v>
      </c>
      <c r="R1174" s="49" t="s">
        <v>648</v>
      </c>
      <c r="S1174" s="11" t="s">
        <v>1842</v>
      </c>
      <c r="T1174" s="90" t="s">
        <v>1</v>
      </c>
      <c r="U1174" s="91" t="s">
        <v>3003</v>
      </c>
      <c r="V1174" s="51">
        <v>45894</v>
      </c>
      <c r="W1174" s="49" t="s">
        <v>1610</v>
      </c>
    </row>
    <row r="1175" spans="1:23" ht="13" customHeight="1" x14ac:dyDescent="0.35">
      <c r="A1175" s="11">
        <v>1170</v>
      </c>
      <c r="B1175" s="47">
        <v>108019725</v>
      </c>
      <c r="C1175" s="94" t="s">
        <v>2466</v>
      </c>
      <c r="D1175" s="11" t="s">
        <v>2467</v>
      </c>
      <c r="E1175" s="48" t="s">
        <v>34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39</v>
      </c>
      <c r="K1175" s="49" t="s">
        <v>76</v>
      </c>
      <c r="L1175" s="49" t="s">
        <v>84</v>
      </c>
      <c r="M1175" s="49" t="s">
        <v>85</v>
      </c>
      <c r="N1175" s="48" t="s">
        <v>97</v>
      </c>
      <c r="O1175" s="49" t="s">
        <v>37</v>
      </c>
      <c r="P1175" s="11" t="s">
        <v>80</v>
      </c>
      <c r="Q1175" s="11" t="s">
        <v>98</v>
      </c>
      <c r="R1175" s="11" t="s">
        <v>632</v>
      </c>
      <c r="S1175" s="11" t="s">
        <v>633</v>
      </c>
      <c r="T1175" s="90" t="s">
        <v>1</v>
      </c>
      <c r="U1175" s="91"/>
      <c r="V1175" s="51">
        <v>44757</v>
      </c>
      <c r="W1175" s="49" t="s">
        <v>1610</v>
      </c>
    </row>
    <row r="1176" spans="1:23" ht="13" customHeight="1" x14ac:dyDescent="0.35">
      <c r="A1176" s="11">
        <v>1171</v>
      </c>
      <c r="B1176" s="47">
        <v>203908914</v>
      </c>
      <c r="C1176" s="94" t="s">
        <v>1306</v>
      </c>
      <c r="D1176" s="11" t="s">
        <v>1307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88</v>
      </c>
      <c r="M1176" s="49" t="s">
        <v>95</v>
      </c>
      <c r="N1176" s="48" t="s">
        <v>86</v>
      </c>
      <c r="O1176" s="49" t="s">
        <v>37</v>
      </c>
      <c r="P1176" s="11" t="s">
        <v>80</v>
      </c>
      <c r="Q1176" s="11" t="s">
        <v>90</v>
      </c>
      <c r="R1176" s="49" t="s">
        <v>648</v>
      </c>
      <c r="S1176" s="11" t="s">
        <v>1842</v>
      </c>
      <c r="T1176" s="90" t="s">
        <v>1</v>
      </c>
      <c r="U1176" s="90"/>
      <c r="V1176" s="51">
        <v>45537</v>
      </c>
      <c r="W1176" s="49" t="s">
        <v>1610</v>
      </c>
    </row>
    <row r="1177" spans="1:23" ht="13" customHeight="1" x14ac:dyDescent="0.35">
      <c r="A1177" s="11">
        <v>1172</v>
      </c>
      <c r="B1177" s="47">
        <v>204951311</v>
      </c>
      <c r="C1177" s="94" t="s">
        <v>2528</v>
      </c>
      <c r="D1177" s="11" t="s">
        <v>2529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95</v>
      </c>
      <c r="M1177" s="49" t="s">
        <v>77</v>
      </c>
      <c r="N1177" s="48" t="s">
        <v>86</v>
      </c>
      <c r="O1177" s="49" t="s">
        <v>37</v>
      </c>
      <c r="P1177" s="11" t="s">
        <v>80</v>
      </c>
      <c r="Q1177" s="11" t="s">
        <v>90</v>
      </c>
      <c r="R1177" s="49" t="s">
        <v>648</v>
      </c>
      <c r="S1177" s="11" t="s">
        <v>1842</v>
      </c>
      <c r="T1177" s="90" t="s">
        <v>10</v>
      </c>
      <c r="U1177" s="89"/>
      <c r="V1177" s="51">
        <v>45719</v>
      </c>
      <c r="W1177" s="49" t="s">
        <v>1610</v>
      </c>
    </row>
    <row r="1178" spans="1:23" ht="13" customHeight="1" x14ac:dyDescent="0.35">
      <c r="A1178" s="11">
        <v>1173</v>
      </c>
      <c r="B1178" s="47">
        <v>206137337</v>
      </c>
      <c r="C1178" s="94" t="s">
        <v>1308</v>
      </c>
      <c r="D1178" s="11" t="s">
        <v>1309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39</v>
      </c>
      <c r="K1178" s="49" t="s">
        <v>76</v>
      </c>
      <c r="L1178" s="49" t="s">
        <v>84</v>
      </c>
      <c r="M1178" s="49" t="s">
        <v>85</v>
      </c>
      <c r="N1178" s="48" t="s">
        <v>79</v>
      </c>
      <c r="O1178" s="49" t="s">
        <v>37</v>
      </c>
      <c r="P1178" s="11" t="s">
        <v>80</v>
      </c>
      <c r="Q1178" s="11" t="s">
        <v>81</v>
      </c>
      <c r="R1178" s="49" t="s">
        <v>628</v>
      </c>
      <c r="S1178" s="11" t="s">
        <v>629</v>
      </c>
      <c r="T1178" s="90" t="s">
        <v>1</v>
      </c>
      <c r="U1178" s="91"/>
      <c r="V1178" s="51">
        <v>45929</v>
      </c>
      <c r="W1178" s="49" t="s">
        <v>1610</v>
      </c>
    </row>
    <row r="1179" spans="1:23" ht="13" customHeight="1" x14ac:dyDescent="0.35">
      <c r="A1179" s="11">
        <v>1174</v>
      </c>
      <c r="B1179" s="47">
        <v>203512964</v>
      </c>
      <c r="C1179" s="94" t="s">
        <v>1310</v>
      </c>
      <c r="D1179" s="11" t="s">
        <v>1311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95</v>
      </c>
      <c r="M1179" s="49" t="s">
        <v>77</v>
      </c>
      <c r="N1179" s="48" t="s">
        <v>79</v>
      </c>
      <c r="O1179" s="49" t="s">
        <v>37</v>
      </c>
      <c r="P1179" s="11" t="s">
        <v>80</v>
      </c>
      <c r="Q1179" s="11" t="s">
        <v>81</v>
      </c>
      <c r="R1179" s="11" t="s">
        <v>1087</v>
      </c>
      <c r="S1179" s="11" t="s">
        <v>2823</v>
      </c>
      <c r="T1179" s="90" t="s">
        <v>10</v>
      </c>
      <c r="U1179" s="91"/>
      <c r="V1179" s="51">
        <v>45463</v>
      </c>
      <c r="W1179" s="49" t="s">
        <v>1610</v>
      </c>
    </row>
    <row r="1180" spans="1:23" ht="13" customHeight="1" x14ac:dyDescent="0.35">
      <c r="A1180" s="11">
        <v>1175</v>
      </c>
      <c r="B1180" s="47">
        <v>203908343</v>
      </c>
      <c r="C1180" s="94" t="s">
        <v>2530</v>
      </c>
      <c r="D1180" s="11" t="s">
        <v>2531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39</v>
      </c>
      <c r="K1180" s="49" t="s">
        <v>76</v>
      </c>
      <c r="L1180" s="49" t="s">
        <v>85</v>
      </c>
      <c r="M1180" s="49" t="s">
        <v>88</v>
      </c>
      <c r="N1180" s="48" t="s">
        <v>86</v>
      </c>
      <c r="O1180" s="49" t="s">
        <v>37</v>
      </c>
      <c r="P1180" s="11" t="s">
        <v>80</v>
      </c>
      <c r="Q1180" s="11" t="s">
        <v>90</v>
      </c>
      <c r="R1180" s="11" t="s">
        <v>632</v>
      </c>
      <c r="S1180" s="11" t="s">
        <v>633</v>
      </c>
      <c r="T1180" s="90" t="s">
        <v>1</v>
      </c>
      <c r="U1180" s="89"/>
      <c r="V1180" s="51">
        <v>45537</v>
      </c>
      <c r="W1180" s="49" t="s">
        <v>1610</v>
      </c>
    </row>
    <row r="1181" spans="1:23" ht="13" customHeight="1" x14ac:dyDescent="0.35">
      <c r="A1181" s="11">
        <v>1176</v>
      </c>
      <c r="B1181" s="47">
        <v>205853884</v>
      </c>
      <c r="C1181" s="94" t="s">
        <v>1312</v>
      </c>
      <c r="D1181" s="11" t="s">
        <v>1313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39</v>
      </c>
      <c r="K1181" s="49" t="s">
        <v>76</v>
      </c>
      <c r="L1181" s="49" t="s">
        <v>88</v>
      </c>
      <c r="M1181" s="49" t="s">
        <v>95</v>
      </c>
      <c r="N1181" s="49" t="s">
        <v>89</v>
      </c>
      <c r="O1181" s="49" t="s">
        <v>37</v>
      </c>
      <c r="P1181" s="11" t="s">
        <v>80</v>
      </c>
      <c r="Q1181" s="11" t="s">
        <v>96</v>
      </c>
      <c r="R1181" s="49" t="s">
        <v>648</v>
      </c>
      <c r="S1181" s="11" t="s">
        <v>1842</v>
      </c>
      <c r="T1181" s="90" t="s">
        <v>1</v>
      </c>
      <c r="U1181" s="91"/>
      <c r="V1181" s="51">
        <v>45894</v>
      </c>
      <c r="W1181" s="49" t="s">
        <v>1610</v>
      </c>
    </row>
    <row r="1182" spans="1:23" ht="13" customHeight="1" x14ac:dyDescent="0.35">
      <c r="A1182" s="11">
        <v>1177</v>
      </c>
      <c r="B1182" s="47">
        <v>206886516</v>
      </c>
      <c r="C1182" s="94" t="s">
        <v>1917</v>
      </c>
      <c r="D1182" s="11" t="s">
        <v>1918</v>
      </c>
      <c r="E1182" s="11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32</v>
      </c>
      <c r="K1182" s="49" t="s">
        <v>76</v>
      </c>
      <c r="L1182" s="49" t="s">
        <v>85</v>
      </c>
      <c r="M1182" s="49" t="s">
        <v>88</v>
      </c>
      <c r="N1182" s="49" t="s">
        <v>89</v>
      </c>
      <c r="O1182" s="49" t="s">
        <v>37</v>
      </c>
      <c r="P1182" s="11" t="s">
        <v>80</v>
      </c>
      <c r="Q1182" s="11" t="s">
        <v>96</v>
      </c>
      <c r="R1182" s="11" t="s">
        <v>632</v>
      </c>
      <c r="S1182" s="11" t="s">
        <v>633</v>
      </c>
      <c r="T1182" s="90" t="s">
        <v>1</v>
      </c>
      <c r="U1182" s="90"/>
      <c r="V1182" s="51">
        <v>46027</v>
      </c>
      <c r="W1182" s="11" t="s">
        <v>1609</v>
      </c>
    </row>
    <row r="1183" spans="1:23" ht="13" customHeight="1" x14ac:dyDescent="0.35">
      <c r="A1183" s="11">
        <v>1178</v>
      </c>
      <c r="B1183" s="47">
        <v>203512952</v>
      </c>
      <c r="C1183" s="94" t="s">
        <v>1314</v>
      </c>
      <c r="D1183" s="11" t="s">
        <v>1315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32</v>
      </c>
      <c r="K1183" s="49" t="s">
        <v>76</v>
      </c>
      <c r="L1183" s="49" t="s">
        <v>84</v>
      </c>
      <c r="M1183" s="49" t="s">
        <v>85</v>
      </c>
      <c r="N1183" s="48" t="s">
        <v>79</v>
      </c>
      <c r="O1183" s="49" t="s">
        <v>37</v>
      </c>
      <c r="P1183" s="11" t="s">
        <v>80</v>
      </c>
      <c r="Q1183" s="11" t="s">
        <v>81</v>
      </c>
      <c r="R1183" s="11" t="s">
        <v>1087</v>
      </c>
      <c r="S1183" s="11" t="s">
        <v>2823</v>
      </c>
      <c r="T1183" s="90" t="s">
        <v>1</v>
      </c>
      <c r="U1183" s="89"/>
      <c r="V1183" s="51">
        <v>45463</v>
      </c>
      <c r="W1183" s="73" t="s">
        <v>1610</v>
      </c>
    </row>
    <row r="1184" spans="1:23" ht="13" customHeight="1" x14ac:dyDescent="0.35">
      <c r="A1184" s="11">
        <v>1179</v>
      </c>
      <c r="B1184" s="47">
        <v>203881713</v>
      </c>
      <c r="C1184" s="94" t="s">
        <v>1316</v>
      </c>
      <c r="D1184" s="11" t="s">
        <v>1317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32</v>
      </c>
      <c r="K1184" s="49" t="s">
        <v>76</v>
      </c>
      <c r="L1184" s="49" t="s">
        <v>84</v>
      </c>
      <c r="M1184" s="49" t="s">
        <v>85</v>
      </c>
      <c r="N1184" s="48" t="s">
        <v>79</v>
      </c>
      <c r="O1184" s="49" t="s">
        <v>37</v>
      </c>
      <c r="P1184" s="11" t="s">
        <v>80</v>
      </c>
      <c r="Q1184" s="11" t="s">
        <v>81</v>
      </c>
      <c r="R1184" s="49" t="s">
        <v>648</v>
      </c>
      <c r="S1184" s="11" t="s">
        <v>1842</v>
      </c>
      <c r="T1184" s="90" t="s">
        <v>1</v>
      </c>
      <c r="U1184" s="91"/>
      <c r="V1184" s="51">
        <v>45530</v>
      </c>
      <c r="W1184" s="49" t="s">
        <v>1610</v>
      </c>
    </row>
    <row r="1185" spans="1:23" ht="13" customHeight="1" x14ac:dyDescent="0.35">
      <c r="A1185" s="11">
        <v>1180</v>
      </c>
      <c r="B1185" s="47">
        <v>203341958</v>
      </c>
      <c r="C1185" s="94" t="s">
        <v>1652</v>
      </c>
      <c r="D1185" s="11" t="s">
        <v>1318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32</v>
      </c>
      <c r="K1185" s="49" t="s">
        <v>76</v>
      </c>
      <c r="L1185" s="49" t="s">
        <v>95</v>
      </c>
      <c r="M1185" s="49" t="s">
        <v>77</v>
      </c>
      <c r="N1185" s="48" t="s">
        <v>86</v>
      </c>
      <c r="O1185" s="49" t="s">
        <v>37</v>
      </c>
      <c r="P1185" s="11" t="s">
        <v>80</v>
      </c>
      <c r="Q1185" s="11" t="s">
        <v>99</v>
      </c>
      <c r="R1185" s="11" t="s">
        <v>632</v>
      </c>
      <c r="S1185" s="11" t="s">
        <v>633</v>
      </c>
      <c r="T1185" s="90" t="s">
        <v>10</v>
      </c>
      <c r="U1185" s="90"/>
      <c r="V1185" s="51">
        <v>45432</v>
      </c>
      <c r="W1185" s="49" t="s">
        <v>1611</v>
      </c>
    </row>
    <row r="1186" spans="1:23" ht="13" customHeight="1" x14ac:dyDescent="0.35">
      <c r="A1186" s="11">
        <v>1181</v>
      </c>
      <c r="B1186" s="47">
        <v>203965408</v>
      </c>
      <c r="C1186" s="94" t="s">
        <v>1319</v>
      </c>
      <c r="D1186" s="11" t="s">
        <v>1320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32</v>
      </c>
      <c r="K1186" s="49" t="s">
        <v>76</v>
      </c>
      <c r="L1186" s="49" t="s">
        <v>92</v>
      </c>
      <c r="M1186" s="49" t="s">
        <v>84</v>
      </c>
      <c r="N1186" s="48" t="s">
        <v>79</v>
      </c>
      <c r="O1186" s="49" t="s">
        <v>37</v>
      </c>
      <c r="P1186" s="11" t="s">
        <v>80</v>
      </c>
      <c r="Q1186" s="11" t="s">
        <v>81</v>
      </c>
      <c r="R1186" s="11" t="s">
        <v>640</v>
      </c>
      <c r="S1186" s="11" t="s">
        <v>2824</v>
      </c>
      <c r="T1186" s="90" t="s">
        <v>7</v>
      </c>
      <c r="U1186" s="90" t="s">
        <v>3004</v>
      </c>
      <c r="V1186" s="51">
        <v>45544</v>
      </c>
      <c r="W1186" s="49" t="s">
        <v>1610</v>
      </c>
    </row>
    <row r="1187" spans="1:23" ht="13" customHeight="1" x14ac:dyDescent="0.35">
      <c r="A1187" s="11">
        <v>1182</v>
      </c>
      <c r="B1187" s="97">
        <v>203993454</v>
      </c>
      <c r="C1187" s="47" t="s">
        <v>2928</v>
      </c>
      <c r="D1187" s="94" t="s">
        <v>2929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39</v>
      </c>
      <c r="K1187" s="49" t="s">
        <v>76</v>
      </c>
      <c r="L1187" s="49" t="s">
        <v>88</v>
      </c>
      <c r="M1187" s="49" t="s">
        <v>95</v>
      </c>
      <c r="N1187" s="48" t="s">
        <v>86</v>
      </c>
      <c r="O1187" s="49" t="s">
        <v>37</v>
      </c>
      <c r="P1187" s="11" t="s">
        <v>80</v>
      </c>
      <c r="Q1187" s="11" t="s">
        <v>90</v>
      </c>
      <c r="R1187" s="11" t="s">
        <v>2955</v>
      </c>
      <c r="S1187" s="11" t="s">
        <v>2956</v>
      </c>
      <c r="T1187" s="90" t="s">
        <v>1</v>
      </c>
      <c r="U1187" s="90"/>
      <c r="V1187" s="51">
        <v>45551</v>
      </c>
      <c r="W1187" s="49" t="s">
        <v>1610</v>
      </c>
    </row>
    <row r="1188" spans="1:23" ht="13" customHeight="1" x14ac:dyDescent="0.35">
      <c r="A1188" s="11">
        <v>1183</v>
      </c>
      <c r="B1188" s="47">
        <v>203965497</v>
      </c>
      <c r="C1188" s="94" t="s">
        <v>1321</v>
      </c>
      <c r="D1188" s="11" t="s">
        <v>1322</v>
      </c>
      <c r="E1188" s="48" t="s">
        <v>31</v>
      </c>
      <c r="F1188" s="48" t="s">
        <v>74</v>
      </c>
      <c r="G1188" s="11" t="s">
        <v>64</v>
      </c>
      <c r="H1188" s="11" t="s">
        <v>75</v>
      </c>
      <c r="I1188" s="11">
        <v>1299</v>
      </c>
      <c r="J1188" s="49" t="s">
        <v>32</v>
      </c>
      <c r="K1188" s="49" t="s">
        <v>76</v>
      </c>
      <c r="L1188" s="49" t="s">
        <v>78</v>
      </c>
      <c r="M1188" s="49" t="s">
        <v>92</v>
      </c>
      <c r="N1188" s="48" t="s">
        <v>79</v>
      </c>
      <c r="O1188" s="49" t="s">
        <v>37</v>
      </c>
      <c r="P1188" s="11" t="s">
        <v>80</v>
      </c>
      <c r="Q1188" s="11" t="s">
        <v>81</v>
      </c>
      <c r="R1188" s="11" t="s">
        <v>1087</v>
      </c>
      <c r="S1188" s="11" t="s">
        <v>2823</v>
      </c>
      <c r="T1188" s="90" t="s">
        <v>1</v>
      </c>
      <c r="U1188" s="91"/>
      <c r="V1188" s="51">
        <v>45544</v>
      </c>
      <c r="W1188" s="49" t="s">
        <v>1610</v>
      </c>
    </row>
    <row r="1189" spans="1:23" ht="13" customHeight="1" x14ac:dyDescent="0.35">
      <c r="A1189" s="11">
        <v>1184</v>
      </c>
      <c r="B1189" s="47">
        <v>204116445</v>
      </c>
      <c r="C1189" s="94" t="s">
        <v>1323</v>
      </c>
      <c r="D1189" s="11" t="s">
        <v>1324</v>
      </c>
      <c r="E1189" s="48" t="s">
        <v>31</v>
      </c>
      <c r="F1189" s="48" t="s">
        <v>74</v>
      </c>
      <c r="G1189" s="11" t="s">
        <v>64</v>
      </c>
      <c r="H1189" s="11" t="s">
        <v>75</v>
      </c>
      <c r="I1189" s="11">
        <v>1299</v>
      </c>
      <c r="J1189" s="49" t="s">
        <v>39</v>
      </c>
      <c r="K1189" s="49" t="s">
        <v>76</v>
      </c>
      <c r="L1189" s="49" t="s">
        <v>78</v>
      </c>
      <c r="M1189" s="49" t="s">
        <v>92</v>
      </c>
      <c r="N1189" s="48" t="s">
        <v>86</v>
      </c>
      <c r="O1189" s="49" t="s">
        <v>37</v>
      </c>
      <c r="P1189" s="11" t="s">
        <v>80</v>
      </c>
      <c r="Q1189" s="11" t="s">
        <v>87</v>
      </c>
      <c r="R1189" s="11" t="s">
        <v>1087</v>
      </c>
      <c r="S1189" s="11" t="s">
        <v>2823</v>
      </c>
      <c r="T1189" s="90" t="s">
        <v>1</v>
      </c>
      <c r="U1189" s="91"/>
      <c r="V1189" s="51">
        <v>45561</v>
      </c>
      <c r="W1189" s="49" t="s">
        <v>1609</v>
      </c>
    </row>
    <row r="1190" spans="1:23" ht="13" customHeight="1" x14ac:dyDescent="0.35">
      <c r="A1190" s="11">
        <v>1185</v>
      </c>
      <c r="B1190" s="47">
        <v>204095447</v>
      </c>
      <c r="C1190" s="94" t="s">
        <v>1325</v>
      </c>
      <c r="D1190" s="11" t="s">
        <v>1326</v>
      </c>
      <c r="E1190" s="48" t="s">
        <v>31</v>
      </c>
      <c r="F1190" s="48" t="s">
        <v>74</v>
      </c>
      <c r="G1190" s="11" t="s">
        <v>64</v>
      </c>
      <c r="H1190" s="11" t="s">
        <v>75</v>
      </c>
      <c r="I1190" s="11">
        <v>1299</v>
      </c>
      <c r="J1190" s="49" t="s">
        <v>39</v>
      </c>
      <c r="K1190" s="49" t="s">
        <v>76</v>
      </c>
      <c r="L1190" s="49" t="s">
        <v>92</v>
      </c>
      <c r="M1190" s="49" t="s">
        <v>84</v>
      </c>
      <c r="N1190" s="48" t="s">
        <v>86</v>
      </c>
      <c r="O1190" s="49" t="s">
        <v>37</v>
      </c>
      <c r="P1190" s="11" t="s">
        <v>80</v>
      </c>
      <c r="Q1190" s="11" t="s">
        <v>87</v>
      </c>
      <c r="R1190" s="11" t="s">
        <v>1087</v>
      </c>
      <c r="S1190" s="11" t="s">
        <v>2823</v>
      </c>
      <c r="T1190" s="90" t="s">
        <v>1</v>
      </c>
      <c r="U1190" s="90"/>
      <c r="V1190" s="51">
        <v>45561</v>
      </c>
      <c r="W1190" s="49" t="s">
        <v>1611</v>
      </c>
    </row>
    <row r="1191" spans="1:23" ht="13" customHeight="1" x14ac:dyDescent="0.35">
      <c r="A1191" s="11">
        <v>1186</v>
      </c>
      <c r="B1191" s="47">
        <v>206137339</v>
      </c>
      <c r="C1191" s="94" t="s">
        <v>1327</v>
      </c>
      <c r="D1191" s="11" t="s">
        <v>1328</v>
      </c>
      <c r="E1191" s="48" t="s">
        <v>31</v>
      </c>
      <c r="F1191" s="48" t="s">
        <v>74</v>
      </c>
      <c r="G1191" s="11" t="s">
        <v>64</v>
      </c>
      <c r="H1191" s="11" t="s">
        <v>75</v>
      </c>
      <c r="I1191" s="11">
        <v>1299</v>
      </c>
      <c r="J1191" s="49" t="s">
        <v>39</v>
      </c>
      <c r="K1191" s="49" t="s">
        <v>76</v>
      </c>
      <c r="L1191" s="49" t="s">
        <v>85</v>
      </c>
      <c r="M1191" s="49" t="s">
        <v>88</v>
      </c>
      <c r="N1191" s="48" t="s">
        <v>79</v>
      </c>
      <c r="O1191" s="49" t="s">
        <v>37</v>
      </c>
      <c r="P1191" s="11" t="s">
        <v>80</v>
      </c>
      <c r="Q1191" s="11" t="s">
        <v>81</v>
      </c>
      <c r="R1191" s="49" t="s">
        <v>628</v>
      </c>
      <c r="S1191" s="11" t="s">
        <v>629</v>
      </c>
      <c r="T1191" s="90" t="s">
        <v>1</v>
      </c>
      <c r="U1191" s="90"/>
      <c r="V1191" s="51">
        <v>45929</v>
      </c>
      <c r="W1191" s="49" t="s">
        <v>1610</v>
      </c>
    </row>
    <row r="1192" spans="1:23" ht="13" customHeight="1" x14ac:dyDescent="0.35">
      <c r="A1192" s="11">
        <v>1187</v>
      </c>
      <c r="B1192" s="47">
        <v>204052514</v>
      </c>
      <c r="C1192" s="94" t="s">
        <v>1329</v>
      </c>
      <c r="D1192" s="11" t="s">
        <v>1330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32</v>
      </c>
      <c r="K1192" s="49" t="s">
        <v>76</v>
      </c>
      <c r="L1192" s="49" t="s">
        <v>78</v>
      </c>
      <c r="M1192" s="49" t="s">
        <v>92</v>
      </c>
      <c r="N1192" s="48" t="s">
        <v>86</v>
      </c>
      <c r="O1192" s="49" t="s">
        <v>37</v>
      </c>
      <c r="P1192" s="11" t="s">
        <v>80</v>
      </c>
      <c r="Q1192" s="11" t="s">
        <v>99</v>
      </c>
      <c r="R1192" s="49" t="s">
        <v>648</v>
      </c>
      <c r="S1192" s="11" t="s">
        <v>1842</v>
      </c>
      <c r="T1192" s="90" t="s">
        <v>1</v>
      </c>
      <c r="U1192" s="91"/>
      <c r="V1192" s="51">
        <v>45558</v>
      </c>
      <c r="W1192" s="49" t="s">
        <v>1609</v>
      </c>
    </row>
    <row r="1193" spans="1:23" ht="13" customHeight="1" x14ac:dyDescent="0.35">
      <c r="A1193" s="11">
        <v>1188</v>
      </c>
      <c r="B1193" s="47">
        <v>205236904</v>
      </c>
      <c r="C1193" s="94" t="s">
        <v>2532</v>
      </c>
      <c r="D1193" s="11" t="s">
        <v>2533</v>
      </c>
      <c r="E1193" s="48" t="s">
        <v>31</v>
      </c>
      <c r="F1193" s="48" t="s">
        <v>74</v>
      </c>
      <c r="G1193" s="11" t="s">
        <v>64</v>
      </c>
      <c r="H1193" s="11" t="s">
        <v>75</v>
      </c>
      <c r="I1193" s="11">
        <v>1299</v>
      </c>
      <c r="J1193" s="49" t="s">
        <v>39</v>
      </c>
      <c r="K1193" s="49" t="s">
        <v>76</v>
      </c>
      <c r="L1193" s="49" t="s">
        <v>78</v>
      </c>
      <c r="M1193" s="49" t="s">
        <v>92</v>
      </c>
      <c r="N1193" s="48" t="s">
        <v>89</v>
      </c>
      <c r="O1193" s="49" t="s">
        <v>37</v>
      </c>
      <c r="P1193" s="11" t="s">
        <v>80</v>
      </c>
      <c r="Q1193" s="11" t="s">
        <v>90</v>
      </c>
      <c r="R1193" s="49" t="s">
        <v>628</v>
      </c>
      <c r="S1193" s="11" t="s">
        <v>629</v>
      </c>
      <c r="T1193" s="90" t="s">
        <v>1</v>
      </c>
      <c r="U1193" s="89"/>
      <c r="V1193" s="51">
        <v>45789</v>
      </c>
      <c r="W1193" s="49" t="s">
        <v>1610</v>
      </c>
    </row>
    <row r="1194" spans="1:23" ht="13" customHeight="1" x14ac:dyDescent="0.35">
      <c r="A1194" s="11">
        <v>1189</v>
      </c>
      <c r="B1194" s="47">
        <v>205133785</v>
      </c>
      <c r="C1194" s="94" t="s">
        <v>2167</v>
      </c>
      <c r="D1194" s="11" t="s">
        <v>2168</v>
      </c>
      <c r="E1194" s="48" t="s">
        <v>31</v>
      </c>
      <c r="F1194" s="48" t="s">
        <v>74</v>
      </c>
      <c r="G1194" s="11" t="s">
        <v>64</v>
      </c>
      <c r="H1194" s="11" t="s">
        <v>75</v>
      </c>
      <c r="I1194" s="11">
        <v>1299</v>
      </c>
      <c r="J1194" s="49" t="s">
        <v>39</v>
      </c>
      <c r="K1194" s="49" t="s">
        <v>76</v>
      </c>
      <c r="L1194" s="49" t="s">
        <v>88</v>
      </c>
      <c r="M1194" s="49" t="s">
        <v>95</v>
      </c>
      <c r="N1194" s="49" t="s">
        <v>79</v>
      </c>
      <c r="O1194" s="49" t="s">
        <v>37</v>
      </c>
      <c r="P1194" s="11" t="s">
        <v>80</v>
      </c>
      <c r="Q1194" s="11" t="s">
        <v>96</v>
      </c>
      <c r="R1194" s="11" t="s">
        <v>632</v>
      </c>
      <c r="S1194" s="11" t="s">
        <v>633</v>
      </c>
      <c r="T1194" s="90" t="s">
        <v>3</v>
      </c>
      <c r="U1194" s="91"/>
      <c r="V1194" s="51">
        <v>46048</v>
      </c>
      <c r="W1194" s="49" t="s">
        <v>1610</v>
      </c>
    </row>
    <row r="1195" spans="1:23" ht="13" customHeight="1" x14ac:dyDescent="0.35">
      <c r="A1195" s="11">
        <v>1190</v>
      </c>
      <c r="B1195" s="97">
        <v>204072899</v>
      </c>
      <c r="C1195" s="47" t="s">
        <v>2930</v>
      </c>
      <c r="D1195" s="94" t="s">
        <v>2931</v>
      </c>
      <c r="E1195" s="48" t="s">
        <v>31</v>
      </c>
      <c r="F1195" s="48" t="s">
        <v>74</v>
      </c>
      <c r="G1195" s="11" t="s">
        <v>64</v>
      </c>
      <c r="H1195" s="11" t="s">
        <v>75</v>
      </c>
      <c r="I1195" s="11">
        <v>1299</v>
      </c>
      <c r="J1195" s="49" t="s">
        <v>39</v>
      </c>
      <c r="K1195" s="49" t="s">
        <v>76</v>
      </c>
      <c r="L1195" s="49" t="s">
        <v>95</v>
      </c>
      <c r="M1195" s="49" t="s">
        <v>77</v>
      </c>
      <c r="N1195" s="48" t="s">
        <v>86</v>
      </c>
      <c r="O1195" s="49" t="s">
        <v>37</v>
      </c>
      <c r="P1195" s="11" t="s">
        <v>80</v>
      </c>
      <c r="Q1195" s="11" t="s">
        <v>90</v>
      </c>
      <c r="R1195" s="11" t="s">
        <v>2955</v>
      </c>
      <c r="S1195" s="11" t="s">
        <v>2956</v>
      </c>
      <c r="T1195" s="90" t="s">
        <v>10</v>
      </c>
      <c r="U1195" s="91"/>
      <c r="V1195" s="51">
        <v>45558</v>
      </c>
      <c r="W1195" s="49" t="s">
        <v>1610</v>
      </c>
    </row>
    <row r="1196" spans="1:23" ht="13" customHeight="1" x14ac:dyDescent="0.35">
      <c r="A1196" s="11">
        <v>1191</v>
      </c>
      <c r="B1196" s="47">
        <v>106262687</v>
      </c>
      <c r="C1196" s="94" t="s">
        <v>1331</v>
      </c>
      <c r="D1196" s="11" t="s">
        <v>1332</v>
      </c>
      <c r="E1196" s="48" t="s">
        <v>34</v>
      </c>
      <c r="F1196" s="48" t="s">
        <v>74</v>
      </c>
      <c r="G1196" s="11" t="s">
        <v>64</v>
      </c>
      <c r="H1196" s="11" t="s">
        <v>75</v>
      </c>
      <c r="I1196" s="11">
        <v>1299</v>
      </c>
      <c r="J1196" s="49" t="s">
        <v>32</v>
      </c>
      <c r="K1196" s="49" t="s">
        <v>76</v>
      </c>
      <c r="L1196" s="49" t="s">
        <v>78</v>
      </c>
      <c r="M1196" s="49" t="s">
        <v>92</v>
      </c>
      <c r="N1196" s="48" t="s">
        <v>97</v>
      </c>
      <c r="O1196" s="49" t="s">
        <v>37</v>
      </c>
      <c r="P1196" s="11" t="s">
        <v>80</v>
      </c>
      <c r="Q1196" s="11" t="s">
        <v>98</v>
      </c>
      <c r="R1196" s="49" t="s">
        <v>2825</v>
      </c>
      <c r="S1196" s="11" t="s">
        <v>643</v>
      </c>
      <c r="T1196" s="90" t="s">
        <v>1</v>
      </c>
      <c r="U1196" s="89"/>
      <c r="V1196" s="51">
        <v>44757</v>
      </c>
      <c r="W1196" s="49" t="s">
        <v>1611</v>
      </c>
    </row>
    <row r="1197" spans="1:23" ht="13" customHeight="1" x14ac:dyDescent="0.35">
      <c r="A1197" s="11">
        <v>1192</v>
      </c>
      <c r="B1197" s="47">
        <v>203964997</v>
      </c>
      <c r="C1197" s="94" t="s">
        <v>1333</v>
      </c>
      <c r="D1197" s="11" t="s">
        <v>1334</v>
      </c>
      <c r="E1197" s="48" t="s">
        <v>31</v>
      </c>
      <c r="F1197" s="48" t="s">
        <v>74</v>
      </c>
      <c r="G1197" s="11" t="s">
        <v>64</v>
      </c>
      <c r="H1197" s="11" t="s">
        <v>75</v>
      </c>
      <c r="I1197" s="11">
        <v>1299</v>
      </c>
      <c r="J1197" s="49" t="s">
        <v>32</v>
      </c>
      <c r="K1197" s="49" t="s">
        <v>76</v>
      </c>
      <c r="L1197" s="49" t="s">
        <v>84</v>
      </c>
      <c r="M1197" s="49" t="s">
        <v>85</v>
      </c>
      <c r="N1197" s="48" t="s">
        <v>86</v>
      </c>
      <c r="O1197" s="49" t="s">
        <v>37</v>
      </c>
      <c r="P1197" s="11" t="s">
        <v>80</v>
      </c>
      <c r="Q1197" s="11" t="s">
        <v>99</v>
      </c>
      <c r="R1197" s="49" t="s">
        <v>648</v>
      </c>
      <c r="S1197" s="11" t="s">
        <v>1842</v>
      </c>
      <c r="T1197" s="90" t="s">
        <v>3</v>
      </c>
      <c r="U1197" s="89"/>
      <c r="V1197" s="51">
        <v>45544</v>
      </c>
      <c r="W1197" s="49" t="s">
        <v>1610</v>
      </c>
    </row>
    <row r="1198" spans="1:23" ht="13" customHeight="1" x14ac:dyDescent="0.35">
      <c r="A1198" s="11">
        <v>1193</v>
      </c>
      <c r="B1198" s="47">
        <v>205845561</v>
      </c>
      <c r="C1198" s="94" t="s">
        <v>2534</v>
      </c>
      <c r="D1198" s="11" t="s">
        <v>2535</v>
      </c>
      <c r="E1198" s="48" t="s">
        <v>31</v>
      </c>
      <c r="F1198" s="48" t="s">
        <v>74</v>
      </c>
      <c r="G1198" s="11" t="s">
        <v>64</v>
      </c>
      <c r="H1198" s="11" t="s">
        <v>75</v>
      </c>
      <c r="I1198" s="11">
        <v>1299</v>
      </c>
      <c r="J1198" s="49" t="s">
        <v>32</v>
      </c>
      <c r="K1198" s="49" t="s">
        <v>76</v>
      </c>
      <c r="L1198" s="49" t="s">
        <v>77</v>
      </c>
      <c r="M1198" s="49" t="s">
        <v>78</v>
      </c>
      <c r="N1198" s="48" t="s">
        <v>86</v>
      </c>
      <c r="O1198" s="49" t="s">
        <v>37</v>
      </c>
      <c r="P1198" s="11" t="s">
        <v>80</v>
      </c>
      <c r="Q1198" s="11" t="s">
        <v>90</v>
      </c>
      <c r="R1198" s="11" t="s">
        <v>2955</v>
      </c>
      <c r="S1198" s="11" t="s">
        <v>2956</v>
      </c>
      <c r="T1198" s="90" t="s">
        <v>10</v>
      </c>
      <c r="U1198" s="90"/>
      <c r="V1198" s="51">
        <v>45894</v>
      </c>
      <c r="W1198" s="49" t="s">
        <v>1610</v>
      </c>
    </row>
    <row r="1199" spans="1:23" ht="13" customHeight="1" x14ac:dyDescent="0.35">
      <c r="A1199" s="11">
        <v>1194</v>
      </c>
      <c r="B1199" s="47">
        <v>206073368</v>
      </c>
      <c r="C1199" s="94" t="s">
        <v>1335</v>
      </c>
      <c r="D1199" s="11" t="s">
        <v>1336</v>
      </c>
      <c r="E1199" s="48" t="s">
        <v>31</v>
      </c>
      <c r="F1199" s="48" t="s">
        <v>74</v>
      </c>
      <c r="G1199" s="11" t="s">
        <v>64</v>
      </c>
      <c r="H1199" s="11" t="s">
        <v>75</v>
      </c>
      <c r="I1199" s="11">
        <v>1299</v>
      </c>
      <c r="J1199" s="49" t="s">
        <v>39</v>
      </c>
      <c r="K1199" s="49" t="s">
        <v>76</v>
      </c>
      <c r="L1199" s="49" t="s">
        <v>85</v>
      </c>
      <c r="M1199" s="49" t="s">
        <v>88</v>
      </c>
      <c r="N1199" s="48" t="s">
        <v>79</v>
      </c>
      <c r="O1199" s="49" t="s">
        <v>37</v>
      </c>
      <c r="P1199" s="11" t="s">
        <v>80</v>
      </c>
      <c r="Q1199" s="11" t="s">
        <v>81</v>
      </c>
      <c r="R1199" s="49" t="s">
        <v>2825</v>
      </c>
      <c r="S1199" s="11" t="s">
        <v>643</v>
      </c>
      <c r="T1199" s="90" t="s">
        <v>1</v>
      </c>
      <c r="U1199" s="90"/>
      <c r="V1199" s="51">
        <v>45922</v>
      </c>
      <c r="W1199" s="49" t="s">
        <v>1610</v>
      </c>
    </row>
    <row r="1200" spans="1:23" ht="13" customHeight="1" x14ac:dyDescent="0.35">
      <c r="A1200" s="11">
        <v>1195</v>
      </c>
      <c r="B1200" s="47">
        <v>206846535</v>
      </c>
      <c r="C1200" s="94" t="s">
        <v>1865</v>
      </c>
      <c r="D1200" s="47" t="s">
        <v>1866</v>
      </c>
      <c r="E1200" s="47" t="s">
        <v>31</v>
      </c>
      <c r="F1200" s="48" t="s">
        <v>74</v>
      </c>
      <c r="G1200" s="11" t="s">
        <v>64</v>
      </c>
      <c r="H1200" s="11" t="s">
        <v>75</v>
      </c>
      <c r="I1200" s="47">
        <v>1299</v>
      </c>
      <c r="J1200" s="49" t="s">
        <v>32</v>
      </c>
      <c r="K1200" s="49" t="s">
        <v>76</v>
      </c>
      <c r="L1200" s="49" t="s">
        <v>95</v>
      </c>
      <c r="M1200" s="49" t="s">
        <v>77</v>
      </c>
      <c r="N1200" s="49" t="s">
        <v>89</v>
      </c>
      <c r="O1200" s="49" t="s">
        <v>37</v>
      </c>
      <c r="P1200" s="11" t="s">
        <v>80</v>
      </c>
      <c r="Q1200" s="47" t="s">
        <v>90</v>
      </c>
      <c r="R1200" s="49" t="s">
        <v>2825</v>
      </c>
      <c r="S1200" s="47" t="s">
        <v>643</v>
      </c>
      <c r="T1200" s="90" t="s">
        <v>10</v>
      </c>
      <c r="U1200" s="89"/>
      <c r="V1200" s="51">
        <v>46013</v>
      </c>
      <c r="W1200" s="49" t="s">
        <v>1610</v>
      </c>
    </row>
    <row r="1201" spans="1:23" ht="13" customHeight="1" x14ac:dyDescent="0.35">
      <c r="A1201" s="11">
        <v>1196</v>
      </c>
      <c r="B1201" s="47">
        <v>206851165</v>
      </c>
      <c r="C1201" s="94" t="s">
        <v>1927</v>
      </c>
      <c r="D1201" s="11" t="s">
        <v>1928</v>
      </c>
      <c r="E1201" s="48" t="s">
        <v>31</v>
      </c>
      <c r="F1201" s="48" t="s">
        <v>74</v>
      </c>
      <c r="G1201" s="11" t="s">
        <v>64</v>
      </c>
      <c r="H1201" s="11" t="s">
        <v>75</v>
      </c>
      <c r="I1201" s="11">
        <v>1299</v>
      </c>
      <c r="J1201" s="49" t="s">
        <v>39</v>
      </c>
      <c r="K1201" s="49" t="s">
        <v>76</v>
      </c>
      <c r="L1201" s="49" t="s">
        <v>88</v>
      </c>
      <c r="M1201" s="49" t="s">
        <v>95</v>
      </c>
      <c r="N1201" s="49" t="s">
        <v>89</v>
      </c>
      <c r="O1201" s="48" t="s">
        <v>37</v>
      </c>
      <c r="P1201" s="48" t="s">
        <v>80</v>
      </c>
      <c r="Q1201" s="11" t="s">
        <v>90</v>
      </c>
      <c r="R1201" s="49" t="s">
        <v>648</v>
      </c>
      <c r="S1201" s="11" t="s">
        <v>1842</v>
      </c>
      <c r="T1201" s="90" t="s">
        <v>1</v>
      </c>
      <c r="U1201" s="91"/>
      <c r="V1201" s="51">
        <v>46030</v>
      </c>
      <c r="W1201" s="49" t="s">
        <v>1610</v>
      </c>
    </row>
    <row r="1202" spans="1:23" ht="13" customHeight="1" x14ac:dyDescent="0.35">
      <c r="A1202" s="11">
        <v>1197</v>
      </c>
      <c r="B1202" s="47">
        <v>103868662</v>
      </c>
      <c r="C1202" s="94" t="s">
        <v>1337</v>
      </c>
      <c r="D1202" s="11" t="s">
        <v>1338</v>
      </c>
      <c r="E1202" s="48" t="s">
        <v>34</v>
      </c>
      <c r="F1202" s="48" t="s">
        <v>74</v>
      </c>
      <c r="G1202" s="11" t="s">
        <v>64</v>
      </c>
      <c r="H1202" s="11" t="s">
        <v>75</v>
      </c>
      <c r="I1202" s="11">
        <v>1299</v>
      </c>
      <c r="J1202" s="49" t="s">
        <v>39</v>
      </c>
      <c r="K1202" s="49" t="s">
        <v>76</v>
      </c>
      <c r="L1202" s="49" t="s">
        <v>95</v>
      </c>
      <c r="M1202" s="49" t="s">
        <v>77</v>
      </c>
      <c r="N1202" s="48" t="s">
        <v>108</v>
      </c>
      <c r="O1202" s="49" t="s">
        <v>37</v>
      </c>
      <c r="P1202" s="11" t="s">
        <v>80</v>
      </c>
      <c r="Q1202" s="11" t="s">
        <v>98</v>
      </c>
      <c r="R1202" s="11" t="s">
        <v>2955</v>
      </c>
      <c r="S1202" s="11" t="s">
        <v>2956</v>
      </c>
      <c r="T1202" s="90" t="s">
        <v>10</v>
      </c>
      <c r="U1202" s="89"/>
      <c r="V1202" s="51">
        <v>44839</v>
      </c>
      <c r="W1202" s="49" t="s">
        <v>1612</v>
      </c>
    </row>
    <row r="1203" spans="1:23" ht="13" customHeight="1" x14ac:dyDescent="0.35">
      <c r="A1203" s="11">
        <v>1198</v>
      </c>
      <c r="B1203" s="47">
        <v>106301312</v>
      </c>
      <c r="C1203" s="94" t="s">
        <v>1339</v>
      </c>
      <c r="D1203" s="11" t="s">
        <v>1340</v>
      </c>
      <c r="E1203" s="48" t="s">
        <v>34</v>
      </c>
      <c r="F1203" s="48" t="s">
        <v>74</v>
      </c>
      <c r="G1203" s="11" t="s">
        <v>64</v>
      </c>
      <c r="H1203" s="11" t="s">
        <v>75</v>
      </c>
      <c r="I1203" s="11">
        <v>1299</v>
      </c>
      <c r="J1203" s="49" t="s">
        <v>39</v>
      </c>
      <c r="K1203" s="49" t="s">
        <v>76</v>
      </c>
      <c r="L1203" s="49" t="s">
        <v>95</v>
      </c>
      <c r="M1203" s="49" t="s">
        <v>77</v>
      </c>
      <c r="N1203" s="48" t="s">
        <v>108</v>
      </c>
      <c r="O1203" s="49" t="s">
        <v>37</v>
      </c>
      <c r="P1203" s="11" t="s">
        <v>80</v>
      </c>
      <c r="Q1203" s="11" t="s">
        <v>98</v>
      </c>
      <c r="R1203" s="49" t="s">
        <v>628</v>
      </c>
      <c r="S1203" s="11" t="s">
        <v>629</v>
      </c>
      <c r="T1203" s="90" t="s">
        <v>10</v>
      </c>
      <c r="U1203" s="89"/>
      <c r="V1203" s="51">
        <v>44757</v>
      </c>
      <c r="W1203" s="49" t="s">
        <v>1610</v>
      </c>
    </row>
    <row r="1204" spans="1:23" ht="13" customHeight="1" x14ac:dyDescent="0.35">
      <c r="A1204" s="11">
        <v>1199</v>
      </c>
      <c r="B1204" s="47">
        <v>203965011</v>
      </c>
      <c r="C1204" s="94" t="s">
        <v>1341</v>
      </c>
      <c r="D1204" s="11" t="s">
        <v>1342</v>
      </c>
      <c r="E1204" s="48" t="s">
        <v>31</v>
      </c>
      <c r="F1204" s="48" t="s">
        <v>74</v>
      </c>
      <c r="G1204" s="11" t="s">
        <v>64</v>
      </c>
      <c r="H1204" s="11" t="s">
        <v>75</v>
      </c>
      <c r="I1204" s="11">
        <v>1299</v>
      </c>
      <c r="J1204" s="49" t="s">
        <v>39</v>
      </c>
      <c r="K1204" s="49" t="s">
        <v>76</v>
      </c>
      <c r="L1204" s="49" t="s">
        <v>77</v>
      </c>
      <c r="M1204" s="49" t="s">
        <v>78</v>
      </c>
      <c r="N1204" s="48" t="s">
        <v>86</v>
      </c>
      <c r="O1204" s="49" t="s">
        <v>37</v>
      </c>
      <c r="P1204" s="11" t="s">
        <v>80</v>
      </c>
      <c r="Q1204" s="11" t="s">
        <v>99</v>
      </c>
      <c r="R1204" s="11" t="s">
        <v>1087</v>
      </c>
      <c r="S1204" s="11" t="s">
        <v>2823</v>
      </c>
      <c r="T1204" s="90" t="s">
        <v>10</v>
      </c>
      <c r="U1204" s="89"/>
      <c r="V1204" s="51">
        <v>45544</v>
      </c>
      <c r="W1204" s="49" t="s">
        <v>1610</v>
      </c>
    </row>
    <row r="1205" spans="1:23" ht="13" customHeight="1" x14ac:dyDescent="0.35">
      <c r="A1205" s="11">
        <v>1200</v>
      </c>
      <c r="B1205" s="47">
        <v>205845557</v>
      </c>
      <c r="C1205" s="94" t="s">
        <v>1343</v>
      </c>
      <c r="D1205" s="11" t="s">
        <v>1344</v>
      </c>
      <c r="E1205" s="48" t="s">
        <v>31</v>
      </c>
      <c r="F1205" s="48" t="s">
        <v>74</v>
      </c>
      <c r="G1205" s="11" t="s">
        <v>64</v>
      </c>
      <c r="H1205" s="11" t="s">
        <v>75</v>
      </c>
      <c r="I1205" s="11">
        <v>1299</v>
      </c>
      <c r="J1205" s="49" t="s">
        <v>39</v>
      </c>
      <c r="K1205" s="49" t="s">
        <v>76</v>
      </c>
      <c r="L1205" s="49" t="s">
        <v>77</v>
      </c>
      <c r="M1205" s="49" t="s">
        <v>78</v>
      </c>
      <c r="N1205" s="49" t="s">
        <v>89</v>
      </c>
      <c r="O1205" s="49" t="s">
        <v>37</v>
      </c>
      <c r="P1205" s="11" t="s">
        <v>80</v>
      </c>
      <c r="Q1205" s="11" t="s">
        <v>90</v>
      </c>
      <c r="R1205" s="49" t="s">
        <v>628</v>
      </c>
      <c r="S1205" s="11" t="s">
        <v>629</v>
      </c>
      <c r="T1205" s="90" t="s">
        <v>10</v>
      </c>
      <c r="U1205" s="89"/>
      <c r="V1205" s="51">
        <v>45894</v>
      </c>
      <c r="W1205" s="49" t="s">
        <v>1609</v>
      </c>
    </row>
    <row r="1206" spans="1:23" ht="13" customHeight="1" x14ac:dyDescent="0.35">
      <c r="A1206" s="11">
        <v>1201</v>
      </c>
      <c r="B1206" s="47">
        <v>206239531</v>
      </c>
      <c r="C1206" s="94" t="s">
        <v>1697</v>
      </c>
      <c r="D1206" s="11" t="s">
        <v>1660</v>
      </c>
      <c r="E1206" s="48" t="s">
        <v>31</v>
      </c>
      <c r="F1206" s="48" t="s">
        <v>74</v>
      </c>
      <c r="G1206" s="11" t="s">
        <v>64</v>
      </c>
      <c r="H1206" s="11" t="s">
        <v>75</v>
      </c>
      <c r="I1206" s="11">
        <v>1299</v>
      </c>
      <c r="J1206" s="49" t="s">
        <v>32</v>
      </c>
      <c r="K1206" s="49" t="s">
        <v>76</v>
      </c>
      <c r="L1206" s="49" t="s">
        <v>78</v>
      </c>
      <c r="M1206" s="49" t="s">
        <v>92</v>
      </c>
      <c r="N1206" s="49" t="s">
        <v>89</v>
      </c>
      <c r="O1206" s="49" t="s">
        <v>37</v>
      </c>
      <c r="P1206" s="11" t="s">
        <v>80</v>
      </c>
      <c r="Q1206" s="11" t="s">
        <v>81</v>
      </c>
      <c r="R1206" s="49" t="s">
        <v>2825</v>
      </c>
      <c r="S1206" s="11" t="s">
        <v>643</v>
      </c>
      <c r="T1206" s="90" t="s">
        <v>7</v>
      </c>
      <c r="U1206" s="90" t="s">
        <v>3004</v>
      </c>
      <c r="V1206" s="51">
        <v>45943</v>
      </c>
      <c r="W1206" s="49" t="s">
        <v>1609</v>
      </c>
    </row>
    <row r="1207" spans="1:23" ht="13" customHeight="1" x14ac:dyDescent="0.35">
      <c r="A1207" s="11">
        <v>1202</v>
      </c>
      <c r="B1207" s="47">
        <v>203993451</v>
      </c>
      <c r="C1207" s="94" t="s">
        <v>1345</v>
      </c>
      <c r="D1207" s="11" t="s">
        <v>1346</v>
      </c>
      <c r="E1207" s="48" t="s">
        <v>31</v>
      </c>
      <c r="F1207" s="48" t="s">
        <v>74</v>
      </c>
      <c r="G1207" s="11" t="s">
        <v>64</v>
      </c>
      <c r="H1207" s="11" t="s">
        <v>75</v>
      </c>
      <c r="I1207" s="11">
        <v>1299</v>
      </c>
      <c r="J1207" s="49" t="s">
        <v>39</v>
      </c>
      <c r="K1207" s="49" t="s">
        <v>76</v>
      </c>
      <c r="L1207" s="49" t="s">
        <v>85</v>
      </c>
      <c r="M1207" s="49" t="s">
        <v>88</v>
      </c>
      <c r="N1207" s="48" t="s">
        <v>86</v>
      </c>
      <c r="O1207" s="49" t="s">
        <v>37</v>
      </c>
      <c r="P1207" s="11" t="s">
        <v>80</v>
      </c>
      <c r="Q1207" s="11" t="s">
        <v>90</v>
      </c>
      <c r="R1207" s="49" t="s">
        <v>648</v>
      </c>
      <c r="S1207" s="11" t="s">
        <v>1842</v>
      </c>
      <c r="T1207" s="90" t="s">
        <v>1</v>
      </c>
      <c r="U1207" s="90"/>
      <c r="V1207" s="51">
        <v>45894</v>
      </c>
      <c r="W1207" s="49" t="s">
        <v>1610</v>
      </c>
    </row>
    <row r="1208" spans="1:23" ht="13" customHeight="1" x14ac:dyDescent="0.35">
      <c r="A1208" s="11">
        <v>1203</v>
      </c>
      <c r="B1208" s="47">
        <v>205854086</v>
      </c>
      <c r="C1208" s="94" t="s">
        <v>1347</v>
      </c>
      <c r="D1208" s="11" t="s">
        <v>1348</v>
      </c>
      <c r="E1208" s="48" t="s">
        <v>31</v>
      </c>
      <c r="F1208" s="48" t="s">
        <v>74</v>
      </c>
      <c r="G1208" s="11" t="s">
        <v>64</v>
      </c>
      <c r="H1208" s="11" t="s">
        <v>75</v>
      </c>
      <c r="I1208" s="11">
        <v>1299</v>
      </c>
      <c r="J1208" s="49" t="s">
        <v>32</v>
      </c>
      <c r="K1208" s="49" t="s">
        <v>76</v>
      </c>
      <c r="L1208" s="49" t="s">
        <v>92</v>
      </c>
      <c r="M1208" s="49" t="s">
        <v>84</v>
      </c>
      <c r="N1208" s="49" t="s">
        <v>89</v>
      </c>
      <c r="O1208" s="49" t="s">
        <v>37</v>
      </c>
      <c r="P1208" s="11" t="s">
        <v>80</v>
      </c>
      <c r="Q1208" s="11" t="s">
        <v>96</v>
      </c>
      <c r="R1208" s="49" t="s">
        <v>648</v>
      </c>
      <c r="S1208" s="11" t="s">
        <v>1842</v>
      </c>
      <c r="T1208" s="90" t="s">
        <v>1</v>
      </c>
      <c r="U1208" s="89"/>
      <c r="V1208" s="51">
        <v>45894</v>
      </c>
      <c r="W1208" s="49" t="s">
        <v>1610</v>
      </c>
    </row>
    <row r="1209" spans="1:23" ht="13" customHeight="1" x14ac:dyDescent="0.35">
      <c r="A1209" s="11">
        <v>1204</v>
      </c>
      <c r="B1209" s="47">
        <v>206915790</v>
      </c>
      <c r="C1209" s="94" t="s">
        <v>1988</v>
      </c>
      <c r="D1209" s="11" t="s">
        <v>1971</v>
      </c>
      <c r="E1209" s="48" t="s">
        <v>31</v>
      </c>
      <c r="F1209" s="48" t="s">
        <v>74</v>
      </c>
      <c r="G1209" s="11" t="s">
        <v>64</v>
      </c>
      <c r="H1209" s="11" t="s">
        <v>75</v>
      </c>
      <c r="I1209" s="11">
        <v>1299</v>
      </c>
      <c r="J1209" s="49" t="s">
        <v>32</v>
      </c>
      <c r="K1209" s="49" t="s">
        <v>76</v>
      </c>
      <c r="L1209" s="49" t="s">
        <v>88</v>
      </c>
      <c r="M1209" s="49" t="s">
        <v>95</v>
      </c>
      <c r="N1209" s="49" t="s">
        <v>89</v>
      </c>
      <c r="O1209" s="49" t="s">
        <v>37</v>
      </c>
      <c r="P1209" s="11" t="s">
        <v>80</v>
      </c>
      <c r="Q1209" s="11" t="s">
        <v>90</v>
      </c>
      <c r="R1209" s="49" t="s">
        <v>2825</v>
      </c>
      <c r="S1209" s="11" t="s">
        <v>643</v>
      </c>
      <c r="T1209" s="90" t="s">
        <v>1</v>
      </c>
      <c r="U1209" s="89"/>
      <c r="V1209" s="51">
        <v>46034</v>
      </c>
      <c r="W1209" s="49" t="s">
        <v>1610</v>
      </c>
    </row>
    <row r="1210" spans="1:23" ht="13" customHeight="1" x14ac:dyDescent="0.35">
      <c r="A1210" s="11">
        <v>1205</v>
      </c>
      <c r="B1210" s="47">
        <v>206915794</v>
      </c>
      <c r="C1210" s="94" t="s">
        <v>1977</v>
      </c>
      <c r="D1210" s="11" t="s">
        <v>1984</v>
      </c>
      <c r="E1210" s="48" t="s">
        <v>31</v>
      </c>
      <c r="F1210" s="48" t="s">
        <v>74</v>
      </c>
      <c r="G1210" s="11" t="s">
        <v>64</v>
      </c>
      <c r="H1210" s="11" t="s">
        <v>75</v>
      </c>
      <c r="I1210" s="11">
        <v>1299</v>
      </c>
      <c r="J1210" s="49" t="s">
        <v>39</v>
      </c>
      <c r="K1210" s="49" t="s">
        <v>76</v>
      </c>
      <c r="L1210" s="49" t="s">
        <v>92</v>
      </c>
      <c r="M1210" s="49" t="s">
        <v>84</v>
      </c>
      <c r="N1210" s="49" t="s">
        <v>89</v>
      </c>
      <c r="O1210" s="49" t="s">
        <v>37</v>
      </c>
      <c r="P1210" s="49" t="s">
        <v>80</v>
      </c>
      <c r="Q1210" s="49" t="s">
        <v>90</v>
      </c>
      <c r="R1210" s="49" t="s">
        <v>648</v>
      </c>
      <c r="S1210" s="49" t="s">
        <v>1842</v>
      </c>
      <c r="T1210" s="90" t="s">
        <v>1</v>
      </c>
      <c r="U1210" s="91"/>
      <c r="V1210" s="51">
        <v>46034</v>
      </c>
      <c r="W1210" s="49" t="s">
        <v>1609</v>
      </c>
    </row>
    <row r="1211" spans="1:23" ht="13" customHeight="1" x14ac:dyDescent="0.35">
      <c r="A1211" s="11">
        <v>1206</v>
      </c>
      <c r="B1211" s="47">
        <v>205280267</v>
      </c>
      <c r="C1211" s="94" t="s">
        <v>2078</v>
      </c>
      <c r="D1211" s="11" t="s">
        <v>2088</v>
      </c>
      <c r="E1211" s="48" t="s">
        <v>31</v>
      </c>
      <c r="F1211" s="48" t="s">
        <v>74</v>
      </c>
      <c r="G1211" s="48" t="s">
        <v>64</v>
      </c>
      <c r="H1211" s="48" t="s">
        <v>75</v>
      </c>
      <c r="I1211" s="11">
        <v>1299</v>
      </c>
      <c r="J1211" s="49" t="s">
        <v>32</v>
      </c>
      <c r="K1211" s="49" t="s">
        <v>76</v>
      </c>
      <c r="L1211" s="49" t="s">
        <v>84</v>
      </c>
      <c r="M1211" s="49" t="s">
        <v>85</v>
      </c>
      <c r="N1211" s="49" t="s">
        <v>89</v>
      </c>
      <c r="O1211" s="49" t="s">
        <v>37</v>
      </c>
      <c r="P1211" s="49" t="s">
        <v>80</v>
      </c>
      <c r="Q1211" s="49" t="s">
        <v>96</v>
      </c>
      <c r="R1211" s="11" t="s">
        <v>632</v>
      </c>
      <c r="S1211" s="49" t="s">
        <v>633</v>
      </c>
      <c r="T1211" s="90" t="s">
        <v>1</v>
      </c>
      <c r="U1211" s="90"/>
      <c r="V1211" s="51">
        <v>46037</v>
      </c>
      <c r="W1211" s="49" t="s">
        <v>1609</v>
      </c>
    </row>
    <row r="1212" spans="1:23" ht="13" customHeight="1" x14ac:dyDescent="0.35">
      <c r="A1212" s="11">
        <v>1207</v>
      </c>
      <c r="B1212" s="47">
        <v>203555845</v>
      </c>
      <c r="C1212" s="94" t="s">
        <v>1349</v>
      </c>
      <c r="D1212" s="11" t="s">
        <v>1350</v>
      </c>
      <c r="E1212" s="48" t="s">
        <v>31</v>
      </c>
      <c r="F1212" s="48" t="s">
        <v>74</v>
      </c>
      <c r="G1212" s="11" t="s">
        <v>64</v>
      </c>
      <c r="H1212" s="11" t="s">
        <v>75</v>
      </c>
      <c r="I1212" s="11">
        <v>1299</v>
      </c>
      <c r="J1212" s="49" t="s">
        <v>39</v>
      </c>
      <c r="K1212" s="49" t="s">
        <v>76</v>
      </c>
      <c r="L1212" s="49" t="s">
        <v>85</v>
      </c>
      <c r="M1212" s="49" t="s">
        <v>88</v>
      </c>
      <c r="N1212" s="48" t="s">
        <v>86</v>
      </c>
      <c r="O1212" s="49" t="s">
        <v>37</v>
      </c>
      <c r="P1212" s="11" t="s">
        <v>80</v>
      </c>
      <c r="Q1212" s="11" t="s">
        <v>99</v>
      </c>
      <c r="R1212" s="11" t="s">
        <v>1087</v>
      </c>
      <c r="S1212" s="11" t="s">
        <v>2823</v>
      </c>
      <c r="T1212" s="90" t="s">
        <v>1</v>
      </c>
      <c r="U1212" s="89"/>
      <c r="V1212" s="51">
        <v>45470</v>
      </c>
      <c r="W1212" s="49" t="s">
        <v>1610</v>
      </c>
    </row>
    <row r="1213" spans="1:23" ht="13" customHeight="1" x14ac:dyDescent="0.35">
      <c r="A1213" s="11">
        <v>1208</v>
      </c>
      <c r="B1213" s="47">
        <v>203964988</v>
      </c>
      <c r="C1213" s="94" t="s">
        <v>1351</v>
      </c>
      <c r="D1213" s="11" t="s">
        <v>1352</v>
      </c>
      <c r="E1213" s="48" t="s">
        <v>31</v>
      </c>
      <c r="F1213" s="48" t="s">
        <v>74</v>
      </c>
      <c r="G1213" s="11" t="s">
        <v>64</v>
      </c>
      <c r="H1213" s="11" t="s">
        <v>75</v>
      </c>
      <c r="I1213" s="11">
        <v>1299</v>
      </c>
      <c r="J1213" s="49" t="s">
        <v>32</v>
      </c>
      <c r="K1213" s="49" t="s">
        <v>76</v>
      </c>
      <c r="L1213" s="49" t="s">
        <v>78</v>
      </c>
      <c r="M1213" s="49" t="s">
        <v>92</v>
      </c>
      <c r="N1213" s="48" t="s">
        <v>86</v>
      </c>
      <c r="O1213" s="49" t="s">
        <v>37</v>
      </c>
      <c r="P1213" s="11" t="s">
        <v>80</v>
      </c>
      <c r="Q1213" s="11" t="s">
        <v>99</v>
      </c>
      <c r="R1213" s="49" t="s">
        <v>648</v>
      </c>
      <c r="S1213" s="11" t="s">
        <v>1842</v>
      </c>
      <c r="T1213" s="90" t="s">
        <v>1</v>
      </c>
      <c r="U1213" s="91"/>
      <c r="V1213" s="51">
        <v>45544</v>
      </c>
      <c r="W1213" s="49" t="s">
        <v>1610</v>
      </c>
    </row>
    <row r="1214" spans="1:23" ht="13" customHeight="1" x14ac:dyDescent="0.35">
      <c r="A1214" s="11">
        <v>1209</v>
      </c>
      <c r="B1214" s="47">
        <v>206192282</v>
      </c>
      <c r="C1214" s="94" t="s">
        <v>1647</v>
      </c>
      <c r="D1214" s="11" t="s">
        <v>1638</v>
      </c>
      <c r="E1214" s="48" t="s">
        <v>31</v>
      </c>
      <c r="F1214" s="48" t="s">
        <v>74</v>
      </c>
      <c r="G1214" s="11" t="s">
        <v>64</v>
      </c>
      <c r="H1214" s="11" t="s">
        <v>75</v>
      </c>
      <c r="I1214" s="11">
        <v>1299</v>
      </c>
      <c r="J1214" s="49" t="s">
        <v>39</v>
      </c>
      <c r="K1214" s="49" t="s">
        <v>76</v>
      </c>
      <c r="L1214" s="49" t="s">
        <v>85</v>
      </c>
      <c r="M1214" s="49" t="s">
        <v>88</v>
      </c>
      <c r="N1214" s="49" t="s">
        <v>79</v>
      </c>
      <c r="O1214" s="49" t="s">
        <v>37</v>
      </c>
      <c r="P1214" s="11" t="s">
        <v>80</v>
      </c>
      <c r="Q1214" s="11" t="s">
        <v>96</v>
      </c>
      <c r="R1214" s="11" t="s">
        <v>632</v>
      </c>
      <c r="S1214" s="11" t="s">
        <v>633</v>
      </c>
      <c r="T1214" s="90" t="s">
        <v>1</v>
      </c>
      <c r="U1214" s="90"/>
      <c r="V1214" s="51">
        <v>45936</v>
      </c>
      <c r="W1214" s="49" t="s">
        <v>1610</v>
      </c>
    </row>
    <row r="1215" spans="1:23" ht="13" customHeight="1" x14ac:dyDescent="0.35">
      <c r="A1215" s="11">
        <v>1210</v>
      </c>
      <c r="B1215" s="47">
        <v>204137704</v>
      </c>
      <c r="C1215" s="94" t="s">
        <v>1353</v>
      </c>
      <c r="D1215" s="11" t="s">
        <v>1354</v>
      </c>
      <c r="E1215" s="48" t="s">
        <v>31</v>
      </c>
      <c r="F1215" s="48" t="s">
        <v>74</v>
      </c>
      <c r="G1215" s="11" t="s">
        <v>64</v>
      </c>
      <c r="H1215" s="11" t="s">
        <v>75</v>
      </c>
      <c r="I1215" s="11">
        <v>1299</v>
      </c>
      <c r="J1215" s="49" t="s">
        <v>39</v>
      </c>
      <c r="K1215" s="49" t="s">
        <v>76</v>
      </c>
      <c r="L1215" s="49" t="s">
        <v>78</v>
      </c>
      <c r="M1215" s="49" t="s">
        <v>92</v>
      </c>
      <c r="N1215" s="48" t="s">
        <v>86</v>
      </c>
      <c r="O1215" s="49" t="s">
        <v>37</v>
      </c>
      <c r="P1215" s="11" t="s">
        <v>80</v>
      </c>
      <c r="Q1215" s="11" t="s">
        <v>87</v>
      </c>
      <c r="R1215" s="49" t="s">
        <v>648</v>
      </c>
      <c r="S1215" s="11" t="s">
        <v>1842</v>
      </c>
      <c r="T1215" s="90" t="s">
        <v>1</v>
      </c>
      <c r="U1215" s="90"/>
      <c r="V1215" s="51">
        <v>45565</v>
      </c>
      <c r="W1215" s="49" t="s">
        <v>1610</v>
      </c>
    </row>
    <row r="1216" spans="1:23" ht="13" customHeight="1" x14ac:dyDescent="0.35">
      <c r="A1216" s="11">
        <v>1211</v>
      </c>
      <c r="B1216" s="47">
        <v>206846538</v>
      </c>
      <c r="C1216" s="94" t="s">
        <v>1863</v>
      </c>
      <c r="D1216" s="47" t="s">
        <v>1864</v>
      </c>
      <c r="E1216" s="47" t="s">
        <v>31</v>
      </c>
      <c r="F1216" s="48" t="s">
        <v>74</v>
      </c>
      <c r="G1216" s="11" t="s">
        <v>64</v>
      </c>
      <c r="H1216" s="11" t="s">
        <v>75</v>
      </c>
      <c r="I1216" s="47">
        <v>1299</v>
      </c>
      <c r="J1216" s="49" t="s">
        <v>39</v>
      </c>
      <c r="K1216" s="49" t="s">
        <v>76</v>
      </c>
      <c r="L1216" s="49" t="s">
        <v>95</v>
      </c>
      <c r="M1216" s="49" t="s">
        <v>77</v>
      </c>
      <c r="N1216" s="49" t="s">
        <v>89</v>
      </c>
      <c r="O1216" s="49" t="s">
        <v>37</v>
      </c>
      <c r="P1216" s="11" t="s">
        <v>80</v>
      </c>
      <c r="Q1216" s="47" t="s">
        <v>90</v>
      </c>
      <c r="R1216" s="49" t="s">
        <v>2825</v>
      </c>
      <c r="S1216" s="47" t="s">
        <v>643</v>
      </c>
      <c r="T1216" s="90" t="s">
        <v>10</v>
      </c>
      <c r="U1216" s="91"/>
      <c r="V1216" s="51">
        <v>46013</v>
      </c>
      <c r="W1216" s="49" t="s">
        <v>1610</v>
      </c>
    </row>
    <row r="1217" spans="1:23" ht="13" customHeight="1" x14ac:dyDescent="0.35">
      <c r="A1217" s="11">
        <v>1212</v>
      </c>
      <c r="B1217" s="47">
        <v>206239215</v>
      </c>
      <c r="C1217" s="94" t="s">
        <v>1698</v>
      </c>
      <c r="D1217" s="11" t="s">
        <v>1662</v>
      </c>
      <c r="E1217" s="48" t="s">
        <v>31</v>
      </c>
      <c r="F1217" s="48" t="s">
        <v>74</v>
      </c>
      <c r="G1217" s="11" t="s">
        <v>64</v>
      </c>
      <c r="H1217" s="11" t="s">
        <v>75</v>
      </c>
      <c r="I1217" s="11">
        <v>1299</v>
      </c>
      <c r="J1217" s="49" t="s">
        <v>32</v>
      </c>
      <c r="K1217" s="49" t="s">
        <v>76</v>
      </c>
      <c r="L1217" s="49" t="s">
        <v>84</v>
      </c>
      <c r="M1217" s="49" t="s">
        <v>85</v>
      </c>
      <c r="N1217" s="48" t="s">
        <v>79</v>
      </c>
      <c r="O1217" s="49" t="s">
        <v>37</v>
      </c>
      <c r="P1217" s="11" t="s">
        <v>80</v>
      </c>
      <c r="Q1217" s="11" t="s">
        <v>81</v>
      </c>
      <c r="R1217" s="11" t="s">
        <v>1087</v>
      </c>
      <c r="S1217" s="11" t="s">
        <v>2823</v>
      </c>
      <c r="T1217" s="90" t="s">
        <v>7</v>
      </c>
      <c r="U1217" s="90" t="s">
        <v>3004</v>
      </c>
      <c r="V1217" s="51">
        <v>45943</v>
      </c>
      <c r="W1217" s="49" t="s">
        <v>1610</v>
      </c>
    </row>
    <row r="1218" spans="1:23" ht="13" customHeight="1" x14ac:dyDescent="0.35">
      <c r="A1218" s="11">
        <v>1213</v>
      </c>
      <c r="B1218" s="47">
        <v>204869099</v>
      </c>
      <c r="C1218" s="94" t="s">
        <v>2247</v>
      </c>
      <c r="D1218" s="11" t="s">
        <v>2248</v>
      </c>
      <c r="E1218" s="113" t="s">
        <v>31</v>
      </c>
      <c r="F1218" s="48" t="s">
        <v>74</v>
      </c>
      <c r="G1218" s="11" t="s">
        <v>64</v>
      </c>
      <c r="H1218" s="11" t="s">
        <v>75</v>
      </c>
      <c r="I1218" s="11">
        <v>1299</v>
      </c>
      <c r="J1218" s="49" t="s">
        <v>39</v>
      </c>
      <c r="K1218" s="49" t="s">
        <v>76</v>
      </c>
      <c r="L1218" s="49" t="s">
        <v>78</v>
      </c>
      <c r="M1218" s="49" t="s">
        <v>92</v>
      </c>
      <c r="N1218" s="49" t="s">
        <v>89</v>
      </c>
      <c r="O1218" s="49" t="s">
        <v>37</v>
      </c>
      <c r="P1218" s="49" t="s">
        <v>80</v>
      </c>
      <c r="Q1218" s="49" t="s">
        <v>87</v>
      </c>
      <c r="R1218" s="11" t="s">
        <v>1087</v>
      </c>
      <c r="S1218" s="49" t="s">
        <v>2823</v>
      </c>
      <c r="T1218" s="90" t="s">
        <v>1</v>
      </c>
      <c r="U1218" s="90"/>
      <c r="V1218" s="51">
        <v>46048</v>
      </c>
      <c r="W1218" s="49" t="s">
        <v>1610</v>
      </c>
    </row>
    <row r="1219" spans="1:23" ht="13" customHeight="1" x14ac:dyDescent="0.35">
      <c r="A1219" s="11">
        <v>1214</v>
      </c>
      <c r="B1219" s="47">
        <v>206902844</v>
      </c>
      <c r="C1219" s="94" t="s">
        <v>1947</v>
      </c>
      <c r="D1219" s="11" t="s">
        <v>1948</v>
      </c>
      <c r="E1219" s="48" t="s">
        <v>31</v>
      </c>
      <c r="F1219" s="48" t="s">
        <v>74</v>
      </c>
      <c r="G1219" s="11" t="s">
        <v>64</v>
      </c>
      <c r="H1219" s="11" t="s">
        <v>75</v>
      </c>
      <c r="I1219" s="11">
        <v>1290</v>
      </c>
      <c r="J1219" s="49" t="s">
        <v>39</v>
      </c>
      <c r="K1219" s="49" t="s">
        <v>76</v>
      </c>
      <c r="L1219" s="49" t="s">
        <v>92</v>
      </c>
      <c r="M1219" s="49" t="s">
        <v>84</v>
      </c>
      <c r="N1219" s="49" t="s">
        <v>89</v>
      </c>
      <c r="O1219" s="48" t="s">
        <v>37</v>
      </c>
      <c r="P1219" s="48" t="s">
        <v>80</v>
      </c>
      <c r="Q1219" s="11" t="s">
        <v>90</v>
      </c>
      <c r="R1219" s="49" t="s">
        <v>648</v>
      </c>
      <c r="S1219" s="11" t="s">
        <v>1842</v>
      </c>
      <c r="T1219" s="90" t="s">
        <v>1</v>
      </c>
      <c r="U1219" s="90"/>
      <c r="V1219" s="51">
        <v>46030</v>
      </c>
      <c r="W1219" s="49" t="s">
        <v>1610</v>
      </c>
    </row>
    <row r="1220" spans="1:23" ht="13" customHeight="1" x14ac:dyDescent="0.35">
      <c r="A1220" s="11">
        <v>1215</v>
      </c>
      <c r="B1220" s="47">
        <v>203911200</v>
      </c>
      <c r="C1220" s="94" t="s">
        <v>1355</v>
      </c>
      <c r="D1220" s="11" t="s">
        <v>1356</v>
      </c>
      <c r="E1220" s="48" t="s">
        <v>31</v>
      </c>
      <c r="F1220" s="48" t="s">
        <v>74</v>
      </c>
      <c r="G1220" s="11" t="s">
        <v>64</v>
      </c>
      <c r="H1220" s="11" t="s">
        <v>75</v>
      </c>
      <c r="I1220" s="11">
        <v>1299</v>
      </c>
      <c r="J1220" s="49" t="s">
        <v>39</v>
      </c>
      <c r="K1220" s="49" t="s">
        <v>76</v>
      </c>
      <c r="L1220" s="49" t="s">
        <v>78</v>
      </c>
      <c r="M1220" s="49" t="s">
        <v>92</v>
      </c>
      <c r="N1220" s="48" t="s">
        <v>86</v>
      </c>
      <c r="O1220" s="49" t="s">
        <v>37</v>
      </c>
      <c r="P1220" s="11" t="s">
        <v>80</v>
      </c>
      <c r="Q1220" s="11" t="s">
        <v>99</v>
      </c>
      <c r="R1220" s="49" t="s">
        <v>648</v>
      </c>
      <c r="S1220" s="11" t="s">
        <v>1842</v>
      </c>
      <c r="T1220" s="90" t="s">
        <v>1</v>
      </c>
      <c r="U1220" s="91"/>
      <c r="V1220" s="51">
        <v>45537</v>
      </c>
      <c r="W1220" s="49" t="s">
        <v>1611</v>
      </c>
    </row>
    <row r="1221" spans="1:23" ht="13" customHeight="1" x14ac:dyDescent="0.35">
      <c r="A1221" s="11">
        <v>1216</v>
      </c>
      <c r="B1221" s="97">
        <v>205845559</v>
      </c>
      <c r="C1221" s="47" t="s">
        <v>2932</v>
      </c>
      <c r="D1221" s="94" t="s">
        <v>2933</v>
      </c>
      <c r="E1221" s="48" t="s">
        <v>31</v>
      </c>
      <c r="F1221" s="48" t="s">
        <v>74</v>
      </c>
      <c r="G1221" s="11" t="s">
        <v>64</v>
      </c>
      <c r="H1221" s="11" t="s">
        <v>75</v>
      </c>
      <c r="I1221" s="11">
        <v>1299</v>
      </c>
      <c r="J1221" s="49" t="s">
        <v>39</v>
      </c>
      <c r="K1221" s="49" t="s">
        <v>76</v>
      </c>
      <c r="L1221" s="49" t="s">
        <v>85</v>
      </c>
      <c r="M1221" s="49" t="s">
        <v>88</v>
      </c>
      <c r="N1221" s="48" t="s">
        <v>86</v>
      </c>
      <c r="O1221" s="49" t="s">
        <v>37</v>
      </c>
      <c r="P1221" s="11" t="s">
        <v>80</v>
      </c>
      <c r="Q1221" s="11" t="s">
        <v>90</v>
      </c>
      <c r="R1221" s="11" t="s">
        <v>2825</v>
      </c>
      <c r="S1221" s="11" t="s">
        <v>643</v>
      </c>
      <c r="T1221" s="90" t="s">
        <v>1</v>
      </c>
      <c r="U1221" s="89"/>
      <c r="V1221" s="51">
        <v>45894</v>
      </c>
      <c r="W1221" s="49" t="s">
        <v>1610</v>
      </c>
    </row>
    <row r="1222" spans="1:23" ht="13" customHeight="1" x14ac:dyDescent="0.35">
      <c r="A1222" s="11">
        <v>1217</v>
      </c>
      <c r="B1222" s="97">
        <v>204009364</v>
      </c>
      <c r="C1222" s="47" t="s">
        <v>2934</v>
      </c>
      <c r="D1222" s="94" t="s">
        <v>2935</v>
      </c>
      <c r="E1222" s="48" t="s">
        <v>31</v>
      </c>
      <c r="F1222" s="48" t="s">
        <v>74</v>
      </c>
      <c r="G1222" s="11" t="s">
        <v>64</v>
      </c>
      <c r="H1222" s="11" t="s">
        <v>75</v>
      </c>
      <c r="I1222" s="11">
        <v>1299</v>
      </c>
      <c r="J1222" s="49" t="s">
        <v>32</v>
      </c>
      <c r="K1222" s="49" t="s">
        <v>76</v>
      </c>
      <c r="L1222" s="49" t="s">
        <v>88</v>
      </c>
      <c r="M1222" s="49" t="s">
        <v>95</v>
      </c>
      <c r="N1222" s="49" t="s">
        <v>89</v>
      </c>
      <c r="O1222" s="49" t="s">
        <v>37</v>
      </c>
      <c r="P1222" s="11" t="s">
        <v>80</v>
      </c>
      <c r="Q1222" s="11" t="s">
        <v>90</v>
      </c>
      <c r="R1222" s="11" t="s">
        <v>2955</v>
      </c>
      <c r="S1222" s="11" t="s">
        <v>2956</v>
      </c>
      <c r="T1222" s="90" t="s">
        <v>1</v>
      </c>
      <c r="U1222" s="91"/>
      <c r="V1222" s="51">
        <v>45551</v>
      </c>
      <c r="W1222" s="49" t="s">
        <v>1610</v>
      </c>
    </row>
    <row r="1223" spans="1:23" ht="13" customHeight="1" x14ac:dyDescent="0.35">
      <c r="A1223" s="11">
        <v>1218</v>
      </c>
      <c r="B1223" s="11">
        <v>206192237</v>
      </c>
      <c r="C1223" s="94" t="s">
        <v>2942</v>
      </c>
      <c r="D1223" s="11" t="s">
        <v>2943</v>
      </c>
      <c r="E1223" s="48" t="s">
        <v>31</v>
      </c>
      <c r="F1223" s="48" t="s">
        <v>74</v>
      </c>
      <c r="G1223" s="11" t="s">
        <v>64</v>
      </c>
      <c r="H1223" s="11" t="s">
        <v>75</v>
      </c>
      <c r="I1223" s="11">
        <v>1299</v>
      </c>
      <c r="J1223" s="49" t="s">
        <v>39</v>
      </c>
      <c r="K1223" s="49" t="s">
        <v>76</v>
      </c>
      <c r="L1223" s="49" t="s">
        <v>92</v>
      </c>
      <c r="M1223" s="49" t="s">
        <v>84</v>
      </c>
      <c r="N1223" s="11" t="s">
        <v>89</v>
      </c>
      <c r="O1223" s="11" t="s">
        <v>37</v>
      </c>
      <c r="P1223" s="11" t="s">
        <v>80</v>
      </c>
      <c r="Q1223" s="11" t="s">
        <v>96</v>
      </c>
      <c r="R1223" s="11" t="s">
        <v>628</v>
      </c>
      <c r="S1223" s="11" t="s">
        <v>629</v>
      </c>
      <c r="T1223" s="90" t="s">
        <v>1</v>
      </c>
      <c r="U1223" s="89"/>
      <c r="V1223" s="51">
        <v>46226</v>
      </c>
      <c r="W1223" s="11" t="s">
        <v>1610</v>
      </c>
    </row>
    <row r="1224" spans="1:23" ht="13" customHeight="1" x14ac:dyDescent="0.35">
      <c r="A1224" s="11">
        <v>1219</v>
      </c>
      <c r="B1224" s="47">
        <v>203881697</v>
      </c>
      <c r="C1224" s="94" t="s">
        <v>1357</v>
      </c>
      <c r="D1224" s="11" t="s">
        <v>1358</v>
      </c>
      <c r="E1224" s="48" t="s">
        <v>31</v>
      </c>
      <c r="F1224" s="48" t="s">
        <v>74</v>
      </c>
      <c r="G1224" s="11" t="s">
        <v>64</v>
      </c>
      <c r="H1224" s="11" t="s">
        <v>75</v>
      </c>
      <c r="I1224" s="11">
        <v>1299</v>
      </c>
      <c r="J1224" s="49" t="s">
        <v>39</v>
      </c>
      <c r="K1224" s="49" t="s">
        <v>76</v>
      </c>
      <c r="L1224" s="49" t="s">
        <v>85</v>
      </c>
      <c r="M1224" s="49" t="s">
        <v>88</v>
      </c>
      <c r="N1224" s="48" t="s">
        <v>79</v>
      </c>
      <c r="O1224" s="49" t="s">
        <v>37</v>
      </c>
      <c r="P1224" s="11" t="s">
        <v>80</v>
      </c>
      <c r="Q1224" s="11" t="s">
        <v>81</v>
      </c>
      <c r="R1224" s="11" t="s">
        <v>640</v>
      </c>
      <c r="S1224" s="11" t="s">
        <v>2824</v>
      </c>
      <c r="T1224" s="90" t="s">
        <v>1</v>
      </c>
      <c r="U1224" s="90"/>
      <c r="V1224" s="51">
        <v>45530</v>
      </c>
      <c r="W1224" s="49" t="s">
        <v>1612</v>
      </c>
    </row>
    <row r="1225" spans="1:23" ht="13" customHeight="1" x14ac:dyDescent="0.35">
      <c r="A1225" s="11">
        <v>1220</v>
      </c>
      <c r="B1225" s="47">
        <v>206902847</v>
      </c>
      <c r="C1225" s="94" t="s">
        <v>1945</v>
      </c>
      <c r="D1225" s="11" t="s">
        <v>1946</v>
      </c>
      <c r="E1225" s="48" t="s">
        <v>31</v>
      </c>
      <c r="F1225" s="48" t="s">
        <v>74</v>
      </c>
      <c r="G1225" s="11" t="s">
        <v>64</v>
      </c>
      <c r="H1225" s="11" t="s">
        <v>75</v>
      </c>
      <c r="I1225" s="11">
        <v>1290</v>
      </c>
      <c r="J1225" s="49" t="s">
        <v>32</v>
      </c>
      <c r="K1225" s="49" t="s">
        <v>76</v>
      </c>
      <c r="L1225" s="49" t="s">
        <v>92</v>
      </c>
      <c r="M1225" s="49" t="s">
        <v>84</v>
      </c>
      <c r="N1225" s="49" t="s">
        <v>89</v>
      </c>
      <c r="O1225" s="48" t="s">
        <v>37</v>
      </c>
      <c r="P1225" s="48" t="s">
        <v>80</v>
      </c>
      <c r="Q1225" s="11" t="s">
        <v>90</v>
      </c>
      <c r="R1225" s="49" t="s">
        <v>648</v>
      </c>
      <c r="S1225" s="11" t="s">
        <v>1842</v>
      </c>
      <c r="T1225" s="90" t="s">
        <v>1</v>
      </c>
      <c r="U1225" s="91"/>
      <c r="V1225" s="51">
        <v>46030</v>
      </c>
      <c r="W1225" s="49" t="s">
        <v>1610</v>
      </c>
    </row>
    <row r="1226" spans="1:23" ht="13" customHeight="1" x14ac:dyDescent="0.35">
      <c r="A1226" s="11">
        <v>1221</v>
      </c>
      <c r="B1226" s="47">
        <v>203908342</v>
      </c>
      <c r="C1226" s="94" t="s">
        <v>2536</v>
      </c>
      <c r="D1226" s="11" t="s">
        <v>2537</v>
      </c>
      <c r="E1226" s="48" t="s">
        <v>31</v>
      </c>
      <c r="F1226" s="48" t="s">
        <v>74</v>
      </c>
      <c r="G1226" s="11" t="s">
        <v>64</v>
      </c>
      <c r="H1226" s="11" t="s">
        <v>75</v>
      </c>
      <c r="I1226" s="11">
        <v>1299</v>
      </c>
      <c r="J1226" s="49" t="s">
        <v>39</v>
      </c>
      <c r="K1226" s="49" t="s">
        <v>76</v>
      </c>
      <c r="L1226" s="49" t="s">
        <v>77</v>
      </c>
      <c r="M1226" s="49" t="s">
        <v>78</v>
      </c>
      <c r="N1226" s="48" t="s">
        <v>86</v>
      </c>
      <c r="O1226" s="49" t="s">
        <v>37</v>
      </c>
      <c r="P1226" s="11" t="s">
        <v>80</v>
      </c>
      <c r="Q1226" s="11" t="s">
        <v>90</v>
      </c>
      <c r="R1226" s="11" t="s">
        <v>1087</v>
      </c>
      <c r="S1226" s="11" t="s">
        <v>2823</v>
      </c>
      <c r="T1226" s="90" t="s">
        <v>10</v>
      </c>
      <c r="U1226" s="89"/>
      <c r="V1226" s="51">
        <v>45537</v>
      </c>
      <c r="W1226" s="49" t="s">
        <v>1610</v>
      </c>
    </row>
    <row r="1227" spans="1:23" ht="13" customHeight="1" x14ac:dyDescent="0.35">
      <c r="A1227" s="11">
        <v>1222</v>
      </c>
      <c r="B1227" s="47">
        <v>204095810</v>
      </c>
      <c r="C1227" s="94" t="s">
        <v>1359</v>
      </c>
      <c r="D1227" s="11" t="s">
        <v>1360</v>
      </c>
      <c r="E1227" s="48" t="s">
        <v>31</v>
      </c>
      <c r="F1227" s="48" t="s">
        <v>74</v>
      </c>
      <c r="G1227" s="11" t="s">
        <v>64</v>
      </c>
      <c r="H1227" s="11" t="s">
        <v>75</v>
      </c>
      <c r="I1227" s="11">
        <v>1299</v>
      </c>
      <c r="J1227" s="49" t="s">
        <v>39</v>
      </c>
      <c r="K1227" s="49" t="s">
        <v>76</v>
      </c>
      <c r="L1227" s="49" t="s">
        <v>78</v>
      </c>
      <c r="M1227" s="49" t="s">
        <v>92</v>
      </c>
      <c r="N1227" s="48" t="s">
        <v>86</v>
      </c>
      <c r="O1227" s="49" t="s">
        <v>37</v>
      </c>
      <c r="P1227" s="11" t="s">
        <v>80</v>
      </c>
      <c r="Q1227" s="11" t="s">
        <v>87</v>
      </c>
      <c r="R1227" s="11" t="s">
        <v>632</v>
      </c>
      <c r="S1227" s="11" t="s">
        <v>633</v>
      </c>
      <c r="T1227" s="90" t="s">
        <v>1</v>
      </c>
      <c r="U1227" s="90"/>
      <c r="V1227" s="51">
        <v>45561</v>
      </c>
      <c r="W1227" s="49" t="s">
        <v>1612</v>
      </c>
    </row>
    <row r="1228" spans="1:23" ht="13" customHeight="1" x14ac:dyDescent="0.35">
      <c r="A1228" s="11">
        <v>1223</v>
      </c>
      <c r="B1228" s="47">
        <v>206902848</v>
      </c>
      <c r="C1228" s="94" t="s">
        <v>1941</v>
      </c>
      <c r="D1228" s="11" t="s">
        <v>1942</v>
      </c>
      <c r="E1228" s="48" t="s">
        <v>31</v>
      </c>
      <c r="F1228" s="48" t="s">
        <v>74</v>
      </c>
      <c r="G1228" s="11" t="s">
        <v>64</v>
      </c>
      <c r="H1228" s="11" t="s">
        <v>75</v>
      </c>
      <c r="I1228" s="11">
        <v>1290</v>
      </c>
      <c r="J1228" s="49" t="s">
        <v>39</v>
      </c>
      <c r="K1228" s="49" t="s">
        <v>76</v>
      </c>
      <c r="L1228" s="49" t="s">
        <v>92</v>
      </c>
      <c r="M1228" s="49" t="s">
        <v>84</v>
      </c>
      <c r="N1228" s="49" t="s">
        <v>89</v>
      </c>
      <c r="O1228" s="48" t="s">
        <v>37</v>
      </c>
      <c r="P1228" s="48" t="s">
        <v>80</v>
      </c>
      <c r="Q1228" s="11" t="s">
        <v>90</v>
      </c>
      <c r="R1228" s="49" t="s">
        <v>648</v>
      </c>
      <c r="S1228" s="11" t="s">
        <v>1842</v>
      </c>
      <c r="T1228" s="90" t="s">
        <v>1</v>
      </c>
      <c r="U1228" s="90"/>
      <c r="V1228" s="51">
        <v>46030</v>
      </c>
      <c r="W1228" s="49" t="s">
        <v>1610</v>
      </c>
    </row>
    <row r="1229" spans="1:23" ht="13" customHeight="1" x14ac:dyDescent="0.35">
      <c r="A1229" s="11">
        <v>1224</v>
      </c>
      <c r="B1229" s="47">
        <v>205845554</v>
      </c>
      <c r="C1229" s="94" t="s">
        <v>1361</v>
      </c>
      <c r="D1229" s="11" t="s">
        <v>1362</v>
      </c>
      <c r="E1229" s="48" t="s">
        <v>31</v>
      </c>
      <c r="F1229" s="48" t="s">
        <v>74</v>
      </c>
      <c r="G1229" s="11" t="s">
        <v>64</v>
      </c>
      <c r="H1229" s="11" t="s">
        <v>75</v>
      </c>
      <c r="I1229" s="11">
        <v>1299</v>
      </c>
      <c r="J1229" s="49" t="s">
        <v>32</v>
      </c>
      <c r="K1229" s="49" t="s">
        <v>76</v>
      </c>
      <c r="L1229" s="49" t="s">
        <v>85</v>
      </c>
      <c r="M1229" s="49" t="s">
        <v>88</v>
      </c>
      <c r="N1229" s="48" t="s">
        <v>86</v>
      </c>
      <c r="O1229" s="49" t="s">
        <v>37</v>
      </c>
      <c r="P1229" s="11" t="s">
        <v>80</v>
      </c>
      <c r="Q1229" s="11" t="s">
        <v>90</v>
      </c>
      <c r="R1229" s="49" t="s">
        <v>628</v>
      </c>
      <c r="S1229" s="11" t="s">
        <v>629</v>
      </c>
      <c r="T1229" s="90" t="s">
        <v>1</v>
      </c>
      <c r="U1229" s="89"/>
      <c r="V1229" s="51">
        <v>45894</v>
      </c>
      <c r="W1229" s="49" t="s">
        <v>1609</v>
      </c>
    </row>
    <row r="1230" spans="1:23" ht="13" customHeight="1" x14ac:dyDescent="0.35">
      <c r="A1230" s="11">
        <v>1225</v>
      </c>
      <c r="B1230" s="47">
        <v>104033277</v>
      </c>
      <c r="C1230" s="94" t="s">
        <v>1363</v>
      </c>
      <c r="D1230" s="11" t="s">
        <v>1364</v>
      </c>
      <c r="E1230" s="48" t="s">
        <v>34</v>
      </c>
      <c r="F1230" s="48" t="s">
        <v>74</v>
      </c>
      <c r="G1230" s="11" t="s">
        <v>64</v>
      </c>
      <c r="H1230" s="11" t="s">
        <v>75</v>
      </c>
      <c r="I1230" s="11">
        <v>1299</v>
      </c>
      <c r="J1230" s="49" t="s">
        <v>32</v>
      </c>
      <c r="K1230" s="49" t="s">
        <v>76</v>
      </c>
      <c r="L1230" s="49" t="s">
        <v>77</v>
      </c>
      <c r="M1230" s="49" t="s">
        <v>78</v>
      </c>
      <c r="N1230" s="48" t="s">
        <v>108</v>
      </c>
      <c r="O1230" s="49" t="s">
        <v>37</v>
      </c>
      <c r="P1230" s="11" t="s">
        <v>80</v>
      </c>
      <c r="Q1230" s="11" t="s">
        <v>98</v>
      </c>
      <c r="R1230" s="49" t="s">
        <v>648</v>
      </c>
      <c r="S1230" s="11" t="s">
        <v>1842</v>
      </c>
      <c r="T1230" s="90" t="s">
        <v>10</v>
      </c>
      <c r="U1230" s="89"/>
      <c r="V1230" s="51">
        <v>44839</v>
      </c>
      <c r="W1230" s="49" t="s">
        <v>1610</v>
      </c>
    </row>
    <row r="1231" spans="1:23" ht="13" customHeight="1" x14ac:dyDescent="0.35">
      <c r="A1231" s="11">
        <v>1226</v>
      </c>
      <c r="B1231" s="47">
        <v>204246155</v>
      </c>
      <c r="C1231" s="94" t="s">
        <v>83</v>
      </c>
      <c r="D1231" s="11" t="s">
        <v>2066</v>
      </c>
      <c r="E1231" s="48" t="s">
        <v>31</v>
      </c>
      <c r="F1231" s="48" t="s">
        <v>74</v>
      </c>
      <c r="G1231" s="11" t="s">
        <v>65</v>
      </c>
      <c r="H1231" s="11" t="s">
        <v>1365</v>
      </c>
      <c r="I1231" s="11">
        <v>1299</v>
      </c>
      <c r="J1231" s="49" t="s">
        <v>32</v>
      </c>
      <c r="K1231" s="49" t="s">
        <v>76</v>
      </c>
      <c r="L1231" s="49" t="s">
        <v>77</v>
      </c>
      <c r="M1231" s="49" t="s">
        <v>78</v>
      </c>
      <c r="N1231" s="48" t="s">
        <v>86</v>
      </c>
      <c r="O1231" s="49" t="s">
        <v>68</v>
      </c>
      <c r="P1231" s="11" t="s">
        <v>80</v>
      </c>
      <c r="Q1231" s="11" t="s">
        <v>87</v>
      </c>
      <c r="R1231" s="11" t="s">
        <v>1369</v>
      </c>
      <c r="S1231" s="11" t="s">
        <v>1370</v>
      </c>
      <c r="T1231" s="90" t="s">
        <v>10</v>
      </c>
      <c r="U1231" s="104"/>
      <c r="V1231" s="51">
        <v>45579</v>
      </c>
      <c r="W1231" s="49" t="s">
        <v>68</v>
      </c>
    </row>
    <row r="1232" spans="1:23" ht="13" customHeight="1" x14ac:dyDescent="0.35">
      <c r="A1232" s="11">
        <v>1227</v>
      </c>
      <c r="B1232" s="47">
        <v>203555218</v>
      </c>
      <c r="C1232" s="94" t="s">
        <v>1367</v>
      </c>
      <c r="D1232" s="11" t="s">
        <v>1368</v>
      </c>
      <c r="E1232" s="48" t="s">
        <v>31</v>
      </c>
      <c r="F1232" s="48" t="s">
        <v>74</v>
      </c>
      <c r="G1232" s="11" t="s">
        <v>65</v>
      </c>
      <c r="H1232" s="11" t="s">
        <v>1365</v>
      </c>
      <c r="I1232" s="11">
        <v>1181</v>
      </c>
      <c r="J1232" s="49" t="s">
        <v>39</v>
      </c>
      <c r="K1232" s="49" t="s">
        <v>76</v>
      </c>
      <c r="L1232" s="49" t="s">
        <v>95</v>
      </c>
      <c r="M1232" s="49" t="s">
        <v>77</v>
      </c>
      <c r="N1232" s="48" t="s">
        <v>79</v>
      </c>
      <c r="O1232" s="49" t="s">
        <v>68</v>
      </c>
      <c r="P1232" s="11" t="s">
        <v>80</v>
      </c>
      <c r="Q1232" s="11" t="s">
        <v>81</v>
      </c>
      <c r="R1232" s="11" t="s">
        <v>2826</v>
      </c>
      <c r="S1232" s="11" t="s">
        <v>2827</v>
      </c>
      <c r="T1232" s="90" t="s">
        <v>10</v>
      </c>
      <c r="U1232" s="90"/>
      <c r="V1232" s="51">
        <v>45470</v>
      </c>
      <c r="W1232" s="49" t="s">
        <v>68</v>
      </c>
    </row>
    <row r="1233" spans="1:23" ht="13" customHeight="1" x14ac:dyDescent="0.35">
      <c r="A1233" s="11">
        <v>1228</v>
      </c>
      <c r="B1233" s="47">
        <v>202137760</v>
      </c>
      <c r="C1233" s="94" t="s">
        <v>1371</v>
      </c>
      <c r="D1233" s="11" t="s">
        <v>1372</v>
      </c>
      <c r="E1233" s="48" t="s">
        <v>31</v>
      </c>
      <c r="F1233" s="48" t="s">
        <v>74</v>
      </c>
      <c r="G1233" s="11" t="s">
        <v>65</v>
      </c>
      <c r="H1233" s="11" t="s">
        <v>1365</v>
      </c>
      <c r="I1233" s="11">
        <v>1181</v>
      </c>
      <c r="J1233" s="49" t="s">
        <v>39</v>
      </c>
      <c r="K1233" s="49" t="s">
        <v>76</v>
      </c>
      <c r="L1233" s="49" t="s">
        <v>95</v>
      </c>
      <c r="M1233" s="49" t="s">
        <v>77</v>
      </c>
      <c r="N1233" s="48" t="s">
        <v>86</v>
      </c>
      <c r="O1233" s="49" t="s">
        <v>68</v>
      </c>
      <c r="P1233" s="11" t="s">
        <v>80</v>
      </c>
      <c r="Q1233" s="11" t="s">
        <v>87</v>
      </c>
      <c r="R1233" s="11" t="s">
        <v>2826</v>
      </c>
      <c r="S1233" s="11" t="s">
        <v>2827</v>
      </c>
      <c r="T1233" s="90" t="s">
        <v>10</v>
      </c>
      <c r="U1233" s="104"/>
      <c r="V1233" s="51">
        <v>45589</v>
      </c>
      <c r="W1233" s="49" t="s">
        <v>68</v>
      </c>
    </row>
    <row r="1234" spans="1:23" ht="13" customHeight="1" x14ac:dyDescent="0.35">
      <c r="A1234" s="11">
        <v>1229</v>
      </c>
      <c r="B1234" s="47">
        <v>203635598</v>
      </c>
      <c r="C1234" s="94" t="s">
        <v>1373</v>
      </c>
      <c r="D1234" s="11" t="s">
        <v>1374</v>
      </c>
      <c r="E1234" s="48" t="s">
        <v>31</v>
      </c>
      <c r="F1234" s="48" t="s">
        <v>74</v>
      </c>
      <c r="G1234" s="11" t="s">
        <v>65</v>
      </c>
      <c r="H1234" s="11" t="s">
        <v>1365</v>
      </c>
      <c r="I1234" s="11">
        <v>1181</v>
      </c>
      <c r="J1234" s="49" t="s">
        <v>32</v>
      </c>
      <c r="K1234" s="49" t="s">
        <v>76</v>
      </c>
      <c r="L1234" s="49" t="s">
        <v>88</v>
      </c>
      <c r="M1234" s="49" t="s">
        <v>95</v>
      </c>
      <c r="N1234" s="48" t="s">
        <v>79</v>
      </c>
      <c r="O1234" s="49" t="s">
        <v>68</v>
      </c>
      <c r="P1234" s="11" t="s">
        <v>80</v>
      </c>
      <c r="Q1234" s="11" t="s">
        <v>81</v>
      </c>
      <c r="R1234" s="11" t="s">
        <v>1369</v>
      </c>
      <c r="S1234" s="11" t="s">
        <v>1370</v>
      </c>
      <c r="T1234" s="90" t="s">
        <v>1</v>
      </c>
      <c r="U1234" s="104"/>
      <c r="V1234" s="51">
        <v>45481</v>
      </c>
      <c r="W1234" s="49" t="s">
        <v>68</v>
      </c>
    </row>
    <row r="1235" spans="1:23" ht="13" customHeight="1" x14ac:dyDescent="0.35">
      <c r="A1235" s="11">
        <v>1230</v>
      </c>
      <c r="B1235" s="47">
        <v>206361774</v>
      </c>
      <c r="C1235" s="94" t="s">
        <v>2538</v>
      </c>
      <c r="D1235" s="11" t="s">
        <v>2539</v>
      </c>
      <c r="E1235" s="48" t="s">
        <v>31</v>
      </c>
      <c r="F1235" s="48" t="s">
        <v>74</v>
      </c>
      <c r="G1235" s="11" t="s">
        <v>65</v>
      </c>
      <c r="H1235" s="11" t="s">
        <v>1365</v>
      </c>
      <c r="I1235" s="11">
        <v>1181</v>
      </c>
      <c r="J1235" s="49" t="s">
        <v>39</v>
      </c>
      <c r="K1235" s="49" t="s">
        <v>76</v>
      </c>
      <c r="L1235" s="49" t="s">
        <v>85</v>
      </c>
      <c r="M1235" s="49" t="s">
        <v>88</v>
      </c>
      <c r="N1235" s="49" t="s">
        <v>89</v>
      </c>
      <c r="O1235" s="49" t="s">
        <v>68</v>
      </c>
      <c r="P1235" s="11" t="s">
        <v>80</v>
      </c>
      <c r="Q1235" s="11" t="s">
        <v>96</v>
      </c>
      <c r="R1235" s="11" t="s">
        <v>2826</v>
      </c>
      <c r="S1235" s="11" t="s">
        <v>2827</v>
      </c>
      <c r="T1235" s="90" t="s">
        <v>1</v>
      </c>
      <c r="U1235" s="104"/>
      <c r="V1235" s="51">
        <v>45957</v>
      </c>
      <c r="W1235" s="49" t="s">
        <v>68</v>
      </c>
    </row>
    <row r="1236" spans="1:23" ht="13" customHeight="1" x14ac:dyDescent="0.35">
      <c r="A1236" s="11">
        <v>1231</v>
      </c>
      <c r="B1236" s="47">
        <v>104383492</v>
      </c>
      <c r="C1236" s="94" t="s">
        <v>2560</v>
      </c>
      <c r="D1236" s="11" t="s">
        <v>2561</v>
      </c>
      <c r="E1236" s="48" t="s">
        <v>34</v>
      </c>
      <c r="F1236" s="48" t="s">
        <v>74</v>
      </c>
      <c r="G1236" s="11" t="s">
        <v>65</v>
      </c>
      <c r="H1236" s="11" t="s">
        <v>1365</v>
      </c>
      <c r="I1236" s="11">
        <v>1182</v>
      </c>
      <c r="J1236" s="49" t="s">
        <v>39</v>
      </c>
      <c r="K1236" s="49" t="s">
        <v>76</v>
      </c>
      <c r="L1236" s="49" t="s">
        <v>92</v>
      </c>
      <c r="M1236" s="49" t="s">
        <v>84</v>
      </c>
      <c r="N1236" s="48" t="s">
        <v>1366</v>
      </c>
      <c r="O1236" s="49" t="s">
        <v>68</v>
      </c>
      <c r="P1236" s="11" t="s">
        <v>80</v>
      </c>
      <c r="Q1236" s="11" t="s">
        <v>98</v>
      </c>
      <c r="R1236" s="11" t="s">
        <v>2826</v>
      </c>
      <c r="S1236" s="11" t="s">
        <v>2827</v>
      </c>
      <c r="T1236" s="90" t="s">
        <v>1</v>
      </c>
      <c r="U1236" s="104"/>
      <c r="V1236" s="51">
        <v>44728</v>
      </c>
      <c r="W1236" s="49" t="s">
        <v>68</v>
      </c>
    </row>
    <row r="1237" spans="1:23" ht="13" customHeight="1" x14ac:dyDescent="0.35">
      <c r="A1237" s="11">
        <v>1232</v>
      </c>
      <c r="B1237" s="47">
        <v>206191961</v>
      </c>
      <c r="C1237" s="94" t="s">
        <v>1633</v>
      </c>
      <c r="D1237" s="11" t="s">
        <v>1991</v>
      </c>
      <c r="E1237" s="48" t="s">
        <v>31</v>
      </c>
      <c r="F1237" s="48" t="s">
        <v>74</v>
      </c>
      <c r="G1237" s="11" t="s">
        <v>65</v>
      </c>
      <c r="H1237" s="11" t="s">
        <v>1365</v>
      </c>
      <c r="I1237" s="11">
        <v>1299</v>
      </c>
      <c r="J1237" s="49" t="s">
        <v>32</v>
      </c>
      <c r="K1237" s="49" t="s">
        <v>76</v>
      </c>
      <c r="L1237" s="49" t="s">
        <v>78</v>
      </c>
      <c r="M1237" s="49" t="s">
        <v>92</v>
      </c>
      <c r="N1237" s="49" t="s">
        <v>89</v>
      </c>
      <c r="O1237" s="49" t="s">
        <v>68</v>
      </c>
      <c r="P1237" s="11" t="s">
        <v>80</v>
      </c>
      <c r="Q1237" s="11" t="s">
        <v>96</v>
      </c>
      <c r="R1237" s="11" t="s">
        <v>1369</v>
      </c>
      <c r="S1237" s="11" t="s">
        <v>1370</v>
      </c>
      <c r="T1237" s="90" t="s">
        <v>1</v>
      </c>
      <c r="U1237" s="104"/>
      <c r="V1237" s="51">
        <v>45936</v>
      </c>
      <c r="W1237" s="49" t="s">
        <v>68</v>
      </c>
    </row>
    <row r="1238" spans="1:23" ht="13" customHeight="1" x14ac:dyDescent="0.35">
      <c r="A1238" s="11">
        <v>1233</v>
      </c>
      <c r="B1238" s="47">
        <v>203881712</v>
      </c>
      <c r="C1238" s="94" t="s">
        <v>1375</v>
      </c>
      <c r="D1238" s="11" t="s">
        <v>1376</v>
      </c>
      <c r="E1238" s="48" t="s">
        <v>31</v>
      </c>
      <c r="F1238" s="48" t="s">
        <v>74</v>
      </c>
      <c r="G1238" s="11" t="s">
        <v>65</v>
      </c>
      <c r="H1238" s="11" t="s">
        <v>1365</v>
      </c>
      <c r="I1238" s="11">
        <v>1181</v>
      </c>
      <c r="J1238" s="49" t="s">
        <v>39</v>
      </c>
      <c r="K1238" s="49" t="s">
        <v>76</v>
      </c>
      <c r="L1238" s="49" t="s">
        <v>95</v>
      </c>
      <c r="M1238" s="49" t="s">
        <v>77</v>
      </c>
      <c r="N1238" s="48" t="s">
        <v>79</v>
      </c>
      <c r="O1238" s="49" t="s">
        <v>68</v>
      </c>
      <c r="P1238" s="11" t="s">
        <v>80</v>
      </c>
      <c r="Q1238" s="11" t="s">
        <v>81</v>
      </c>
      <c r="R1238" s="11" t="s">
        <v>2826</v>
      </c>
      <c r="S1238" s="11" t="s">
        <v>2827</v>
      </c>
      <c r="T1238" s="90" t="s">
        <v>10</v>
      </c>
      <c r="U1238" s="104"/>
      <c r="V1238" s="51">
        <v>45530</v>
      </c>
      <c r="W1238" s="49" t="s">
        <v>68</v>
      </c>
    </row>
    <row r="1239" spans="1:23" ht="13" customHeight="1" x14ac:dyDescent="0.35">
      <c r="A1239" s="11">
        <v>1234</v>
      </c>
      <c r="B1239" s="47">
        <v>206348020</v>
      </c>
      <c r="C1239" s="94" t="s">
        <v>1712</v>
      </c>
      <c r="D1239" s="11" t="s">
        <v>1713</v>
      </c>
      <c r="E1239" s="48" t="s">
        <v>31</v>
      </c>
      <c r="F1239" s="48" t="s">
        <v>74</v>
      </c>
      <c r="G1239" s="11" t="s">
        <v>65</v>
      </c>
      <c r="H1239" s="11" t="s">
        <v>1365</v>
      </c>
      <c r="I1239" s="11">
        <v>1181</v>
      </c>
      <c r="J1239" s="49" t="s">
        <v>32</v>
      </c>
      <c r="K1239" s="49" t="s">
        <v>76</v>
      </c>
      <c r="L1239" s="49" t="s">
        <v>78</v>
      </c>
      <c r="M1239" s="49" t="s">
        <v>92</v>
      </c>
      <c r="N1239" s="49" t="s">
        <v>89</v>
      </c>
      <c r="O1239" s="49" t="s">
        <v>68</v>
      </c>
      <c r="P1239" s="11" t="s">
        <v>80</v>
      </c>
      <c r="Q1239" s="11" t="s">
        <v>90</v>
      </c>
      <c r="R1239" s="11" t="s">
        <v>1369</v>
      </c>
      <c r="S1239" s="11" t="s">
        <v>1370</v>
      </c>
      <c r="T1239" s="90" t="s">
        <v>1</v>
      </c>
      <c r="U1239" s="104"/>
      <c r="V1239" s="51">
        <v>45957</v>
      </c>
      <c r="W1239" s="49" t="s">
        <v>68</v>
      </c>
    </row>
    <row r="1240" spans="1:23" ht="13" customHeight="1" x14ac:dyDescent="0.35">
      <c r="A1240" s="11">
        <v>1235</v>
      </c>
      <c r="B1240" s="47">
        <v>201188904</v>
      </c>
      <c r="C1240" s="94" t="s">
        <v>1377</v>
      </c>
      <c r="D1240" s="11" t="s">
        <v>1378</v>
      </c>
      <c r="E1240" s="48" t="s">
        <v>31</v>
      </c>
      <c r="F1240" s="48" t="s">
        <v>74</v>
      </c>
      <c r="G1240" s="11" t="s">
        <v>65</v>
      </c>
      <c r="H1240" s="11" t="s">
        <v>1365</v>
      </c>
      <c r="I1240" s="11">
        <v>1181</v>
      </c>
      <c r="J1240" s="49" t="s">
        <v>39</v>
      </c>
      <c r="K1240" s="49" t="s">
        <v>76</v>
      </c>
      <c r="L1240" s="49" t="s">
        <v>84</v>
      </c>
      <c r="M1240" s="49" t="s">
        <v>85</v>
      </c>
      <c r="N1240" s="48" t="s">
        <v>79</v>
      </c>
      <c r="O1240" s="49" t="s">
        <v>68</v>
      </c>
      <c r="P1240" s="11" t="s">
        <v>80</v>
      </c>
      <c r="Q1240" s="11" t="s">
        <v>81</v>
      </c>
      <c r="R1240" s="11" t="s">
        <v>2826</v>
      </c>
      <c r="S1240" s="11" t="s">
        <v>2827</v>
      </c>
      <c r="T1240" s="90" t="s">
        <v>1</v>
      </c>
      <c r="U1240" s="104"/>
      <c r="V1240" s="51">
        <v>45530</v>
      </c>
      <c r="W1240" s="49" t="s">
        <v>68</v>
      </c>
    </row>
    <row r="1241" spans="1:23" ht="13" customHeight="1" x14ac:dyDescent="0.35">
      <c r="A1241" s="11">
        <v>1236</v>
      </c>
      <c r="B1241" s="47">
        <v>206348027</v>
      </c>
      <c r="C1241" s="94" t="s">
        <v>1714</v>
      </c>
      <c r="D1241" s="11" t="s">
        <v>1715</v>
      </c>
      <c r="E1241" s="48" t="s">
        <v>31</v>
      </c>
      <c r="F1241" s="48" t="s">
        <v>74</v>
      </c>
      <c r="G1241" s="11" t="s">
        <v>65</v>
      </c>
      <c r="H1241" s="11" t="s">
        <v>1365</v>
      </c>
      <c r="I1241" s="11">
        <v>1181</v>
      </c>
      <c r="J1241" s="49" t="s">
        <v>39</v>
      </c>
      <c r="K1241" s="49" t="s">
        <v>76</v>
      </c>
      <c r="L1241" s="49" t="s">
        <v>78</v>
      </c>
      <c r="M1241" s="49" t="s">
        <v>92</v>
      </c>
      <c r="N1241" s="49" t="s">
        <v>89</v>
      </c>
      <c r="O1241" s="49" t="s">
        <v>68</v>
      </c>
      <c r="P1241" s="11" t="s">
        <v>80</v>
      </c>
      <c r="Q1241" s="11" t="s">
        <v>90</v>
      </c>
      <c r="R1241" s="11" t="s">
        <v>2826</v>
      </c>
      <c r="S1241" s="11" t="s">
        <v>2827</v>
      </c>
      <c r="T1241" s="90" t="s">
        <v>1</v>
      </c>
      <c r="U1241" s="104"/>
      <c r="V1241" s="51">
        <v>45957</v>
      </c>
      <c r="W1241" s="49" t="s">
        <v>68</v>
      </c>
    </row>
    <row r="1242" spans="1:23" ht="13" customHeight="1" x14ac:dyDescent="0.35">
      <c r="A1242" s="11">
        <v>1237</v>
      </c>
      <c r="B1242" s="47">
        <v>204768284</v>
      </c>
      <c r="C1242" s="94" t="s">
        <v>1379</v>
      </c>
      <c r="D1242" s="11" t="s">
        <v>1380</v>
      </c>
      <c r="E1242" s="48" t="s">
        <v>31</v>
      </c>
      <c r="F1242" s="48" t="s">
        <v>74</v>
      </c>
      <c r="G1242" s="11" t="s">
        <v>65</v>
      </c>
      <c r="H1242" s="11" t="s">
        <v>1365</v>
      </c>
      <c r="I1242" s="11">
        <v>1181</v>
      </c>
      <c r="J1242" s="49" t="s">
        <v>32</v>
      </c>
      <c r="K1242" s="49" t="s">
        <v>76</v>
      </c>
      <c r="L1242" s="49" t="s">
        <v>77</v>
      </c>
      <c r="M1242" s="49" t="s">
        <v>78</v>
      </c>
      <c r="N1242" s="48" t="s">
        <v>89</v>
      </c>
      <c r="O1242" s="49" t="s">
        <v>68</v>
      </c>
      <c r="P1242" s="11" t="s">
        <v>80</v>
      </c>
      <c r="Q1242" s="11" t="s">
        <v>90</v>
      </c>
      <c r="R1242" s="11" t="s">
        <v>1369</v>
      </c>
      <c r="S1242" s="11" t="s">
        <v>1370</v>
      </c>
      <c r="T1242" s="90" t="s">
        <v>10</v>
      </c>
      <c r="U1242" s="104"/>
      <c r="V1242" s="51">
        <v>45796</v>
      </c>
      <c r="W1242" s="49" t="s">
        <v>68</v>
      </c>
    </row>
    <row r="1243" spans="1:23" ht="13" customHeight="1" x14ac:dyDescent="0.35">
      <c r="A1243" s="11">
        <v>1238</v>
      </c>
      <c r="B1243" s="47">
        <v>206348019</v>
      </c>
      <c r="C1243" s="94" t="s">
        <v>2540</v>
      </c>
      <c r="D1243" s="11" t="s">
        <v>2541</v>
      </c>
      <c r="E1243" s="48" t="s">
        <v>31</v>
      </c>
      <c r="F1243" s="48" t="s">
        <v>74</v>
      </c>
      <c r="G1243" s="11" t="s">
        <v>65</v>
      </c>
      <c r="H1243" s="11" t="s">
        <v>1365</v>
      </c>
      <c r="I1243" s="11">
        <v>1181</v>
      </c>
      <c r="J1243" s="49" t="s">
        <v>32</v>
      </c>
      <c r="K1243" s="49" t="s">
        <v>76</v>
      </c>
      <c r="L1243" s="49" t="s">
        <v>92</v>
      </c>
      <c r="M1243" s="49" t="s">
        <v>84</v>
      </c>
      <c r="N1243" s="49" t="s">
        <v>89</v>
      </c>
      <c r="O1243" s="49" t="s">
        <v>68</v>
      </c>
      <c r="P1243" s="11" t="s">
        <v>80</v>
      </c>
      <c r="Q1243" s="11" t="s">
        <v>90</v>
      </c>
      <c r="R1243" s="11" t="s">
        <v>1369</v>
      </c>
      <c r="S1243" s="11" t="s">
        <v>1370</v>
      </c>
      <c r="T1243" s="90" t="s">
        <v>1</v>
      </c>
      <c r="U1243" s="104"/>
      <c r="V1243" s="51">
        <v>45957</v>
      </c>
      <c r="W1243" s="49" t="s">
        <v>68</v>
      </c>
    </row>
    <row r="1244" spans="1:23" ht="13" customHeight="1" x14ac:dyDescent="0.35">
      <c r="A1244" s="11">
        <v>1239</v>
      </c>
      <c r="B1244" s="47">
        <v>102205688</v>
      </c>
      <c r="C1244" s="94" t="s">
        <v>1383</v>
      </c>
      <c r="D1244" s="11" t="s">
        <v>1384</v>
      </c>
      <c r="E1244" s="48" t="s">
        <v>34</v>
      </c>
      <c r="F1244" s="48" t="s">
        <v>74</v>
      </c>
      <c r="G1244" s="11" t="s">
        <v>65</v>
      </c>
      <c r="H1244" s="11" t="s">
        <v>1365</v>
      </c>
      <c r="I1244" s="11">
        <v>1182</v>
      </c>
      <c r="J1244" s="49" t="s">
        <v>39</v>
      </c>
      <c r="K1244" s="49" t="s">
        <v>76</v>
      </c>
      <c r="L1244" s="49" t="s">
        <v>77</v>
      </c>
      <c r="M1244" s="49" t="s">
        <v>78</v>
      </c>
      <c r="N1244" s="48" t="s">
        <v>108</v>
      </c>
      <c r="O1244" s="49" t="s">
        <v>68</v>
      </c>
      <c r="P1244" s="11" t="s">
        <v>80</v>
      </c>
      <c r="Q1244" s="11" t="s">
        <v>98</v>
      </c>
      <c r="R1244" s="11" t="s">
        <v>2826</v>
      </c>
      <c r="S1244" s="11" t="s">
        <v>2827</v>
      </c>
      <c r="T1244" s="90" t="s">
        <v>10</v>
      </c>
      <c r="U1244" s="90"/>
      <c r="V1244" s="51">
        <v>42868</v>
      </c>
      <c r="W1244" s="49" t="s">
        <v>68</v>
      </c>
    </row>
    <row r="1245" spans="1:23" ht="13" customHeight="1" x14ac:dyDescent="0.35">
      <c r="A1245" s="11">
        <v>1240</v>
      </c>
      <c r="B1245" s="47">
        <v>103640429</v>
      </c>
      <c r="C1245" s="94" t="s">
        <v>1385</v>
      </c>
      <c r="D1245" s="11" t="s">
        <v>1386</v>
      </c>
      <c r="E1245" s="48" t="s">
        <v>34</v>
      </c>
      <c r="F1245" s="48" t="s">
        <v>74</v>
      </c>
      <c r="G1245" s="11" t="s">
        <v>65</v>
      </c>
      <c r="H1245" s="11" t="s">
        <v>1365</v>
      </c>
      <c r="I1245" s="11">
        <v>1182</v>
      </c>
      <c r="J1245" s="49" t="s">
        <v>39</v>
      </c>
      <c r="K1245" s="49" t="s">
        <v>76</v>
      </c>
      <c r="L1245" s="49" t="s">
        <v>95</v>
      </c>
      <c r="M1245" s="49" t="s">
        <v>77</v>
      </c>
      <c r="N1245" s="48" t="s">
        <v>108</v>
      </c>
      <c r="O1245" s="49" t="s">
        <v>68</v>
      </c>
      <c r="P1245" s="11" t="s">
        <v>80</v>
      </c>
      <c r="Q1245" s="11" t="s">
        <v>98</v>
      </c>
      <c r="R1245" s="11" t="s">
        <v>2826</v>
      </c>
      <c r="S1245" s="11" t="s">
        <v>2827</v>
      </c>
      <c r="T1245" s="90" t="s">
        <v>10</v>
      </c>
      <c r="U1245" s="104"/>
      <c r="V1245" s="51">
        <v>44724</v>
      </c>
      <c r="W1245" s="49" t="s">
        <v>68</v>
      </c>
    </row>
    <row r="1246" spans="1:23" ht="13" customHeight="1" x14ac:dyDescent="0.35">
      <c r="A1246" s="11">
        <v>1241</v>
      </c>
      <c r="B1246" s="47">
        <v>205275768</v>
      </c>
      <c r="C1246" s="94" t="s">
        <v>1387</v>
      </c>
      <c r="D1246" s="11" t="s">
        <v>1388</v>
      </c>
      <c r="E1246" s="48" t="s">
        <v>31</v>
      </c>
      <c r="F1246" s="48" t="s">
        <v>74</v>
      </c>
      <c r="G1246" s="11" t="s">
        <v>65</v>
      </c>
      <c r="H1246" s="11" t="s">
        <v>1365</v>
      </c>
      <c r="I1246" s="11">
        <v>1181</v>
      </c>
      <c r="J1246" s="49" t="s">
        <v>32</v>
      </c>
      <c r="K1246" s="49" t="s">
        <v>76</v>
      </c>
      <c r="L1246" s="49" t="s">
        <v>84</v>
      </c>
      <c r="M1246" s="49" t="s">
        <v>85</v>
      </c>
      <c r="N1246" s="48" t="s">
        <v>89</v>
      </c>
      <c r="O1246" s="49" t="s">
        <v>68</v>
      </c>
      <c r="P1246" s="11" t="s">
        <v>80</v>
      </c>
      <c r="Q1246" s="11" t="s">
        <v>90</v>
      </c>
      <c r="R1246" s="11" t="s">
        <v>1369</v>
      </c>
      <c r="S1246" s="11" t="s">
        <v>1370</v>
      </c>
      <c r="T1246" s="90" t="s">
        <v>1</v>
      </c>
      <c r="U1246" s="104"/>
      <c r="V1246" s="51">
        <v>45796</v>
      </c>
      <c r="W1246" s="49" t="s">
        <v>68</v>
      </c>
    </row>
    <row r="1247" spans="1:23" ht="13" customHeight="1" x14ac:dyDescent="0.35">
      <c r="A1247" s="11">
        <v>1242</v>
      </c>
      <c r="B1247" s="47">
        <v>205275762</v>
      </c>
      <c r="C1247" s="94" t="s">
        <v>1389</v>
      </c>
      <c r="D1247" s="11" t="s">
        <v>2058</v>
      </c>
      <c r="E1247" s="48" t="s">
        <v>31</v>
      </c>
      <c r="F1247" s="48" t="s">
        <v>74</v>
      </c>
      <c r="G1247" s="11" t="s">
        <v>65</v>
      </c>
      <c r="H1247" s="11" t="s">
        <v>1365</v>
      </c>
      <c r="I1247" s="11">
        <v>1299</v>
      </c>
      <c r="J1247" s="49" t="s">
        <v>32</v>
      </c>
      <c r="K1247" s="49" t="s">
        <v>76</v>
      </c>
      <c r="L1247" s="49" t="s">
        <v>84</v>
      </c>
      <c r="M1247" s="49" t="s">
        <v>85</v>
      </c>
      <c r="N1247" s="48" t="s">
        <v>89</v>
      </c>
      <c r="O1247" s="49" t="s">
        <v>68</v>
      </c>
      <c r="P1247" s="11" t="s">
        <v>80</v>
      </c>
      <c r="Q1247" s="11" t="s">
        <v>90</v>
      </c>
      <c r="R1247" s="11" t="s">
        <v>1369</v>
      </c>
      <c r="S1247" s="11" t="s">
        <v>1370</v>
      </c>
      <c r="T1247" s="90" t="s">
        <v>1</v>
      </c>
      <c r="U1247" s="104"/>
      <c r="V1247" s="51">
        <v>45796</v>
      </c>
      <c r="W1247" s="49" t="s">
        <v>68</v>
      </c>
    </row>
    <row r="1248" spans="1:23" ht="13" customHeight="1" x14ac:dyDescent="0.35">
      <c r="A1248" s="11">
        <v>1243</v>
      </c>
      <c r="B1248" s="47">
        <v>103058874</v>
      </c>
      <c r="C1248" s="94" t="s">
        <v>1390</v>
      </c>
      <c r="D1248" s="11" t="s">
        <v>1391</v>
      </c>
      <c r="E1248" s="48" t="s">
        <v>34</v>
      </c>
      <c r="F1248" s="48" t="s">
        <v>74</v>
      </c>
      <c r="G1248" s="11" t="s">
        <v>65</v>
      </c>
      <c r="H1248" s="11" t="s">
        <v>1365</v>
      </c>
      <c r="I1248" s="11">
        <v>1182</v>
      </c>
      <c r="J1248" s="49" t="s">
        <v>39</v>
      </c>
      <c r="K1248" s="49" t="s">
        <v>76</v>
      </c>
      <c r="L1248" s="49" t="s">
        <v>78</v>
      </c>
      <c r="M1248" s="49" t="s">
        <v>92</v>
      </c>
      <c r="N1248" s="48" t="s">
        <v>108</v>
      </c>
      <c r="O1248" s="49" t="s">
        <v>68</v>
      </c>
      <c r="P1248" s="11" t="s">
        <v>80</v>
      </c>
      <c r="Q1248" s="11" t="s">
        <v>98</v>
      </c>
      <c r="R1248" s="11" t="s">
        <v>2826</v>
      </c>
      <c r="S1248" s="11" t="s">
        <v>2827</v>
      </c>
      <c r="T1248" s="90" t="s">
        <v>1</v>
      </c>
      <c r="U1248" s="104"/>
      <c r="V1248" s="51">
        <v>43024</v>
      </c>
      <c r="W1248" s="49" t="s">
        <v>68</v>
      </c>
    </row>
    <row r="1249" spans="1:23" ht="13" customHeight="1" x14ac:dyDescent="0.35">
      <c r="A1249" s="11">
        <v>1244</v>
      </c>
      <c r="B1249" s="47">
        <v>206361295</v>
      </c>
      <c r="C1249" s="94" t="s">
        <v>2542</v>
      </c>
      <c r="D1249" s="11" t="s">
        <v>2543</v>
      </c>
      <c r="E1249" s="48" t="s">
        <v>31</v>
      </c>
      <c r="F1249" s="48" t="s">
        <v>74</v>
      </c>
      <c r="G1249" s="11" t="s">
        <v>65</v>
      </c>
      <c r="H1249" s="11" t="s">
        <v>1365</v>
      </c>
      <c r="I1249" s="11">
        <v>1181</v>
      </c>
      <c r="J1249" s="49" t="s">
        <v>39</v>
      </c>
      <c r="K1249" s="49" t="s">
        <v>76</v>
      </c>
      <c r="L1249" s="49" t="s">
        <v>78</v>
      </c>
      <c r="M1249" s="49" t="s">
        <v>92</v>
      </c>
      <c r="N1249" s="49" t="s">
        <v>89</v>
      </c>
      <c r="O1249" s="49" t="s">
        <v>68</v>
      </c>
      <c r="P1249" s="11" t="s">
        <v>80</v>
      </c>
      <c r="Q1249" s="11" t="s">
        <v>96</v>
      </c>
      <c r="R1249" s="11" t="s">
        <v>2826</v>
      </c>
      <c r="S1249" s="11" t="s">
        <v>2827</v>
      </c>
      <c r="T1249" s="90" t="s">
        <v>1</v>
      </c>
      <c r="U1249" s="104"/>
      <c r="V1249" s="51">
        <v>45957</v>
      </c>
      <c r="W1249" s="49" t="s">
        <v>68</v>
      </c>
    </row>
    <row r="1250" spans="1:23" ht="13" customHeight="1" x14ac:dyDescent="0.35">
      <c r="A1250" s="11">
        <v>1245</v>
      </c>
      <c r="B1250" s="47">
        <v>111249388</v>
      </c>
      <c r="C1250" s="94" t="s">
        <v>1393</v>
      </c>
      <c r="D1250" s="11" t="s">
        <v>1394</v>
      </c>
      <c r="E1250" s="48" t="s">
        <v>31</v>
      </c>
      <c r="F1250" s="48" t="s">
        <v>74</v>
      </c>
      <c r="G1250" s="11" t="s">
        <v>65</v>
      </c>
      <c r="H1250" s="11" t="s">
        <v>1365</v>
      </c>
      <c r="I1250" s="11">
        <v>1181</v>
      </c>
      <c r="J1250" s="49" t="s">
        <v>39</v>
      </c>
      <c r="K1250" s="49" t="s">
        <v>76</v>
      </c>
      <c r="L1250" s="49" t="s">
        <v>88</v>
      </c>
      <c r="M1250" s="49" t="s">
        <v>95</v>
      </c>
      <c r="N1250" s="48" t="s">
        <v>79</v>
      </c>
      <c r="O1250" s="49" t="s">
        <v>68</v>
      </c>
      <c r="P1250" s="11" t="s">
        <v>80</v>
      </c>
      <c r="Q1250" s="11" t="s">
        <v>81</v>
      </c>
      <c r="R1250" s="11" t="s">
        <v>2826</v>
      </c>
      <c r="S1250" s="11" t="s">
        <v>2827</v>
      </c>
      <c r="T1250" s="90" t="s">
        <v>1</v>
      </c>
      <c r="U1250" s="90"/>
      <c r="V1250" s="51">
        <v>45530</v>
      </c>
      <c r="W1250" s="49" t="s">
        <v>68</v>
      </c>
    </row>
    <row r="1251" spans="1:23" ht="13" customHeight="1" x14ac:dyDescent="0.35">
      <c r="A1251" s="11">
        <v>1246</v>
      </c>
      <c r="B1251" s="47">
        <v>204013729</v>
      </c>
      <c r="C1251" s="94" t="s">
        <v>1396</v>
      </c>
      <c r="D1251" s="11" t="s">
        <v>1397</v>
      </c>
      <c r="E1251" s="48" t="s">
        <v>31</v>
      </c>
      <c r="F1251" s="48" t="s">
        <v>74</v>
      </c>
      <c r="G1251" s="11" t="s">
        <v>65</v>
      </c>
      <c r="H1251" s="11" t="s">
        <v>1365</v>
      </c>
      <c r="I1251" s="11">
        <v>1181</v>
      </c>
      <c r="J1251" s="49" t="s">
        <v>32</v>
      </c>
      <c r="K1251" s="49" t="s">
        <v>76</v>
      </c>
      <c r="L1251" s="49" t="s">
        <v>88</v>
      </c>
      <c r="M1251" s="49" t="s">
        <v>95</v>
      </c>
      <c r="N1251" s="48" t="s">
        <v>79</v>
      </c>
      <c r="O1251" s="49" t="s">
        <v>68</v>
      </c>
      <c r="P1251" s="11" t="s">
        <v>80</v>
      </c>
      <c r="Q1251" s="11" t="s">
        <v>81</v>
      </c>
      <c r="R1251" s="11" t="s">
        <v>1369</v>
      </c>
      <c r="S1251" s="11" t="s">
        <v>1370</v>
      </c>
      <c r="T1251" s="90" t="s">
        <v>1</v>
      </c>
      <c r="U1251" s="104"/>
      <c r="V1251" s="51">
        <v>45551</v>
      </c>
      <c r="W1251" s="49" t="s">
        <v>68</v>
      </c>
    </row>
    <row r="1252" spans="1:23" ht="13" customHeight="1" x14ac:dyDescent="0.35">
      <c r="A1252" s="11">
        <v>1247</v>
      </c>
      <c r="B1252" s="47">
        <v>203555213</v>
      </c>
      <c r="C1252" s="94" t="s">
        <v>1398</v>
      </c>
      <c r="D1252" s="11" t="s">
        <v>1399</v>
      </c>
      <c r="E1252" s="48" t="s">
        <v>31</v>
      </c>
      <c r="F1252" s="48" t="s">
        <v>74</v>
      </c>
      <c r="G1252" s="11" t="s">
        <v>65</v>
      </c>
      <c r="H1252" s="11" t="s">
        <v>1365</v>
      </c>
      <c r="I1252" s="11">
        <v>1181</v>
      </c>
      <c r="J1252" s="49" t="s">
        <v>39</v>
      </c>
      <c r="K1252" s="49" t="s">
        <v>76</v>
      </c>
      <c r="L1252" s="49" t="s">
        <v>77</v>
      </c>
      <c r="M1252" s="49" t="s">
        <v>78</v>
      </c>
      <c r="N1252" s="48" t="s">
        <v>79</v>
      </c>
      <c r="O1252" s="49" t="s">
        <v>68</v>
      </c>
      <c r="P1252" s="11" t="s">
        <v>80</v>
      </c>
      <c r="Q1252" s="11" t="s">
        <v>81</v>
      </c>
      <c r="R1252" s="11" t="s">
        <v>2826</v>
      </c>
      <c r="S1252" s="11" t="s">
        <v>2827</v>
      </c>
      <c r="T1252" s="90" t="s">
        <v>10</v>
      </c>
      <c r="U1252" s="104"/>
      <c r="V1252" s="51">
        <v>45470</v>
      </c>
      <c r="W1252" s="49" t="s">
        <v>68</v>
      </c>
    </row>
    <row r="1253" spans="1:23" ht="13" customHeight="1" x14ac:dyDescent="0.35">
      <c r="A1253" s="11">
        <v>1248</v>
      </c>
      <c r="B1253" s="47">
        <v>206368539</v>
      </c>
      <c r="C1253" s="94" t="s">
        <v>1716</v>
      </c>
      <c r="D1253" s="11" t="s">
        <v>1717</v>
      </c>
      <c r="E1253" s="48" t="s">
        <v>31</v>
      </c>
      <c r="F1253" s="48" t="s">
        <v>74</v>
      </c>
      <c r="G1253" s="11" t="s">
        <v>65</v>
      </c>
      <c r="H1253" s="11" t="s">
        <v>1365</v>
      </c>
      <c r="I1253" s="11">
        <v>1181</v>
      </c>
      <c r="J1253" s="49" t="s">
        <v>39</v>
      </c>
      <c r="K1253" s="49" t="s">
        <v>76</v>
      </c>
      <c r="L1253" s="49" t="s">
        <v>77</v>
      </c>
      <c r="M1253" s="49" t="s">
        <v>78</v>
      </c>
      <c r="N1253" s="49" t="s">
        <v>89</v>
      </c>
      <c r="O1253" s="49" t="s">
        <v>68</v>
      </c>
      <c r="P1253" s="11" t="s">
        <v>80</v>
      </c>
      <c r="Q1253" s="11" t="s">
        <v>96</v>
      </c>
      <c r="R1253" s="11" t="s">
        <v>2826</v>
      </c>
      <c r="S1253" s="11" t="s">
        <v>2827</v>
      </c>
      <c r="T1253" s="90" t="s">
        <v>10</v>
      </c>
      <c r="U1253" s="90"/>
      <c r="V1253" s="51">
        <v>45957</v>
      </c>
      <c r="W1253" s="49" t="s">
        <v>68</v>
      </c>
    </row>
    <row r="1254" spans="1:23" ht="13" customHeight="1" x14ac:dyDescent="0.35">
      <c r="A1254" s="11">
        <v>1249</v>
      </c>
      <c r="B1254" s="47">
        <v>203513400</v>
      </c>
      <c r="C1254" s="94" t="s">
        <v>1400</v>
      </c>
      <c r="D1254" s="11" t="s">
        <v>1401</v>
      </c>
      <c r="E1254" s="48" t="s">
        <v>31</v>
      </c>
      <c r="F1254" s="48" t="s">
        <v>74</v>
      </c>
      <c r="G1254" s="11" t="s">
        <v>65</v>
      </c>
      <c r="H1254" s="11" t="s">
        <v>1365</v>
      </c>
      <c r="I1254" s="11">
        <v>1181</v>
      </c>
      <c r="J1254" s="49" t="s">
        <v>32</v>
      </c>
      <c r="K1254" s="49" t="s">
        <v>76</v>
      </c>
      <c r="L1254" s="49" t="s">
        <v>77</v>
      </c>
      <c r="M1254" s="49" t="s">
        <v>78</v>
      </c>
      <c r="N1254" s="48" t="s">
        <v>79</v>
      </c>
      <c r="O1254" s="49" t="s">
        <v>68</v>
      </c>
      <c r="P1254" s="11" t="s">
        <v>80</v>
      </c>
      <c r="Q1254" s="11" t="s">
        <v>81</v>
      </c>
      <c r="R1254" s="11" t="s">
        <v>1369</v>
      </c>
      <c r="S1254" s="11" t="s">
        <v>1370</v>
      </c>
      <c r="T1254" s="90" t="s">
        <v>10</v>
      </c>
      <c r="U1254" s="90"/>
      <c r="V1254" s="51">
        <v>45463</v>
      </c>
      <c r="W1254" s="49" t="s">
        <v>68</v>
      </c>
    </row>
    <row r="1255" spans="1:23" ht="13" customHeight="1" x14ac:dyDescent="0.35">
      <c r="A1255" s="11">
        <v>1250</v>
      </c>
      <c r="B1255" s="47">
        <v>108067922</v>
      </c>
      <c r="C1255" s="94" t="s">
        <v>1402</v>
      </c>
      <c r="D1255" s="11" t="s">
        <v>1403</v>
      </c>
      <c r="E1255" s="48" t="s">
        <v>34</v>
      </c>
      <c r="F1255" s="48" t="s">
        <v>74</v>
      </c>
      <c r="G1255" s="11" t="s">
        <v>65</v>
      </c>
      <c r="H1255" s="11" t="s">
        <v>1365</v>
      </c>
      <c r="I1255" s="11">
        <v>1182</v>
      </c>
      <c r="J1255" s="49" t="s">
        <v>39</v>
      </c>
      <c r="K1255" s="49" t="s">
        <v>76</v>
      </c>
      <c r="L1255" s="49" t="s">
        <v>77</v>
      </c>
      <c r="M1255" s="49" t="s">
        <v>78</v>
      </c>
      <c r="N1255" s="48" t="s">
        <v>97</v>
      </c>
      <c r="O1255" s="49" t="s">
        <v>68</v>
      </c>
      <c r="P1255" s="11" t="s">
        <v>80</v>
      </c>
      <c r="Q1255" s="11" t="s">
        <v>98</v>
      </c>
      <c r="R1255" s="11" t="s">
        <v>2826</v>
      </c>
      <c r="S1255" s="11" t="s">
        <v>2827</v>
      </c>
      <c r="T1255" s="90" t="s">
        <v>10</v>
      </c>
      <c r="U1255" s="90"/>
      <c r="V1255" s="51">
        <v>44728</v>
      </c>
      <c r="W1255" s="49" t="s">
        <v>68</v>
      </c>
    </row>
    <row r="1256" spans="1:23" ht="13" customHeight="1" x14ac:dyDescent="0.35">
      <c r="A1256" s="11">
        <v>1251</v>
      </c>
      <c r="B1256" s="47">
        <v>203513497</v>
      </c>
      <c r="C1256" s="94" t="s">
        <v>1404</v>
      </c>
      <c r="D1256" s="11" t="s">
        <v>1405</v>
      </c>
      <c r="E1256" s="48" t="s">
        <v>31</v>
      </c>
      <c r="F1256" s="48" t="s">
        <v>74</v>
      </c>
      <c r="G1256" s="11" t="s">
        <v>65</v>
      </c>
      <c r="H1256" s="11" t="s">
        <v>1365</v>
      </c>
      <c r="I1256" s="11">
        <v>1181</v>
      </c>
      <c r="J1256" s="49" t="s">
        <v>39</v>
      </c>
      <c r="K1256" s="49" t="s">
        <v>76</v>
      </c>
      <c r="L1256" s="49" t="s">
        <v>78</v>
      </c>
      <c r="M1256" s="49" t="s">
        <v>92</v>
      </c>
      <c r="N1256" s="48" t="s">
        <v>79</v>
      </c>
      <c r="O1256" s="49" t="s">
        <v>68</v>
      </c>
      <c r="P1256" s="11" t="s">
        <v>80</v>
      </c>
      <c r="Q1256" s="11" t="s">
        <v>81</v>
      </c>
      <c r="R1256" s="11" t="s">
        <v>2826</v>
      </c>
      <c r="S1256" s="11" t="s">
        <v>2827</v>
      </c>
      <c r="T1256" s="90" t="s">
        <v>1</v>
      </c>
      <c r="U1256" s="91"/>
      <c r="V1256" s="51">
        <v>45463</v>
      </c>
      <c r="W1256" s="49" t="s">
        <v>68</v>
      </c>
    </row>
    <row r="1257" spans="1:23" ht="13" customHeight="1" x14ac:dyDescent="0.35">
      <c r="A1257" s="11">
        <v>1252</v>
      </c>
      <c r="B1257" s="47">
        <v>102206142</v>
      </c>
      <c r="C1257" s="94" t="s">
        <v>1407</v>
      </c>
      <c r="D1257" s="11" t="s">
        <v>1408</v>
      </c>
      <c r="E1257" s="48" t="s">
        <v>34</v>
      </c>
      <c r="F1257" s="48" t="s">
        <v>74</v>
      </c>
      <c r="G1257" s="11" t="s">
        <v>65</v>
      </c>
      <c r="H1257" s="11" t="s">
        <v>1365</v>
      </c>
      <c r="I1257" s="11">
        <v>1182</v>
      </c>
      <c r="J1257" s="49" t="s">
        <v>32</v>
      </c>
      <c r="K1257" s="49" t="s">
        <v>76</v>
      </c>
      <c r="L1257" s="49" t="s">
        <v>78</v>
      </c>
      <c r="M1257" s="49" t="s">
        <v>92</v>
      </c>
      <c r="N1257" s="48" t="s">
        <v>108</v>
      </c>
      <c r="O1257" s="49" t="s">
        <v>68</v>
      </c>
      <c r="P1257" s="11" t="s">
        <v>80</v>
      </c>
      <c r="Q1257" s="11" t="s">
        <v>98</v>
      </c>
      <c r="R1257" s="11" t="s">
        <v>1369</v>
      </c>
      <c r="S1257" s="11" t="s">
        <v>1370</v>
      </c>
      <c r="T1257" s="90" t="s">
        <v>1</v>
      </c>
      <c r="U1257" s="90"/>
      <c r="V1257" s="51">
        <v>42868</v>
      </c>
      <c r="W1257" s="49" t="s">
        <v>68</v>
      </c>
    </row>
    <row r="1258" spans="1:23" ht="13" customHeight="1" x14ac:dyDescent="0.35">
      <c r="A1258" s="11">
        <v>1253</v>
      </c>
      <c r="B1258" s="47">
        <v>203635486</v>
      </c>
      <c r="C1258" s="94" t="s">
        <v>1409</v>
      </c>
      <c r="D1258" s="11" t="s">
        <v>1410</v>
      </c>
      <c r="E1258" s="48" t="s">
        <v>31</v>
      </c>
      <c r="F1258" s="48" t="s">
        <v>74</v>
      </c>
      <c r="G1258" s="11" t="s">
        <v>65</v>
      </c>
      <c r="H1258" s="11" t="s">
        <v>1365</v>
      </c>
      <c r="I1258" s="11">
        <v>1181</v>
      </c>
      <c r="J1258" s="49" t="s">
        <v>32</v>
      </c>
      <c r="K1258" s="49" t="s">
        <v>76</v>
      </c>
      <c r="L1258" s="49" t="s">
        <v>92</v>
      </c>
      <c r="M1258" s="49" t="s">
        <v>84</v>
      </c>
      <c r="N1258" s="48" t="s">
        <v>79</v>
      </c>
      <c r="O1258" s="49" t="s">
        <v>68</v>
      </c>
      <c r="P1258" s="11" t="s">
        <v>80</v>
      </c>
      <c r="Q1258" s="11" t="s">
        <v>81</v>
      </c>
      <c r="R1258" s="11" t="s">
        <v>1369</v>
      </c>
      <c r="S1258" s="11" t="s">
        <v>1370</v>
      </c>
      <c r="T1258" s="90" t="s">
        <v>1</v>
      </c>
      <c r="U1258" s="91"/>
      <c r="V1258" s="51">
        <v>45481</v>
      </c>
      <c r="W1258" s="49" t="s">
        <v>68</v>
      </c>
    </row>
    <row r="1259" spans="1:23" ht="13" customHeight="1" x14ac:dyDescent="0.35">
      <c r="A1259" s="11">
        <v>1254</v>
      </c>
      <c r="B1259" s="47">
        <v>205275961</v>
      </c>
      <c r="C1259" s="94" t="s">
        <v>1411</v>
      </c>
      <c r="D1259" s="11" t="s">
        <v>1412</v>
      </c>
      <c r="E1259" s="48" t="s">
        <v>31</v>
      </c>
      <c r="F1259" s="48" t="s">
        <v>74</v>
      </c>
      <c r="G1259" s="11" t="s">
        <v>65</v>
      </c>
      <c r="H1259" s="11" t="s">
        <v>1365</v>
      </c>
      <c r="I1259" s="11">
        <v>1181</v>
      </c>
      <c r="J1259" s="49" t="s">
        <v>32</v>
      </c>
      <c r="K1259" s="49" t="s">
        <v>76</v>
      </c>
      <c r="L1259" s="49" t="s">
        <v>88</v>
      </c>
      <c r="M1259" s="49" t="s">
        <v>95</v>
      </c>
      <c r="N1259" s="48" t="s">
        <v>89</v>
      </c>
      <c r="O1259" s="49" t="s">
        <v>68</v>
      </c>
      <c r="P1259" s="11" t="s">
        <v>80</v>
      </c>
      <c r="Q1259" s="11" t="s">
        <v>90</v>
      </c>
      <c r="R1259" s="11" t="s">
        <v>1369</v>
      </c>
      <c r="S1259" s="11" t="s">
        <v>1370</v>
      </c>
      <c r="T1259" s="90" t="s">
        <v>1</v>
      </c>
      <c r="U1259" s="90"/>
      <c r="V1259" s="51">
        <v>45796</v>
      </c>
      <c r="W1259" s="49" t="s">
        <v>68</v>
      </c>
    </row>
    <row r="1260" spans="1:23" ht="13" customHeight="1" x14ac:dyDescent="0.35">
      <c r="A1260" s="11">
        <v>1255</v>
      </c>
      <c r="B1260" s="47">
        <v>206348024</v>
      </c>
      <c r="C1260" s="94" t="s">
        <v>1718</v>
      </c>
      <c r="D1260" s="11" t="s">
        <v>1719</v>
      </c>
      <c r="E1260" s="48" t="s">
        <v>31</v>
      </c>
      <c r="F1260" s="48" t="s">
        <v>74</v>
      </c>
      <c r="G1260" s="11" t="s">
        <v>65</v>
      </c>
      <c r="H1260" s="11" t="s">
        <v>1365</v>
      </c>
      <c r="I1260" s="11">
        <v>1181</v>
      </c>
      <c r="J1260" s="49" t="s">
        <v>39</v>
      </c>
      <c r="K1260" s="49" t="s">
        <v>76</v>
      </c>
      <c r="L1260" s="49" t="s">
        <v>88</v>
      </c>
      <c r="M1260" s="49" t="s">
        <v>95</v>
      </c>
      <c r="N1260" s="49" t="s">
        <v>89</v>
      </c>
      <c r="O1260" s="49" t="s">
        <v>68</v>
      </c>
      <c r="P1260" s="11" t="s">
        <v>80</v>
      </c>
      <c r="Q1260" s="11" t="s">
        <v>81</v>
      </c>
      <c r="R1260" s="11" t="s">
        <v>2826</v>
      </c>
      <c r="S1260" s="11" t="s">
        <v>2827</v>
      </c>
      <c r="T1260" s="90" t="s">
        <v>1</v>
      </c>
      <c r="U1260" s="91"/>
      <c r="V1260" s="51">
        <v>45957</v>
      </c>
      <c r="W1260" s="49" t="s">
        <v>68</v>
      </c>
    </row>
    <row r="1261" spans="1:23" ht="13" customHeight="1" x14ac:dyDescent="0.35">
      <c r="A1261" s="11">
        <v>1256</v>
      </c>
      <c r="B1261" s="47">
        <v>205275960</v>
      </c>
      <c r="C1261" s="94" t="s">
        <v>1413</v>
      </c>
      <c r="D1261" s="11" t="s">
        <v>1414</v>
      </c>
      <c r="E1261" s="48" t="s">
        <v>31</v>
      </c>
      <c r="F1261" s="48" t="s">
        <v>74</v>
      </c>
      <c r="G1261" s="11" t="s">
        <v>65</v>
      </c>
      <c r="H1261" s="11" t="s">
        <v>1365</v>
      </c>
      <c r="I1261" s="11">
        <v>1181</v>
      </c>
      <c r="J1261" s="49" t="s">
        <v>32</v>
      </c>
      <c r="K1261" s="49" t="s">
        <v>76</v>
      </c>
      <c r="L1261" s="49" t="s">
        <v>92</v>
      </c>
      <c r="M1261" s="49" t="s">
        <v>84</v>
      </c>
      <c r="N1261" s="48" t="s">
        <v>89</v>
      </c>
      <c r="O1261" s="49" t="s">
        <v>68</v>
      </c>
      <c r="P1261" s="11" t="s">
        <v>80</v>
      </c>
      <c r="Q1261" s="11" t="s">
        <v>90</v>
      </c>
      <c r="R1261" s="11" t="s">
        <v>1369</v>
      </c>
      <c r="S1261" s="11" t="s">
        <v>1370</v>
      </c>
      <c r="T1261" s="90" t="s">
        <v>1</v>
      </c>
      <c r="U1261" s="89"/>
      <c r="V1261" s="51">
        <v>45796</v>
      </c>
      <c r="W1261" s="49" t="s">
        <v>68</v>
      </c>
    </row>
    <row r="1262" spans="1:23" ht="13" customHeight="1" x14ac:dyDescent="0.35">
      <c r="A1262" s="11">
        <v>1257</v>
      </c>
      <c r="B1262" s="47">
        <v>206368537</v>
      </c>
      <c r="C1262" s="94" t="s">
        <v>1720</v>
      </c>
      <c r="D1262" s="11" t="s">
        <v>1721</v>
      </c>
      <c r="E1262" s="48" t="s">
        <v>31</v>
      </c>
      <c r="F1262" s="48" t="s">
        <v>74</v>
      </c>
      <c r="G1262" s="11" t="s">
        <v>65</v>
      </c>
      <c r="H1262" s="11" t="s">
        <v>1365</v>
      </c>
      <c r="I1262" s="11">
        <v>1181</v>
      </c>
      <c r="J1262" s="49" t="s">
        <v>39</v>
      </c>
      <c r="K1262" s="49" t="s">
        <v>76</v>
      </c>
      <c r="L1262" s="49" t="s">
        <v>78</v>
      </c>
      <c r="M1262" s="49" t="s">
        <v>92</v>
      </c>
      <c r="N1262" s="49" t="s">
        <v>89</v>
      </c>
      <c r="O1262" s="49" t="s">
        <v>68</v>
      </c>
      <c r="P1262" s="11" t="s">
        <v>80</v>
      </c>
      <c r="Q1262" s="11" t="s">
        <v>96</v>
      </c>
      <c r="R1262" s="11" t="s">
        <v>2826</v>
      </c>
      <c r="S1262" s="11" t="s">
        <v>2827</v>
      </c>
      <c r="T1262" s="90" t="s">
        <v>1</v>
      </c>
      <c r="U1262" s="89"/>
      <c r="V1262" s="51">
        <v>45957</v>
      </c>
      <c r="W1262" s="49" t="s">
        <v>68</v>
      </c>
    </row>
    <row r="1263" spans="1:23" ht="13" customHeight="1" x14ac:dyDescent="0.35">
      <c r="A1263" s="11">
        <v>1258</v>
      </c>
      <c r="B1263" s="47">
        <v>105545779</v>
      </c>
      <c r="C1263" s="94" t="s">
        <v>1415</v>
      </c>
      <c r="D1263" s="11" t="s">
        <v>1416</v>
      </c>
      <c r="E1263" s="48" t="s">
        <v>34</v>
      </c>
      <c r="F1263" s="48" t="s">
        <v>74</v>
      </c>
      <c r="G1263" s="11" t="s">
        <v>65</v>
      </c>
      <c r="H1263" s="11" t="s">
        <v>1365</v>
      </c>
      <c r="I1263" s="11">
        <v>1182</v>
      </c>
      <c r="J1263" s="49" t="s">
        <v>32</v>
      </c>
      <c r="K1263" s="49" t="s">
        <v>76</v>
      </c>
      <c r="L1263" s="49" t="s">
        <v>95</v>
      </c>
      <c r="M1263" s="49" t="s">
        <v>77</v>
      </c>
      <c r="N1263" s="48" t="s">
        <v>108</v>
      </c>
      <c r="O1263" s="49" t="s">
        <v>68</v>
      </c>
      <c r="P1263" s="11" t="s">
        <v>80</v>
      </c>
      <c r="Q1263" s="11" t="s">
        <v>98</v>
      </c>
      <c r="R1263" s="11" t="s">
        <v>1369</v>
      </c>
      <c r="S1263" s="11" t="s">
        <v>1370</v>
      </c>
      <c r="T1263" s="90" t="s">
        <v>10</v>
      </c>
      <c r="U1263" s="89"/>
      <c r="V1263" s="51">
        <v>44724</v>
      </c>
      <c r="W1263" s="49" t="s">
        <v>68</v>
      </c>
    </row>
    <row r="1264" spans="1:23" ht="13" customHeight="1" x14ac:dyDescent="0.35">
      <c r="A1264" s="11">
        <v>1259</v>
      </c>
      <c r="B1264" s="47">
        <v>206361785</v>
      </c>
      <c r="C1264" s="94" t="s">
        <v>1722</v>
      </c>
      <c r="D1264" s="11" t="s">
        <v>1723</v>
      </c>
      <c r="E1264" s="48" t="s">
        <v>31</v>
      </c>
      <c r="F1264" s="48" t="s">
        <v>74</v>
      </c>
      <c r="G1264" s="11" t="s">
        <v>65</v>
      </c>
      <c r="H1264" s="11" t="s">
        <v>1365</v>
      </c>
      <c r="I1264" s="11">
        <v>1181</v>
      </c>
      <c r="J1264" s="49" t="s">
        <v>39</v>
      </c>
      <c r="K1264" s="49" t="s">
        <v>76</v>
      </c>
      <c r="L1264" s="49" t="s">
        <v>88</v>
      </c>
      <c r="M1264" s="49" t="s">
        <v>95</v>
      </c>
      <c r="N1264" s="49" t="s">
        <v>89</v>
      </c>
      <c r="O1264" s="49" t="s">
        <v>68</v>
      </c>
      <c r="P1264" s="11" t="s">
        <v>80</v>
      </c>
      <c r="Q1264" s="11" t="s">
        <v>96</v>
      </c>
      <c r="R1264" s="11" t="s">
        <v>2826</v>
      </c>
      <c r="S1264" s="11" t="s">
        <v>2827</v>
      </c>
      <c r="T1264" s="90" t="s">
        <v>1</v>
      </c>
      <c r="U1264" s="89"/>
      <c r="V1264" s="51">
        <v>45957</v>
      </c>
      <c r="W1264" s="49" t="s">
        <v>68</v>
      </c>
    </row>
    <row r="1265" spans="1:23" ht="13" customHeight="1" x14ac:dyDescent="0.35">
      <c r="A1265" s="11">
        <v>1260</v>
      </c>
      <c r="B1265" s="47">
        <v>203555155</v>
      </c>
      <c r="C1265" s="94" t="s">
        <v>1417</v>
      </c>
      <c r="D1265" s="11" t="s">
        <v>1418</v>
      </c>
      <c r="E1265" s="48" t="s">
        <v>31</v>
      </c>
      <c r="F1265" s="48" t="s">
        <v>74</v>
      </c>
      <c r="G1265" s="11" t="s">
        <v>65</v>
      </c>
      <c r="H1265" s="11" t="s">
        <v>1365</v>
      </c>
      <c r="I1265" s="11">
        <v>1181</v>
      </c>
      <c r="J1265" s="49" t="s">
        <v>32</v>
      </c>
      <c r="K1265" s="49" t="s">
        <v>76</v>
      </c>
      <c r="L1265" s="49" t="s">
        <v>78</v>
      </c>
      <c r="M1265" s="49" t="s">
        <v>92</v>
      </c>
      <c r="N1265" s="48" t="s">
        <v>79</v>
      </c>
      <c r="O1265" s="49" t="s">
        <v>68</v>
      </c>
      <c r="P1265" s="11" t="s">
        <v>80</v>
      </c>
      <c r="Q1265" s="11" t="s">
        <v>81</v>
      </c>
      <c r="R1265" s="11" t="s">
        <v>1369</v>
      </c>
      <c r="S1265" s="11" t="s">
        <v>1370</v>
      </c>
      <c r="T1265" s="90" t="s">
        <v>1</v>
      </c>
      <c r="U1265" s="89"/>
      <c r="V1265" s="51">
        <v>45470</v>
      </c>
      <c r="W1265" s="49" t="s">
        <v>68</v>
      </c>
    </row>
    <row r="1266" spans="1:23" ht="13" customHeight="1" x14ac:dyDescent="0.35">
      <c r="A1266" s="11">
        <v>1261</v>
      </c>
      <c r="B1266" s="47">
        <v>206348026</v>
      </c>
      <c r="C1266" s="94" t="s">
        <v>1724</v>
      </c>
      <c r="D1266" s="11" t="s">
        <v>1725</v>
      </c>
      <c r="E1266" s="48" t="s">
        <v>31</v>
      </c>
      <c r="F1266" s="48" t="s">
        <v>74</v>
      </c>
      <c r="G1266" s="11" t="s">
        <v>65</v>
      </c>
      <c r="H1266" s="11" t="s">
        <v>1365</v>
      </c>
      <c r="I1266" s="11">
        <v>1181</v>
      </c>
      <c r="J1266" s="49" t="s">
        <v>32</v>
      </c>
      <c r="K1266" s="49" t="s">
        <v>76</v>
      </c>
      <c r="L1266" s="49" t="s">
        <v>88</v>
      </c>
      <c r="M1266" s="49" t="s">
        <v>95</v>
      </c>
      <c r="N1266" s="49" t="s">
        <v>89</v>
      </c>
      <c r="O1266" s="49" t="s">
        <v>68</v>
      </c>
      <c r="P1266" s="11" t="s">
        <v>80</v>
      </c>
      <c r="Q1266" s="11" t="s">
        <v>90</v>
      </c>
      <c r="R1266" s="11" t="s">
        <v>1369</v>
      </c>
      <c r="S1266" s="11" t="s">
        <v>1370</v>
      </c>
      <c r="T1266" s="90" t="s">
        <v>1</v>
      </c>
      <c r="U1266" s="91"/>
      <c r="V1266" s="51">
        <v>45957</v>
      </c>
      <c r="W1266" s="49" t="s">
        <v>68</v>
      </c>
    </row>
    <row r="1267" spans="1:23" ht="13" customHeight="1" x14ac:dyDescent="0.35">
      <c r="A1267" s="11">
        <v>1262</v>
      </c>
      <c r="B1267" s="47">
        <v>206348045</v>
      </c>
      <c r="C1267" s="94" t="s">
        <v>1726</v>
      </c>
      <c r="D1267" s="11" t="s">
        <v>1727</v>
      </c>
      <c r="E1267" s="48" t="s">
        <v>31</v>
      </c>
      <c r="F1267" s="48" t="s">
        <v>74</v>
      </c>
      <c r="G1267" s="11" t="s">
        <v>65</v>
      </c>
      <c r="H1267" s="11" t="s">
        <v>1365</v>
      </c>
      <c r="I1267" s="11">
        <v>1181</v>
      </c>
      <c r="J1267" s="49" t="s">
        <v>32</v>
      </c>
      <c r="K1267" s="49" t="s">
        <v>76</v>
      </c>
      <c r="L1267" s="49" t="s">
        <v>88</v>
      </c>
      <c r="M1267" s="49" t="s">
        <v>95</v>
      </c>
      <c r="N1267" s="49" t="s">
        <v>89</v>
      </c>
      <c r="O1267" s="49" t="s">
        <v>68</v>
      </c>
      <c r="P1267" s="11" t="s">
        <v>80</v>
      </c>
      <c r="Q1267" s="11" t="s">
        <v>90</v>
      </c>
      <c r="R1267" s="11" t="s">
        <v>1369</v>
      </c>
      <c r="S1267" s="11" t="s">
        <v>1370</v>
      </c>
      <c r="T1267" s="90" t="s">
        <v>1</v>
      </c>
      <c r="U1267" s="89"/>
      <c r="V1267" s="51">
        <v>45957</v>
      </c>
      <c r="W1267" s="49" t="s">
        <v>68</v>
      </c>
    </row>
    <row r="1268" spans="1:23" ht="13" customHeight="1" x14ac:dyDescent="0.35">
      <c r="A1268" s="11">
        <v>1263</v>
      </c>
      <c r="B1268" s="47">
        <v>206348030</v>
      </c>
      <c r="C1268" s="94" t="s">
        <v>1728</v>
      </c>
      <c r="D1268" s="11" t="s">
        <v>1729</v>
      </c>
      <c r="E1268" s="48" t="s">
        <v>31</v>
      </c>
      <c r="F1268" s="48" t="s">
        <v>74</v>
      </c>
      <c r="G1268" s="11" t="s">
        <v>65</v>
      </c>
      <c r="H1268" s="11" t="s">
        <v>1365</v>
      </c>
      <c r="I1268" s="11">
        <v>1181</v>
      </c>
      <c r="J1268" s="49" t="s">
        <v>32</v>
      </c>
      <c r="K1268" s="49" t="s">
        <v>76</v>
      </c>
      <c r="L1268" s="49" t="s">
        <v>78</v>
      </c>
      <c r="M1268" s="49" t="s">
        <v>92</v>
      </c>
      <c r="N1268" s="49" t="s">
        <v>89</v>
      </c>
      <c r="O1268" s="49" t="s">
        <v>68</v>
      </c>
      <c r="P1268" s="11" t="s">
        <v>80</v>
      </c>
      <c r="Q1268" s="11" t="s">
        <v>90</v>
      </c>
      <c r="R1268" s="11" t="s">
        <v>1369</v>
      </c>
      <c r="S1268" s="11" t="s">
        <v>1370</v>
      </c>
      <c r="T1268" s="90" t="s">
        <v>1</v>
      </c>
      <c r="U1268" s="89"/>
      <c r="V1268" s="51">
        <v>45957</v>
      </c>
      <c r="W1268" s="49" t="s">
        <v>68</v>
      </c>
    </row>
    <row r="1269" spans="1:23" ht="13" customHeight="1" x14ac:dyDescent="0.35">
      <c r="A1269" s="11">
        <v>1264</v>
      </c>
      <c r="B1269" s="47">
        <v>102582351</v>
      </c>
      <c r="C1269" s="94" t="s">
        <v>1421</v>
      </c>
      <c r="D1269" s="11" t="s">
        <v>1422</v>
      </c>
      <c r="E1269" s="48" t="s">
        <v>34</v>
      </c>
      <c r="F1269" s="48" t="s">
        <v>74</v>
      </c>
      <c r="G1269" s="11" t="s">
        <v>65</v>
      </c>
      <c r="H1269" s="11" t="s">
        <v>1365</v>
      </c>
      <c r="I1269" s="11">
        <v>1182</v>
      </c>
      <c r="J1269" s="49" t="s">
        <v>32</v>
      </c>
      <c r="K1269" s="49" t="s">
        <v>76</v>
      </c>
      <c r="L1269" s="49" t="s">
        <v>95</v>
      </c>
      <c r="M1269" s="49" t="s">
        <v>77</v>
      </c>
      <c r="N1269" s="48" t="s">
        <v>108</v>
      </c>
      <c r="O1269" s="49" t="s">
        <v>68</v>
      </c>
      <c r="P1269" s="11" t="s">
        <v>80</v>
      </c>
      <c r="Q1269" s="11" t="s">
        <v>98</v>
      </c>
      <c r="R1269" s="11" t="s">
        <v>1369</v>
      </c>
      <c r="S1269" s="11" t="s">
        <v>1370</v>
      </c>
      <c r="T1269" s="90" t="s">
        <v>10</v>
      </c>
      <c r="U1269" s="91"/>
      <c r="V1269" s="51">
        <v>42962</v>
      </c>
      <c r="W1269" s="49" t="s">
        <v>68</v>
      </c>
    </row>
    <row r="1270" spans="1:23" ht="13" customHeight="1" x14ac:dyDescent="0.35">
      <c r="A1270" s="11">
        <v>1265</v>
      </c>
      <c r="B1270" s="47">
        <v>206348048</v>
      </c>
      <c r="C1270" s="94" t="s">
        <v>1730</v>
      </c>
      <c r="D1270" s="11" t="s">
        <v>1731</v>
      </c>
      <c r="E1270" s="48" t="s">
        <v>31</v>
      </c>
      <c r="F1270" s="48" t="s">
        <v>74</v>
      </c>
      <c r="G1270" s="11" t="s">
        <v>65</v>
      </c>
      <c r="H1270" s="11" t="s">
        <v>1365</v>
      </c>
      <c r="I1270" s="11">
        <v>1181</v>
      </c>
      <c r="J1270" s="49" t="s">
        <v>32</v>
      </c>
      <c r="K1270" s="49" t="s">
        <v>76</v>
      </c>
      <c r="L1270" s="49" t="s">
        <v>88</v>
      </c>
      <c r="M1270" s="49" t="s">
        <v>95</v>
      </c>
      <c r="N1270" s="49" t="s">
        <v>89</v>
      </c>
      <c r="O1270" s="49" t="s">
        <v>68</v>
      </c>
      <c r="P1270" s="11" t="s">
        <v>80</v>
      </c>
      <c r="Q1270" s="11" t="s">
        <v>90</v>
      </c>
      <c r="R1270" s="11" t="s">
        <v>1369</v>
      </c>
      <c r="S1270" s="11" t="s">
        <v>1370</v>
      </c>
      <c r="T1270" s="90" t="s">
        <v>1</v>
      </c>
      <c r="U1270" s="89"/>
      <c r="V1270" s="51">
        <v>45957</v>
      </c>
      <c r="W1270" s="49" t="s">
        <v>68</v>
      </c>
    </row>
    <row r="1271" spans="1:23" ht="13" customHeight="1" x14ac:dyDescent="0.35">
      <c r="A1271" s="11">
        <v>1266</v>
      </c>
      <c r="B1271" s="47">
        <v>206348049</v>
      </c>
      <c r="C1271" s="94" t="s">
        <v>2544</v>
      </c>
      <c r="D1271" s="11" t="s">
        <v>2545</v>
      </c>
      <c r="E1271" s="48" t="s">
        <v>31</v>
      </c>
      <c r="F1271" s="48" t="s">
        <v>74</v>
      </c>
      <c r="G1271" s="11" t="s">
        <v>65</v>
      </c>
      <c r="H1271" s="11" t="s">
        <v>1365</v>
      </c>
      <c r="I1271" s="11">
        <v>1181</v>
      </c>
      <c r="J1271" s="49" t="s">
        <v>32</v>
      </c>
      <c r="K1271" s="49" t="s">
        <v>76</v>
      </c>
      <c r="L1271" s="49" t="s">
        <v>95</v>
      </c>
      <c r="M1271" s="49" t="s">
        <v>77</v>
      </c>
      <c r="N1271" s="49" t="s">
        <v>89</v>
      </c>
      <c r="O1271" s="49" t="s">
        <v>68</v>
      </c>
      <c r="P1271" s="11" t="s">
        <v>80</v>
      </c>
      <c r="Q1271" s="11" t="s">
        <v>90</v>
      </c>
      <c r="R1271" s="11" t="s">
        <v>1369</v>
      </c>
      <c r="S1271" s="11" t="s">
        <v>1370</v>
      </c>
      <c r="T1271" s="90" t="s">
        <v>10</v>
      </c>
      <c r="U1271" s="91"/>
      <c r="V1271" s="51">
        <v>45957</v>
      </c>
      <c r="W1271" s="49" t="s">
        <v>68</v>
      </c>
    </row>
    <row r="1272" spans="1:23" ht="13" customHeight="1" x14ac:dyDescent="0.35">
      <c r="A1272" s="11">
        <v>1267</v>
      </c>
      <c r="B1272" s="47">
        <v>206348041</v>
      </c>
      <c r="C1272" s="94" t="s">
        <v>1732</v>
      </c>
      <c r="D1272" s="11" t="s">
        <v>1733</v>
      </c>
      <c r="E1272" s="48" t="s">
        <v>31</v>
      </c>
      <c r="F1272" s="48" t="s">
        <v>74</v>
      </c>
      <c r="G1272" s="11" t="s">
        <v>65</v>
      </c>
      <c r="H1272" s="11" t="s">
        <v>1365</v>
      </c>
      <c r="I1272" s="11">
        <v>1181</v>
      </c>
      <c r="J1272" s="49" t="s">
        <v>39</v>
      </c>
      <c r="K1272" s="49" t="s">
        <v>76</v>
      </c>
      <c r="L1272" s="49" t="s">
        <v>92</v>
      </c>
      <c r="M1272" s="49" t="s">
        <v>84</v>
      </c>
      <c r="N1272" s="49" t="s">
        <v>89</v>
      </c>
      <c r="O1272" s="49" t="s">
        <v>68</v>
      </c>
      <c r="P1272" s="11" t="s">
        <v>80</v>
      </c>
      <c r="Q1272" s="11" t="s">
        <v>90</v>
      </c>
      <c r="R1272" s="11" t="s">
        <v>2826</v>
      </c>
      <c r="S1272" s="11" t="s">
        <v>2827</v>
      </c>
      <c r="T1272" s="90" t="s">
        <v>1</v>
      </c>
      <c r="U1272" s="90"/>
      <c r="V1272" s="51">
        <v>45957</v>
      </c>
      <c r="W1272" s="49" t="s">
        <v>68</v>
      </c>
    </row>
    <row r="1273" spans="1:23" ht="13" customHeight="1" x14ac:dyDescent="0.35">
      <c r="A1273" s="11">
        <v>1268</v>
      </c>
      <c r="B1273" s="47">
        <v>203635597</v>
      </c>
      <c r="C1273" s="94" t="s">
        <v>1423</v>
      </c>
      <c r="D1273" s="11" t="s">
        <v>1424</v>
      </c>
      <c r="E1273" s="48" t="s">
        <v>31</v>
      </c>
      <c r="F1273" s="48" t="s">
        <v>74</v>
      </c>
      <c r="G1273" s="11" t="s">
        <v>65</v>
      </c>
      <c r="H1273" s="11" t="s">
        <v>1365</v>
      </c>
      <c r="I1273" s="11">
        <v>1181</v>
      </c>
      <c r="J1273" s="49" t="s">
        <v>32</v>
      </c>
      <c r="K1273" s="49" t="s">
        <v>76</v>
      </c>
      <c r="L1273" s="49" t="s">
        <v>85</v>
      </c>
      <c r="M1273" s="49" t="s">
        <v>88</v>
      </c>
      <c r="N1273" s="48" t="s">
        <v>79</v>
      </c>
      <c r="O1273" s="49" t="s">
        <v>68</v>
      </c>
      <c r="P1273" s="11" t="s">
        <v>80</v>
      </c>
      <c r="Q1273" s="11" t="s">
        <v>81</v>
      </c>
      <c r="R1273" s="11" t="s">
        <v>1369</v>
      </c>
      <c r="S1273" s="11" t="s">
        <v>1370</v>
      </c>
      <c r="T1273" s="90" t="s">
        <v>1</v>
      </c>
      <c r="U1273" s="89"/>
      <c r="V1273" s="51">
        <v>45481</v>
      </c>
      <c r="W1273" s="49" t="s">
        <v>68</v>
      </c>
    </row>
    <row r="1274" spans="1:23" ht="13" customHeight="1" x14ac:dyDescent="0.35">
      <c r="A1274" s="11">
        <v>1269</v>
      </c>
      <c r="B1274" s="47">
        <v>204013735</v>
      </c>
      <c r="C1274" s="94" t="s">
        <v>1425</v>
      </c>
      <c r="D1274" s="11" t="s">
        <v>1426</v>
      </c>
      <c r="E1274" s="48" t="s">
        <v>31</v>
      </c>
      <c r="F1274" s="48" t="s">
        <v>74</v>
      </c>
      <c r="G1274" s="11" t="s">
        <v>65</v>
      </c>
      <c r="H1274" s="11" t="s">
        <v>1365</v>
      </c>
      <c r="I1274" s="11">
        <v>1181</v>
      </c>
      <c r="J1274" s="49" t="s">
        <v>32</v>
      </c>
      <c r="K1274" s="49" t="s">
        <v>76</v>
      </c>
      <c r="L1274" s="49" t="s">
        <v>95</v>
      </c>
      <c r="M1274" s="49" t="s">
        <v>77</v>
      </c>
      <c r="N1274" s="48" t="s">
        <v>79</v>
      </c>
      <c r="O1274" s="49" t="s">
        <v>68</v>
      </c>
      <c r="P1274" s="11" t="s">
        <v>80</v>
      </c>
      <c r="Q1274" s="11" t="s">
        <v>81</v>
      </c>
      <c r="R1274" s="11" t="s">
        <v>1369</v>
      </c>
      <c r="S1274" s="11" t="s">
        <v>1370</v>
      </c>
      <c r="T1274" s="90" t="s">
        <v>10</v>
      </c>
      <c r="U1274" s="91"/>
      <c r="V1274" s="51">
        <v>45551</v>
      </c>
      <c r="W1274" s="49" t="s">
        <v>68</v>
      </c>
    </row>
    <row r="1275" spans="1:23" ht="13" customHeight="1" x14ac:dyDescent="0.35">
      <c r="A1275" s="11">
        <v>1270</v>
      </c>
      <c r="B1275" s="47">
        <v>204341639</v>
      </c>
      <c r="C1275" s="94" t="s">
        <v>131</v>
      </c>
      <c r="D1275" s="11" t="s">
        <v>2815</v>
      </c>
      <c r="E1275" s="48" t="s">
        <v>31</v>
      </c>
      <c r="F1275" s="48" t="s">
        <v>74</v>
      </c>
      <c r="G1275" s="11" t="s">
        <v>65</v>
      </c>
      <c r="H1275" s="11" t="s">
        <v>1365</v>
      </c>
      <c r="I1275" s="11">
        <v>1299</v>
      </c>
      <c r="J1275" s="49" t="s">
        <v>32</v>
      </c>
      <c r="K1275" s="49" t="s">
        <v>76</v>
      </c>
      <c r="L1275" s="49" t="s">
        <v>92</v>
      </c>
      <c r="M1275" s="49" t="s">
        <v>84</v>
      </c>
      <c r="N1275" s="48" t="s">
        <v>86</v>
      </c>
      <c r="O1275" s="49" t="s">
        <v>68</v>
      </c>
      <c r="P1275" s="11" t="s">
        <v>80</v>
      </c>
      <c r="Q1275" s="11" t="s">
        <v>87</v>
      </c>
      <c r="R1275" s="11" t="s">
        <v>1369</v>
      </c>
      <c r="S1275" s="11" t="s">
        <v>1370</v>
      </c>
      <c r="T1275" s="90" t="s">
        <v>1</v>
      </c>
      <c r="U1275" s="89"/>
      <c r="V1275" s="51">
        <v>45589</v>
      </c>
      <c r="W1275" s="49" t="s">
        <v>68</v>
      </c>
    </row>
    <row r="1276" spans="1:23" ht="13" customHeight="1" x14ac:dyDescent="0.35">
      <c r="A1276" s="11">
        <v>1271</v>
      </c>
      <c r="B1276" s="47">
        <v>205276097</v>
      </c>
      <c r="C1276" s="94" t="s">
        <v>1427</v>
      </c>
      <c r="D1276" s="11" t="s">
        <v>1428</v>
      </c>
      <c r="E1276" s="48" t="s">
        <v>31</v>
      </c>
      <c r="F1276" s="48" t="s">
        <v>74</v>
      </c>
      <c r="G1276" s="11" t="s">
        <v>65</v>
      </c>
      <c r="H1276" s="11" t="s">
        <v>1365</v>
      </c>
      <c r="I1276" s="11">
        <v>1181</v>
      </c>
      <c r="J1276" s="49" t="s">
        <v>39</v>
      </c>
      <c r="K1276" s="49" t="s">
        <v>76</v>
      </c>
      <c r="L1276" s="49" t="s">
        <v>84</v>
      </c>
      <c r="M1276" s="49" t="s">
        <v>85</v>
      </c>
      <c r="N1276" s="48" t="s">
        <v>89</v>
      </c>
      <c r="O1276" s="49" t="s">
        <v>68</v>
      </c>
      <c r="P1276" s="11" t="s">
        <v>80</v>
      </c>
      <c r="Q1276" s="11" t="s">
        <v>90</v>
      </c>
      <c r="R1276" s="11" t="s">
        <v>2826</v>
      </c>
      <c r="S1276" s="11" t="s">
        <v>2827</v>
      </c>
      <c r="T1276" s="90" t="s">
        <v>1</v>
      </c>
      <c r="U1276" s="89"/>
      <c r="V1276" s="51">
        <v>45796</v>
      </c>
      <c r="W1276" s="49" t="s">
        <v>68</v>
      </c>
    </row>
    <row r="1277" spans="1:23" ht="13" customHeight="1" x14ac:dyDescent="0.35">
      <c r="A1277" s="11">
        <v>1272</v>
      </c>
      <c r="B1277" s="47">
        <v>206958286</v>
      </c>
      <c r="C1277" s="94" t="s">
        <v>2209</v>
      </c>
      <c r="D1277" s="11" t="s">
        <v>2118</v>
      </c>
      <c r="E1277" s="48" t="s">
        <v>31</v>
      </c>
      <c r="F1277" s="48" t="s">
        <v>74</v>
      </c>
      <c r="G1277" s="11" t="s">
        <v>65</v>
      </c>
      <c r="H1277" s="11" t="s">
        <v>1365</v>
      </c>
      <c r="I1277" s="11">
        <v>1299</v>
      </c>
      <c r="J1277" s="49" t="s">
        <v>32</v>
      </c>
      <c r="K1277" s="49" t="s">
        <v>76</v>
      </c>
      <c r="L1277" s="49" t="s">
        <v>77</v>
      </c>
      <c r="M1277" s="49" t="s">
        <v>78</v>
      </c>
      <c r="N1277" s="49" t="s">
        <v>89</v>
      </c>
      <c r="O1277" s="49" t="s">
        <v>68</v>
      </c>
      <c r="P1277" s="11" t="s">
        <v>80</v>
      </c>
      <c r="Q1277" s="11" t="s">
        <v>96</v>
      </c>
      <c r="R1277" s="11" t="s">
        <v>1369</v>
      </c>
      <c r="S1277" s="11" t="s">
        <v>1370</v>
      </c>
      <c r="T1277" s="90" t="s">
        <v>10</v>
      </c>
      <c r="U1277" s="89"/>
      <c r="V1277" s="51">
        <v>46048</v>
      </c>
      <c r="W1277" s="49" t="s">
        <v>68</v>
      </c>
    </row>
    <row r="1278" spans="1:23" ht="13" customHeight="1" x14ac:dyDescent="0.35">
      <c r="A1278" s="11">
        <v>1273</v>
      </c>
      <c r="B1278" s="47">
        <v>201635982</v>
      </c>
      <c r="C1278" s="94" t="s">
        <v>1429</v>
      </c>
      <c r="D1278" s="11" t="s">
        <v>1430</v>
      </c>
      <c r="E1278" s="48" t="s">
        <v>31</v>
      </c>
      <c r="F1278" s="48" t="s">
        <v>74</v>
      </c>
      <c r="G1278" s="11" t="s">
        <v>65</v>
      </c>
      <c r="H1278" s="11" t="s">
        <v>1365</v>
      </c>
      <c r="I1278" s="11">
        <v>1181</v>
      </c>
      <c r="J1278" s="49" t="s">
        <v>32</v>
      </c>
      <c r="K1278" s="49" t="s">
        <v>76</v>
      </c>
      <c r="L1278" s="49" t="s">
        <v>84</v>
      </c>
      <c r="M1278" s="49" t="s">
        <v>85</v>
      </c>
      <c r="N1278" s="48" t="s">
        <v>79</v>
      </c>
      <c r="O1278" s="49" t="s">
        <v>68</v>
      </c>
      <c r="P1278" s="11" t="s">
        <v>80</v>
      </c>
      <c r="Q1278" s="11" t="s">
        <v>81</v>
      </c>
      <c r="R1278" s="11" t="s">
        <v>1369</v>
      </c>
      <c r="S1278" s="11" t="s">
        <v>1370</v>
      </c>
      <c r="T1278" s="90" t="s">
        <v>1</v>
      </c>
      <c r="U1278" s="89"/>
      <c r="V1278" s="51">
        <v>45530</v>
      </c>
      <c r="W1278" s="49" t="s">
        <v>68</v>
      </c>
    </row>
    <row r="1279" spans="1:23" ht="13" customHeight="1" x14ac:dyDescent="0.35">
      <c r="A1279" s="11">
        <v>1274</v>
      </c>
      <c r="B1279" s="47">
        <v>206957733</v>
      </c>
      <c r="C1279" s="94" t="s">
        <v>2271</v>
      </c>
      <c r="D1279" s="11" t="s">
        <v>2272</v>
      </c>
      <c r="E1279" s="113" t="s">
        <v>31</v>
      </c>
      <c r="F1279" s="48" t="s">
        <v>74</v>
      </c>
      <c r="G1279" s="11" t="s">
        <v>65</v>
      </c>
      <c r="H1279" s="11" t="s">
        <v>1365</v>
      </c>
      <c r="I1279" s="11">
        <v>1181</v>
      </c>
      <c r="J1279" s="49" t="s">
        <v>39</v>
      </c>
      <c r="K1279" s="49" t="s">
        <v>76</v>
      </c>
      <c r="L1279" s="49" t="s">
        <v>77</v>
      </c>
      <c r="M1279" s="49" t="s">
        <v>78</v>
      </c>
      <c r="N1279" s="49" t="s">
        <v>89</v>
      </c>
      <c r="O1279" s="49" t="s">
        <v>68</v>
      </c>
      <c r="P1279" s="49" t="s">
        <v>80</v>
      </c>
      <c r="Q1279" s="49" t="s">
        <v>96</v>
      </c>
      <c r="R1279" s="49" t="s">
        <v>2826</v>
      </c>
      <c r="S1279" s="49" t="s">
        <v>2827</v>
      </c>
      <c r="T1279" s="90" t="s">
        <v>10</v>
      </c>
      <c r="U1279" s="90"/>
      <c r="V1279" s="51">
        <v>46048</v>
      </c>
      <c r="W1279" s="49" t="s">
        <v>68</v>
      </c>
    </row>
    <row r="1280" spans="1:23" ht="13" customHeight="1" x14ac:dyDescent="0.35">
      <c r="A1280" s="11">
        <v>1275</v>
      </c>
      <c r="B1280" s="47">
        <v>206368538</v>
      </c>
      <c r="C1280" s="94" t="s">
        <v>1735</v>
      </c>
      <c r="D1280" s="11" t="s">
        <v>1736</v>
      </c>
      <c r="E1280" s="48" t="s">
        <v>31</v>
      </c>
      <c r="F1280" s="48" t="s">
        <v>74</v>
      </c>
      <c r="G1280" s="11" t="s">
        <v>65</v>
      </c>
      <c r="H1280" s="11" t="s">
        <v>1365</v>
      </c>
      <c r="I1280" s="11">
        <v>1181</v>
      </c>
      <c r="J1280" s="49" t="s">
        <v>39</v>
      </c>
      <c r="K1280" s="49" t="s">
        <v>76</v>
      </c>
      <c r="L1280" s="49" t="s">
        <v>77</v>
      </c>
      <c r="M1280" s="49" t="s">
        <v>78</v>
      </c>
      <c r="N1280" s="49" t="s">
        <v>89</v>
      </c>
      <c r="O1280" s="49" t="s">
        <v>68</v>
      </c>
      <c r="P1280" s="11" t="s">
        <v>80</v>
      </c>
      <c r="Q1280" s="11" t="s">
        <v>96</v>
      </c>
      <c r="R1280" s="11" t="s">
        <v>2826</v>
      </c>
      <c r="S1280" s="11" t="s">
        <v>2827</v>
      </c>
      <c r="T1280" s="90" t="s">
        <v>10</v>
      </c>
      <c r="U1280" s="89"/>
      <c r="V1280" s="51">
        <v>45957</v>
      </c>
      <c r="W1280" s="49" t="s">
        <v>68</v>
      </c>
    </row>
    <row r="1281" spans="1:23" ht="13" customHeight="1" x14ac:dyDescent="0.35">
      <c r="A1281" s="11">
        <v>1276</v>
      </c>
      <c r="B1281" s="47">
        <v>203635498</v>
      </c>
      <c r="C1281" s="94" t="s">
        <v>1431</v>
      </c>
      <c r="D1281" s="11" t="s">
        <v>1432</v>
      </c>
      <c r="E1281" s="48" t="s">
        <v>31</v>
      </c>
      <c r="F1281" s="48" t="s">
        <v>74</v>
      </c>
      <c r="G1281" s="11" t="s">
        <v>65</v>
      </c>
      <c r="H1281" s="11" t="s">
        <v>1365</v>
      </c>
      <c r="I1281" s="11">
        <v>1181</v>
      </c>
      <c r="J1281" s="49" t="s">
        <v>39</v>
      </c>
      <c r="K1281" s="49" t="s">
        <v>76</v>
      </c>
      <c r="L1281" s="49" t="s">
        <v>88</v>
      </c>
      <c r="M1281" s="49" t="s">
        <v>95</v>
      </c>
      <c r="N1281" s="48" t="s">
        <v>79</v>
      </c>
      <c r="O1281" s="49" t="s">
        <v>68</v>
      </c>
      <c r="P1281" s="11" t="s">
        <v>80</v>
      </c>
      <c r="Q1281" s="11" t="s">
        <v>81</v>
      </c>
      <c r="R1281" s="11" t="s">
        <v>2826</v>
      </c>
      <c r="S1281" s="11" t="s">
        <v>2827</v>
      </c>
      <c r="T1281" s="90" t="s">
        <v>1</v>
      </c>
      <c r="U1281" s="89"/>
      <c r="V1281" s="51">
        <v>45481</v>
      </c>
      <c r="W1281" s="49" t="s">
        <v>68</v>
      </c>
    </row>
    <row r="1282" spans="1:23" ht="13" customHeight="1" x14ac:dyDescent="0.35">
      <c r="A1282" s="11">
        <v>1277</v>
      </c>
      <c r="B1282" s="47">
        <v>205845548</v>
      </c>
      <c r="C1282" s="94" t="s">
        <v>1433</v>
      </c>
      <c r="D1282" s="11" t="s">
        <v>1434</v>
      </c>
      <c r="E1282" s="48" t="s">
        <v>31</v>
      </c>
      <c r="F1282" s="48" t="s">
        <v>74</v>
      </c>
      <c r="G1282" s="11" t="s">
        <v>65</v>
      </c>
      <c r="H1282" s="11" t="s">
        <v>1365</v>
      </c>
      <c r="I1282" s="11">
        <v>1181</v>
      </c>
      <c r="J1282" s="49" t="s">
        <v>39</v>
      </c>
      <c r="K1282" s="49" t="s">
        <v>76</v>
      </c>
      <c r="L1282" s="49" t="s">
        <v>92</v>
      </c>
      <c r="M1282" s="49" t="s">
        <v>84</v>
      </c>
      <c r="N1282" s="49" t="s">
        <v>89</v>
      </c>
      <c r="O1282" s="49" t="s">
        <v>68</v>
      </c>
      <c r="P1282" s="11" t="s">
        <v>80</v>
      </c>
      <c r="Q1282" s="11" t="s">
        <v>90</v>
      </c>
      <c r="R1282" s="11" t="s">
        <v>2826</v>
      </c>
      <c r="S1282" s="11" t="s">
        <v>2827</v>
      </c>
      <c r="T1282" s="90" t="s">
        <v>1</v>
      </c>
      <c r="U1282" s="89"/>
      <c r="V1282" s="51">
        <v>45894</v>
      </c>
      <c r="W1282" s="49" t="s">
        <v>68</v>
      </c>
    </row>
    <row r="1283" spans="1:23" ht="13" customHeight="1" x14ac:dyDescent="0.35">
      <c r="A1283" s="11">
        <v>1278</v>
      </c>
      <c r="B1283" s="47">
        <v>206348029</v>
      </c>
      <c r="C1283" s="94" t="s">
        <v>1737</v>
      </c>
      <c r="D1283" s="11" t="s">
        <v>1738</v>
      </c>
      <c r="E1283" s="48" t="s">
        <v>31</v>
      </c>
      <c r="F1283" s="48" t="s">
        <v>74</v>
      </c>
      <c r="G1283" s="11" t="s">
        <v>65</v>
      </c>
      <c r="H1283" s="11" t="s">
        <v>1365</v>
      </c>
      <c r="I1283" s="11">
        <v>1181</v>
      </c>
      <c r="J1283" s="49" t="s">
        <v>39</v>
      </c>
      <c r="K1283" s="49" t="s">
        <v>76</v>
      </c>
      <c r="L1283" s="49" t="s">
        <v>77</v>
      </c>
      <c r="M1283" s="49" t="s">
        <v>78</v>
      </c>
      <c r="N1283" s="49" t="s">
        <v>89</v>
      </c>
      <c r="O1283" s="49" t="s">
        <v>68</v>
      </c>
      <c r="P1283" s="11" t="s">
        <v>80</v>
      </c>
      <c r="Q1283" s="11" t="s">
        <v>90</v>
      </c>
      <c r="R1283" s="11" t="s">
        <v>2826</v>
      </c>
      <c r="S1283" s="11" t="s">
        <v>2827</v>
      </c>
      <c r="T1283" s="90" t="s">
        <v>10</v>
      </c>
      <c r="U1283" s="89"/>
      <c r="V1283" s="51">
        <v>45957</v>
      </c>
      <c r="W1283" s="49" t="s">
        <v>68</v>
      </c>
    </row>
    <row r="1284" spans="1:23" ht="13" customHeight="1" x14ac:dyDescent="0.35">
      <c r="A1284" s="11">
        <v>1279</v>
      </c>
      <c r="B1284" s="47">
        <v>206958064</v>
      </c>
      <c r="C1284" s="94" t="s">
        <v>2273</v>
      </c>
      <c r="D1284" s="11" t="s">
        <v>2274</v>
      </c>
      <c r="E1284" s="113" t="s">
        <v>31</v>
      </c>
      <c r="F1284" s="48" t="s">
        <v>74</v>
      </c>
      <c r="G1284" s="11" t="s">
        <v>65</v>
      </c>
      <c r="H1284" s="11" t="s">
        <v>1365</v>
      </c>
      <c r="I1284" s="11">
        <v>1181</v>
      </c>
      <c r="J1284" s="49" t="s">
        <v>39</v>
      </c>
      <c r="K1284" s="49" t="s">
        <v>76</v>
      </c>
      <c r="L1284" s="49" t="s">
        <v>77</v>
      </c>
      <c r="M1284" s="49" t="s">
        <v>78</v>
      </c>
      <c r="N1284" s="49" t="s">
        <v>89</v>
      </c>
      <c r="O1284" s="49" t="s">
        <v>68</v>
      </c>
      <c r="P1284" s="49" t="s">
        <v>80</v>
      </c>
      <c r="Q1284" s="49" t="s">
        <v>96</v>
      </c>
      <c r="R1284" s="49" t="s">
        <v>2826</v>
      </c>
      <c r="S1284" s="49" t="s">
        <v>2827</v>
      </c>
      <c r="T1284" s="90" t="s">
        <v>10</v>
      </c>
      <c r="U1284" s="89"/>
      <c r="V1284" s="51">
        <v>46048</v>
      </c>
      <c r="W1284" s="49" t="s">
        <v>68</v>
      </c>
    </row>
    <row r="1285" spans="1:23" ht="13" customHeight="1" x14ac:dyDescent="0.35">
      <c r="A1285" s="11">
        <v>1280</v>
      </c>
      <c r="B1285" s="47">
        <v>206958070</v>
      </c>
      <c r="C1285" s="94" t="s">
        <v>2275</v>
      </c>
      <c r="D1285" s="11" t="s">
        <v>2276</v>
      </c>
      <c r="E1285" s="113" t="s">
        <v>31</v>
      </c>
      <c r="F1285" s="48" t="s">
        <v>74</v>
      </c>
      <c r="G1285" s="11" t="s">
        <v>65</v>
      </c>
      <c r="H1285" s="11" t="s">
        <v>1365</v>
      </c>
      <c r="I1285" s="11">
        <v>1181</v>
      </c>
      <c r="J1285" s="49" t="s">
        <v>39</v>
      </c>
      <c r="K1285" s="49" t="s">
        <v>76</v>
      </c>
      <c r="L1285" s="49" t="s">
        <v>84</v>
      </c>
      <c r="M1285" s="49" t="s">
        <v>85</v>
      </c>
      <c r="N1285" s="49" t="s">
        <v>89</v>
      </c>
      <c r="O1285" s="49" t="s">
        <v>68</v>
      </c>
      <c r="P1285" s="49" t="s">
        <v>80</v>
      </c>
      <c r="Q1285" s="49" t="s">
        <v>96</v>
      </c>
      <c r="R1285" s="49" t="s">
        <v>2826</v>
      </c>
      <c r="S1285" s="49" t="s">
        <v>2827</v>
      </c>
      <c r="T1285" s="90" t="s">
        <v>1</v>
      </c>
      <c r="U1285" s="91"/>
      <c r="V1285" s="51">
        <v>46048</v>
      </c>
      <c r="W1285" s="49" t="s">
        <v>68</v>
      </c>
    </row>
    <row r="1286" spans="1:23" ht="13" customHeight="1" x14ac:dyDescent="0.35">
      <c r="A1286" s="11">
        <v>1281</v>
      </c>
      <c r="B1286" s="47">
        <v>206348042</v>
      </c>
      <c r="C1286" s="94" t="s">
        <v>2546</v>
      </c>
      <c r="D1286" s="11" t="s">
        <v>2547</v>
      </c>
      <c r="E1286" s="48" t="s">
        <v>31</v>
      </c>
      <c r="F1286" s="48" t="s">
        <v>74</v>
      </c>
      <c r="G1286" s="11" t="s">
        <v>65</v>
      </c>
      <c r="H1286" s="11" t="s">
        <v>1365</v>
      </c>
      <c r="I1286" s="11">
        <v>1181</v>
      </c>
      <c r="J1286" s="49" t="s">
        <v>32</v>
      </c>
      <c r="K1286" s="49" t="s">
        <v>76</v>
      </c>
      <c r="L1286" s="49" t="s">
        <v>95</v>
      </c>
      <c r="M1286" s="49" t="s">
        <v>77</v>
      </c>
      <c r="N1286" s="49" t="s">
        <v>89</v>
      </c>
      <c r="O1286" s="49" t="s">
        <v>68</v>
      </c>
      <c r="P1286" s="11" t="s">
        <v>80</v>
      </c>
      <c r="Q1286" s="11" t="s">
        <v>90</v>
      </c>
      <c r="R1286" s="11" t="s">
        <v>1369</v>
      </c>
      <c r="S1286" s="11" t="s">
        <v>1370</v>
      </c>
      <c r="T1286" s="90" t="s">
        <v>10</v>
      </c>
      <c r="U1286" s="91"/>
      <c r="V1286" s="51">
        <v>45957</v>
      </c>
      <c r="W1286" s="49" t="s">
        <v>68</v>
      </c>
    </row>
    <row r="1287" spans="1:23" ht="13" customHeight="1" x14ac:dyDescent="0.35">
      <c r="A1287" s="11">
        <v>1282</v>
      </c>
      <c r="B1287" s="47">
        <v>205845547</v>
      </c>
      <c r="C1287" s="94" t="s">
        <v>1435</v>
      </c>
      <c r="D1287" s="11" t="s">
        <v>1436</v>
      </c>
      <c r="E1287" s="48" t="s">
        <v>31</v>
      </c>
      <c r="F1287" s="48" t="s">
        <v>74</v>
      </c>
      <c r="G1287" s="11" t="s">
        <v>65</v>
      </c>
      <c r="H1287" s="11" t="s">
        <v>1365</v>
      </c>
      <c r="I1287" s="11">
        <v>1181</v>
      </c>
      <c r="J1287" s="49" t="s">
        <v>39</v>
      </c>
      <c r="K1287" s="49" t="s">
        <v>76</v>
      </c>
      <c r="L1287" s="49" t="s">
        <v>84</v>
      </c>
      <c r="M1287" s="49" t="s">
        <v>85</v>
      </c>
      <c r="N1287" s="49" t="s">
        <v>89</v>
      </c>
      <c r="O1287" s="49" t="s">
        <v>68</v>
      </c>
      <c r="P1287" s="11" t="s">
        <v>80</v>
      </c>
      <c r="Q1287" s="11" t="s">
        <v>90</v>
      </c>
      <c r="R1287" s="11" t="s">
        <v>2826</v>
      </c>
      <c r="S1287" s="11" t="s">
        <v>2827</v>
      </c>
      <c r="T1287" s="90" t="s">
        <v>1</v>
      </c>
      <c r="U1287" s="90"/>
      <c r="V1287" s="51">
        <v>45894</v>
      </c>
      <c r="W1287" s="49" t="s">
        <v>68</v>
      </c>
    </row>
    <row r="1288" spans="1:23" ht="13" customHeight="1" x14ac:dyDescent="0.35">
      <c r="A1288" s="11">
        <v>1283</v>
      </c>
      <c r="B1288" s="47">
        <v>205845552</v>
      </c>
      <c r="C1288" s="94" t="s">
        <v>1437</v>
      </c>
      <c r="D1288" s="11" t="s">
        <v>1438</v>
      </c>
      <c r="E1288" s="48" t="s">
        <v>31</v>
      </c>
      <c r="F1288" s="48" t="s">
        <v>74</v>
      </c>
      <c r="G1288" s="11" t="s">
        <v>65</v>
      </c>
      <c r="H1288" s="11" t="s">
        <v>1365</v>
      </c>
      <c r="I1288" s="11">
        <v>1181</v>
      </c>
      <c r="J1288" s="49" t="s">
        <v>39</v>
      </c>
      <c r="K1288" s="49" t="s">
        <v>76</v>
      </c>
      <c r="L1288" s="49" t="s">
        <v>77</v>
      </c>
      <c r="M1288" s="49" t="s">
        <v>78</v>
      </c>
      <c r="N1288" s="49" t="s">
        <v>89</v>
      </c>
      <c r="O1288" s="49" t="s">
        <v>68</v>
      </c>
      <c r="P1288" s="11" t="s">
        <v>80</v>
      </c>
      <c r="Q1288" s="11" t="s">
        <v>90</v>
      </c>
      <c r="R1288" s="11" t="s">
        <v>2826</v>
      </c>
      <c r="S1288" s="11" t="s">
        <v>2827</v>
      </c>
      <c r="T1288" s="90" t="s">
        <v>10</v>
      </c>
      <c r="U1288" s="90"/>
      <c r="V1288" s="51">
        <v>45894</v>
      </c>
      <c r="W1288" s="49" t="s">
        <v>68</v>
      </c>
    </row>
    <row r="1289" spans="1:23" ht="13" customHeight="1" x14ac:dyDescent="0.35">
      <c r="A1289" s="11">
        <v>1284</v>
      </c>
      <c r="B1289" s="47">
        <v>206958290</v>
      </c>
      <c r="C1289" s="94" t="s">
        <v>2548</v>
      </c>
      <c r="D1289" s="11" t="s">
        <v>2549</v>
      </c>
      <c r="E1289" s="113" t="s">
        <v>31</v>
      </c>
      <c r="F1289" s="48" t="s">
        <v>74</v>
      </c>
      <c r="G1289" s="11" t="s">
        <v>65</v>
      </c>
      <c r="H1289" s="11" t="s">
        <v>1365</v>
      </c>
      <c r="I1289" s="11">
        <v>1181</v>
      </c>
      <c r="J1289" s="49" t="s">
        <v>39</v>
      </c>
      <c r="K1289" s="49" t="s">
        <v>76</v>
      </c>
      <c r="L1289" s="49" t="s">
        <v>84</v>
      </c>
      <c r="M1289" s="49" t="s">
        <v>85</v>
      </c>
      <c r="N1289" s="49" t="s">
        <v>89</v>
      </c>
      <c r="O1289" s="49" t="s">
        <v>68</v>
      </c>
      <c r="P1289" s="49" t="s">
        <v>80</v>
      </c>
      <c r="Q1289" s="49" t="s">
        <v>96</v>
      </c>
      <c r="R1289" s="49" t="s">
        <v>2826</v>
      </c>
      <c r="S1289" s="49" t="s">
        <v>2827</v>
      </c>
      <c r="T1289" s="90" t="s">
        <v>1</v>
      </c>
      <c r="U1289" s="89"/>
      <c r="V1289" s="51">
        <v>46048</v>
      </c>
      <c r="W1289" s="49" t="s">
        <v>68</v>
      </c>
    </row>
    <row r="1290" spans="1:23" ht="13" customHeight="1" x14ac:dyDescent="0.35">
      <c r="A1290" s="11">
        <v>1285</v>
      </c>
      <c r="B1290" s="47">
        <v>205839953</v>
      </c>
      <c r="C1290" s="94" t="s">
        <v>1439</v>
      </c>
      <c r="D1290" s="11" t="s">
        <v>1440</v>
      </c>
      <c r="E1290" s="48" t="s">
        <v>31</v>
      </c>
      <c r="F1290" s="48" t="s">
        <v>74</v>
      </c>
      <c r="G1290" s="11" t="s">
        <v>65</v>
      </c>
      <c r="H1290" s="11" t="s">
        <v>1365</v>
      </c>
      <c r="I1290" s="11">
        <v>1181</v>
      </c>
      <c r="J1290" s="49" t="s">
        <v>39</v>
      </c>
      <c r="K1290" s="49" t="s">
        <v>76</v>
      </c>
      <c r="L1290" s="49" t="s">
        <v>85</v>
      </c>
      <c r="M1290" s="49" t="s">
        <v>88</v>
      </c>
      <c r="N1290" s="49" t="s">
        <v>89</v>
      </c>
      <c r="O1290" s="49" t="s">
        <v>68</v>
      </c>
      <c r="P1290" s="11" t="s">
        <v>80</v>
      </c>
      <c r="Q1290" s="11" t="s">
        <v>90</v>
      </c>
      <c r="R1290" s="11" t="s">
        <v>2826</v>
      </c>
      <c r="S1290" s="11" t="s">
        <v>2827</v>
      </c>
      <c r="T1290" s="90" t="s">
        <v>1</v>
      </c>
      <c r="U1290" s="91"/>
      <c r="V1290" s="51">
        <v>45894</v>
      </c>
      <c r="W1290" s="49" t="s">
        <v>68</v>
      </c>
    </row>
    <row r="1291" spans="1:23" ht="13" customHeight="1" x14ac:dyDescent="0.35">
      <c r="A1291" s="11">
        <v>1286</v>
      </c>
      <c r="B1291" s="47">
        <v>203555221</v>
      </c>
      <c r="C1291" s="94" t="s">
        <v>1441</v>
      </c>
      <c r="D1291" s="11" t="s">
        <v>1442</v>
      </c>
      <c r="E1291" s="48" t="s">
        <v>31</v>
      </c>
      <c r="F1291" s="48" t="s">
        <v>74</v>
      </c>
      <c r="G1291" s="11" t="s">
        <v>65</v>
      </c>
      <c r="H1291" s="11" t="s">
        <v>1365</v>
      </c>
      <c r="I1291" s="11">
        <v>1181</v>
      </c>
      <c r="J1291" s="49" t="s">
        <v>32</v>
      </c>
      <c r="K1291" s="49" t="s">
        <v>76</v>
      </c>
      <c r="L1291" s="49" t="s">
        <v>77</v>
      </c>
      <c r="M1291" s="49" t="s">
        <v>78</v>
      </c>
      <c r="N1291" s="48" t="s">
        <v>79</v>
      </c>
      <c r="O1291" s="49" t="s">
        <v>68</v>
      </c>
      <c r="P1291" s="11" t="s">
        <v>80</v>
      </c>
      <c r="Q1291" s="11" t="s">
        <v>81</v>
      </c>
      <c r="R1291" s="11" t="s">
        <v>1369</v>
      </c>
      <c r="S1291" s="11" t="s">
        <v>1370</v>
      </c>
      <c r="T1291" s="90" t="s">
        <v>10</v>
      </c>
      <c r="U1291" s="89"/>
      <c r="V1291" s="51">
        <v>45470</v>
      </c>
      <c r="W1291" s="49" t="s">
        <v>68</v>
      </c>
    </row>
    <row r="1292" spans="1:23" ht="13" customHeight="1" x14ac:dyDescent="0.35">
      <c r="A1292" s="11">
        <v>1287</v>
      </c>
      <c r="B1292" s="47">
        <v>206361787</v>
      </c>
      <c r="C1292" s="94" t="s">
        <v>2550</v>
      </c>
      <c r="D1292" s="11" t="s">
        <v>2551</v>
      </c>
      <c r="E1292" s="48" t="s">
        <v>31</v>
      </c>
      <c r="F1292" s="48" t="s">
        <v>74</v>
      </c>
      <c r="G1292" s="11" t="s">
        <v>65</v>
      </c>
      <c r="H1292" s="11" t="s">
        <v>1365</v>
      </c>
      <c r="I1292" s="11">
        <v>1181</v>
      </c>
      <c r="J1292" s="49" t="s">
        <v>39</v>
      </c>
      <c r="K1292" s="49" t="s">
        <v>76</v>
      </c>
      <c r="L1292" s="49" t="s">
        <v>84</v>
      </c>
      <c r="M1292" s="49" t="s">
        <v>85</v>
      </c>
      <c r="N1292" s="49" t="s">
        <v>89</v>
      </c>
      <c r="O1292" s="49" t="s">
        <v>68</v>
      </c>
      <c r="P1292" s="11" t="s">
        <v>80</v>
      </c>
      <c r="Q1292" s="11" t="s">
        <v>96</v>
      </c>
      <c r="R1292" s="11" t="s">
        <v>2826</v>
      </c>
      <c r="S1292" s="11" t="s">
        <v>2827</v>
      </c>
      <c r="T1292" s="90" t="s">
        <v>1</v>
      </c>
      <c r="U1292" s="89"/>
      <c r="V1292" s="51">
        <v>45957</v>
      </c>
      <c r="W1292" s="49" t="s">
        <v>68</v>
      </c>
    </row>
    <row r="1293" spans="1:23" ht="13" customHeight="1" x14ac:dyDescent="0.35">
      <c r="A1293" s="11">
        <v>1288</v>
      </c>
      <c r="B1293" s="47">
        <v>102207635</v>
      </c>
      <c r="C1293" s="94" t="s">
        <v>1443</v>
      </c>
      <c r="D1293" s="11" t="s">
        <v>1444</v>
      </c>
      <c r="E1293" s="48" t="s">
        <v>34</v>
      </c>
      <c r="F1293" s="48" t="s">
        <v>74</v>
      </c>
      <c r="G1293" s="11" t="s">
        <v>65</v>
      </c>
      <c r="H1293" s="11" t="s">
        <v>1365</v>
      </c>
      <c r="I1293" s="11">
        <v>1181</v>
      </c>
      <c r="J1293" s="49" t="s">
        <v>32</v>
      </c>
      <c r="K1293" s="49" t="s">
        <v>76</v>
      </c>
      <c r="L1293" s="49" t="s">
        <v>92</v>
      </c>
      <c r="M1293" s="49" t="s">
        <v>84</v>
      </c>
      <c r="N1293" s="48" t="s">
        <v>1366</v>
      </c>
      <c r="O1293" s="49" t="s">
        <v>68</v>
      </c>
      <c r="P1293" s="11" t="s">
        <v>80</v>
      </c>
      <c r="Q1293" s="11" t="s">
        <v>98</v>
      </c>
      <c r="R1293" s="11" t="s">
        <v>1369</v>
      </c>
      <c r="S1293" s="11" t="s">
        <v>1370</v>
      </c>
      <c r="T1293" s="90" t="s">
        <v>7</v>
      </c>
      <c r="U1293" s="90" t="s">
        <v>3004</v>
      </c>
      <c r="V1293" s="51">
        <v>42868</v>
      </c>
      <c r="W1293" s="49" t="s">
        <v>68</v>
      </c>
    </row>
    <row r="1294" spans="1:23" ht="13" customHeight="1" x14ac:dyDescent="0.35">
      <c r="A1294" s="11">
        <v>1289</v>
      </c>
      <c r="B1294" s="47">
        <v>204137712</v>
      </c>
      <c r="C1294" s="94" t="s">
        <v>1445</v>
      </c>
      <c r="D1294" s="11" t="s">
        <v>1446</v>
      </c>
      <c r="E1294" s="48" t="s">
        <v>31</v>
      </c>
      <c r="F1294" s="48" t="s">
        <v>74</v>
      </c>
      <c r="G1294" s="11" t="s">
        <v>65</v>
      </c>
      <c r="H1294" s="11" t="s">
        <v>1365</v>
      </c>
      <c r="I1294" s="11">
        <v>1181</v>
      </c>
      <c r="J1294" s="49" t="s">
        <v>32</v>
      </c>
      <c r="K1294" s="49" t="s">
        <v>76</v>
      </c>
      <c r="L1294" s="49" t="s">
        <v>85</v>
      </c>
      <c r="M1294" s="49" t="s">
        <v>88</v>
      </c>
      <c r="N1294" s="48" t="s">
        <v>86</v>
      </c>
      <c r="O1294" s="49" t="s">
        <v>68</v>
      </c>
      <c r="P1294" s="11" t="s">
        <v>80</v>
      </c>
      <c r="Q1294" s="11" t="s">
        <v>87</v>
      </c>
      <c r="R1294" s="11" t="s">
        <v>1369</v>
      </c>
      <c r="S1294" s="11" t="s">
        <v>1370</v>
      </c>
      <c r="T1294" s="90" t="s">
        <v>1</v>
      </c>
      <c r="U1294" s="90"/>
      <c r="V1294" s="51">
        <v>45565</v>
      </c>
      <c r="W1294" s="49" t="s">
        <v>68</v>
      </c>
    </row>
    <row r="1295" spans="1:23" ht="13" customHeight="1" x14ac:dyDescent="0.35">
      <c r="A1295" s="11">
        <v>1290</v>
      </c>
      <c r="B1295" s="47">
        <v>203513499</v>
      </c>
      <c r="C1295" s="94" t="s">
        <v>1447</v>
      </c>
      <c r="D1295" s="11" t="s">
        <v>1448</v>
      </c>
      <c r="E1295" s="48" t="s">
        <v>31</v>
      </c>
      <c r="F1295" s="48" t="s">
        <v>74</v>
      </c>
      <c r="G1295" s="11" t="s">
        <v>65</v>
      </c>
      <c r="H1295" s="11" t="s">
        <v>1365</v>
      </c>
      <c r="I1295" s="11">
        <v>1181</v>
      </c>
      <c r="J1295" s="49" t="s">
        <v>39</v>
      </c>
      <c r="K1295" s="49" t="s">
        <v>76</v>
      </c>
      <c r="L1295" s="49" t="s">
        <v>78</v>
      </c>
      <c r="M1295" s="49" t="s">
        <v>92</v>
      </c>
      <c r="N1295" s="48" t="s">
        <v>79</v>
      </c>
      <c r="O1295" s="49" t="s">
        <v>68</v>
      </c>
      <c r="P1295" s="11" t="s">
        <v>80</v>
      </c>
      <c r="Q1295" s="11" t="s">
        <v>81</v>
      </c>
      <c r="R1295" s="11" t="s">
        <v>2826</v>
      </c>
      <c r="S1295" s="11" t="s">
        <v>2827</v>
      </c>
      <c r="T1295" s="90" t="s">
        <v>1</v>
      </c>
      <c r="U1295" s="89"/>
      <c r="V1295" s="51">
        <v>45463</v>
      </c>
      <c r="W1295" s="49" t="s">
        <v>68</v>
      </c>
    </row>
    <row r="1296" spans="1:23" ht="13" customHeight="1" x14ac:dyDescent="0.35">
      <c r="A1296" s="11">
        <v>1291</v>
      </c>
      <c r="B1296" s="47">
        <v>204094495</v>
      </c>
      <c r="C1296" s="94" t="s">
        <v>1218</v>
      </c>
      <c r="D1296" s="11" t="s">
        <v>1219</v>
      </c>
      <c r="E1296" s="48" t="s">
        <v>31</v>
      </c>
      <c r="F1296" s="48" t="s">
        <v>74</v>
      </c>
      <c r="G1296" s="11" t="s">
        <v>65</v>
      </c>
      <c r="H1296" s="11" t="s">
        <v>1365</v>
      </c>
      <c r="I1296" s="11">
        <v>1181</v>
      </c>
      <c r="J1296" s="49" t="s">
        <v>39</v>
      </c>
      <c r="K1296" s="49" t="s">
        <v>76</v>
      </c>
      <c r="L1296" s="49" t="s">
        <v>78</v>
      </c>
      <c r="M1296" s="49" t="s">
        <v>92</v>
      </c>
      <c r="N1296" s="48" t="s">
        <v>86</v>
      </c>
      <c r="O1296" s="49" t="s">
        <v>68</v>
      </c>
      <c r="P1296" s="11" t="s">
        <v>80</v>
      </c>
      <c r="Q1296" s="11" t="s">
        <v>87</v>
      </c>
      <c r="R1296" s="11" t="s">
        <v>2826</v>
      </c>
      <c r="S1296" s="11" t="s">
        <v>2827</v>
      </c>
      <c r="T1296" s="90" t="s">
        <v>1</v>
      </c>
      <c r="U1296" s="89"/>
      <c r="V1296" s="51">
        <v>45561</v>
      </c>
      <c r="W1296" s="49" t="s">
        <v>68</v>
      </c>
    </row>
    <row r="1297" spans="1:23" ht="13" customHeight="1" x14ac:dyDescent="0.35">
      <c r="A1297" s="11">
        <v>1292</v>
      </c>
      <c r="B1297" s="47">
        <v>204013731</v>
      </c>
      <c r="C1297" s="94" t="s">
        <v>1449</v>
      </c>
      <c r="D1297" s="11" t="s">
        <v>1450</v>
      </c>
      <c r="E1297" s="48" t="s">
        <v>31</v>
      </c>
      <c r="F1297" s="48" t="s">
        <v>74</v>
      </c>
      <c r="G1297" s="11" t="s">
        <v>65</v>
      </c>
      <c r="H1297" s="11" t="s">
        <v>1365</v>
      </c>
      <c r="I1297" s="11">
        <v>1181</v>
      </c>
      <c r="J1297" s="49" t="s">
        <v>32</v>
      </c>
      <c r="K1297" s="49" t="s">
        <v>76</v>
      </c>
      <c r="L1297" s="49" t="s">
        <v>92</v>
      </c>
      <c r="M1297" s="49" t="s">
        <v>84</v>
      </c>
      <c r="N1297" s="48" t="s">
        <v>79</v>
      </c>
      <c r="O1297" s="49" t="s">
        <v>68</v>
      </c>
      <c r="P1297" s="11" t="s">
        <v>80</v>
      </c>
      <c r="Q1297" s="11" t="s">
        <v>81</v>
      </c>
      <c r="R1297" s="11" t="s">
        <v>1369</v>
      </c>
      <c r="S1297" s="11" t="s">
        <v>1370</v>
      </c>
      <c r="T1297" s="90" t="s">
        <v>7</v>
      </c>
      <c r="U1297" s="90" t="s">
        <v>3004</v>
      </c>
      <c r="V1297" s="51">
        <v>45551</v>
      </c>
      <c r="W1297" s="49" t="s">
        <v>68</v>
      </c>
    </row>
    <row r="1298" spans="1:23" ht="13" customHeight="1" x14ac:dyDescent="0.35">
      <c r="A1298" s="11">
        <v>1293</v>
      </c>
      <c r="B1298" s="47">
        <v>205276101</v>
      </c>
      <c r="C1298" s="94" t="s">
        <v>1451</v>
      </c>
      <c r="D1298" s="11" t="s">
        <v>1452</v>
      </c>
      <c r="E1298" s="48" t="s">
        <v>31</v>
      </c>
      <c r="F1298" s="48" t="s">
        <v>74</v>
      </c>
      <c r="G1298" s="11" t="s">
        <v>65</v>
      </c>
      <c r="H1298" s="11" t="s">
        <v>1365</v>
      </c>
      <c r="I1298" s="11">
        <v>1181</v>
      </c>
      <c r="J1298" s="49" t="s">
        <v>39</v>
      </c>
      <c r="K1298" s="49" t="s">
        <v>76</v>
      </c>
      <c r="L1298" s="49" t="s">
        <v>85</v>
      </c>
      <c r="M1298" s="49" t="s">
        <v>88</v>
      </c>
      <c r="N1298" s="48" t="s">
        <v>89</v>
      </c>
      <c r="O1298" s="49" t="s">
        <v>68</v>
      </c>
      <c r="P1298" s="11" t="s">
        <v>80</v>
      </c>
      <c r="Q1298" s="11" t="s">
        <v>90</v>
      </c>
      <c r="R1298" s="11" t="s">
        <v>2826</v>
      </c>
      <c r="S1298" s="11" t="s">
        <v>2827</v>
      </c>
      <c r="T1298" s="90" t="s">
        <v>1</v>
      </c>
      <c r="U1298" s="90"/>
      <c r="V1298" s="51">
        <v>45796</v>
      </c>
      <c r="W1298" s="49" t="s">
        <v>68</v>
      </c>
    </row>
    <row r="1299" spans="1:23" ht="13" customHeight="1" x14ac:dyDescent="0.35">
      <c r="A1299" s="11">
        <v>1294</v>
      </c>
      <c r="B1299" s="47">
        <v>102205690</v>
      </c>
      <c r="C1299" s="94" t="s">
        <v>1453</v>
      </c>
      <c r="D1299" s="11" t="s">
        <v>1454</v>
      </c>
      <c r="E1299" s="48" t="s">
        <v>34</v>
      </c>
      <c r="F1299" s="48" t="s">
        <v>74</v>
      </c>
      <c r="G1299" s="11" t="s">
        <v>65</v>
      </c>
      <c r="H1299" s="11" t="s">
        <v>1365</v>
      </c>
      <c r="I1299" s="11">
        <v>1182</v>
      </c>
      <c r="J1299" s="49" t="s">
        <v>39</v>
      </c>
      <c r="K1299" s="49" t="s">
        <v>76</v>
      </c>
      <c r="L1299" s="49" t="s">
        <v>92</v>
      </c>
      <c r="M1299" s="49" t="s">
        <v>84</v>
      </c>
      <c r="N1299" s="48" t="s">
        <v>108</v>
      </c>
      <c r="O1299" s="49" t="s">
        <v>68</v>
      </c>
      <c r="P1299" s="11" t="s">
        <v>80</v>
      </c>
      <c r="Q1299" s="11" t="s">
        <v>98</v>
      </c>
      <c r="R1299" s="11" t="s">
        <v>2826</v>
      </c>
      <c r="S1299" s="11" t="s">
        <v>2827</v>
      </c>
      <c r="T1299" s="90" t="s">
        <v>7</v>
      </c>
      <c r="U1299" s="90" t="s">
        <v>3004</v>
      </c>
      <c r="V1299" s="51">
        <v>42868</v>
      </c>
      <c r="W1299" s="49" t="s">
        <v>68</v>
      </c>
    </row>
    <row r="1300" spans="1:23" ht="13" customHeight="1" x14ac:dyDescent="0.35">
      <c r="A1300" s="11">
        <v>1295</v>
      </c>
      <c r="B1300" s="47">
        <v>102582357</v>
      </c>
      <c r="C1300" s="94" t="s">
        <v>1455</v>
      </c>
      <c r="D1300" s="11" t="s">
        <v>1456</v>
      </c>
      <c r="E1300" s="48" t="s">
        <v>34</v>
      </c>
      <c r="F1300" s="48" t="s">
        <v>74</v>
      </c>
      <c r="G1300" s="11" t="s">
        <v>65</v>
      </c>
      <c r="H1300" s="11" t="s">
        <v>1365</v>
      </c>
      <c r="I1300" s="11">
        <v>1182</v>
      </c>
      <c r="J1300" s="49" t="s">
        <v>39</v>
      </c>
      <c r="K1300" s="49" t="s">
        <v>76</v>
      </c>
      <c r="L1300" s="49" t="s">
        <v>88</v>
      </c>
      <c r="M1300" s="49" t="s">
        <v>95</v>
      </c>
      <c r="N1300" s="48" t="s">
        <v>1366</v>
      </c>
      <c r="O1300" s="49" t="s">
        <v>68</v>
      </c>
      <c r="P1300" s="11" t="s">
        <v>80</v>
      </c>
      <c r="Q1300" s="11" t="s">
        <v>98</v>
      </c>
      <c r="R1300" s="11" t="s">
        <v>2826</v>
      </c>
      <c r="S1300" s="11" t="s">
        <v>2827</v>
      </c>
      <c r="T1300" s="90" t="s">
        <v>1</v>
      </c>
      <c r="U1300" s="90"/>
      <c r="V1300" s="51">
        <v>42962</v>
      </c>
      <c r="W1300" s="49" t="s">
        <v>68</v>
      </c>
    </row>
    <row r="1301" spans="1:23" ht="13" customHeight="1" x14ac:dyDescent="0.35">
      <c r="A1301" s="11">
        <v>1296</v>
      </c>
      <c r="B1301" s="47">
        <v>205845551</v>
      </c>
      <c r="C1301" s="94" t="s">
        <v>1457</v>
      </c>
      <c r="D1301" s="11" t="s">
        <v>1458</v>
      </c>
      <c r="E1301" s="48" t="s">
        <v>31</v>
      </c>
      <c r="F1301" s="48" t="s">
        <v>74</v>
      </c>
      <c r="G1301" s="11" t="s">
        <v>65</v>
      </c>
      <c r="H1301" s="11" t="s">
        <v>1365</v>
      </c>
      <c r="I1301" s="11">
        <v>1181</v>
      </c>
      <c r="J1301" s="49" t="s">
        <v>39</v>
      </c>
      <c r="K1301" s="49" t="s">
        <v>76</v>
      </c>
      <c r="L1301" s="49" t="s">
        <v>92</v>
      </c>
      <c r="M1301" s="49" t="s">
        <v>84</v>
      </c>
      <c r="N1301" s="49" t="s">
        <v>89</v>
      </c>
      <c r="O1301" s="49" t="s">
        <v>68</v>
      </c>
      <c r="P1301" s="11" t="s">
        <v>80</v>
      </c>
      <c r="Q1301" s="11" t="s">
        <v>90</v>
      </c>
      <c r="R1301" s="11" t="s">
        <v>2826</v>
      </c>
      <c r="S1301" s="11" t="s">
        <v>2827</v>
      </c>
      <c r="T1301" s="90" t="s">
        <v>1</v>
      </c>
      <c r="U1301" s="89"/>
      <c r="V1301" s="51">
        <v>45894</v>
      </c>
      <c r="W1301" s="49" t="s">
        <v>68</v>
      </c>
    </row>
    <row r="1302" spans="1:23" ht="13" customHeight="1" x14ac:dyDescent="0.35">
      <c r="A1302" s="11">
        <v>1297</v>
      </c>
      <c r="B1302" s="47">
        <v>206296204</v>
      </c>
      <c r="C1302" s="94" t="s">
        <v>1701</v>
      </c>
      <c r="D1302" s="11" t="s">
        <v>2039</v>
      </c>
      <c r="E1302" s="48" t="s">
        <v>31</v>
      </c>
      <c r="F1302" s="48" t="s">
        <v>74</v>
      </c>
      <c r="G1302" s="11" t="s">
        <v>65</v>
      </c>
      <c r="H1302" s="11" t="s">
        <v>1365</v>
      </c>
      <c r="I1302" s="11">
        <v>1299</v>
      </c>
      <c r="J1302" s="49" t="s">
        <v>39</v>
      </c>
      <c r="K1302" s="49" t="s">
        <v>76</v>
      </c>
      <c r="L1302" s="49" t="s">
        <v>84</v>
      </c>
      <c r="M1302" s="49" t="s">
        <v>85</v>
      </c>
      <c r="N1302" s="49" t="s">
        <v>89</v>
      </c>
      <c r="O1302" s="49" t="s">
        <v>68</v>
      </c>
      <c r="P1302" s="11" t="s">
        <v>80</v>
      </c>
      <c r="Q1302" s="11" t="s">
        <v>96</v>
      </c>
      <c r="R1302" s="11" t="s">
        <v>2826</v>
      </c>
      <c r="S1302" s="11" t="s">
        <v>2827</v>
      </c>
      <c r="T1302" s="90" t="s">
        <v>1</v>
      </c>
      <c r="U1302" s="91"/>
      <c r="V1302" s="51">
        <v>45950</v>
      </c>
      <c r="W1302" s="49" t="s">
        <v>68</v>
      </c>
    </row>
    <row r="1303" spans="1:23" ht="13" customHeight="1" x14ac:dyDescent="0.35">
      <c r="A1303" s="11">
        <v>1298</v>
      </c>
      <c r="B1303" s="47">
        <v>206296202</v>
      </c>
      <c r="C1303" s="94" t="s">
        <v>1702</v>
      </c>
      <c r="D1303" s="11" t="s">
        <v>2040</v>
      </c>
      <c r="E1303" s="48" t="s">
        <v>31</v>
      </c>
      <c r="F1303" s="48" t="s">
        <v>74</v>
      </c>
      <c r="G1303" s="11" t="s">
        <v>65</v>
      </c>
      <c r="H1303" s="11" t="s">
        <v>1365</v>
      </c>
      <c r="I1303" s="11">
        <v>1299</v>
      </c>
      <c r="J1303" s="49" t="s">
        <v>32</v>
      </c>
      <c r="K1303" s="49" t="s">
        <v>76</v>
      </c>
      <c r="L1303" s="49" t="s">
        <v>84</v>
      </c>
      <c r="M1303" s="49" t="s">
        <v>85</v>
      </c>
      <c r="N1303" s="49" t="s">
        <v>89</v>
      </c>
      <c r="O1303" s="49" t="s">
        <v>68</v>
      </c>
      <c r="P1303" s="11" t="s">
        <v>80</v>
      </c>
      <c r="Q1303" s="11" t="s">
        <v>96</v>
      </c>
      <c r="R1303" s="11" t="s">
        <v>1369</v>
      </c>
      <c r="S1303" s="11" t="s">
        <v>1370</v>
      </c>
      <c r="T1303" s="90" t="s">
        <v>4</v>
      </c>
      <c r="U1303" s="89"/>
      <c r="V1303" s="51">
        <v>45950</v>
      </c>
      <c r="W1303" s="49" t="s">
        <v>68</v>
      </c>
    </row>
    <row r="1304" spans="1:23" ht="13" customHeight="1" x14ac:dyDescent="0.35">
      <c r="A1304" s="11">
        <v>1299</v>
      </c>
      <c r="B1304" s="47">
        <v>206958074</v>
      </c>
      <c r="C1304" s="94" t="s">
        <v>2277</v>
      </c>
      <c r="D1304" s="11" t="s">
        <v>2278</v>
      </c>
      <c r="E1304" s="113" t="s">
        <v>31</v>
      </c>
      <c r="F1304" s="48" t="s">
        <v>74</v>
      </c>
      <c r="G1304" s="11" t="s">
        <v>65</v>
      </c>
      <c r="H1304" s="11" t="s">
        <v>1365</v>
      </c>
      <c r="I1304" s="11">
        <v>1181</v>
      </c>
      <c r="J1304" s="49" t="s">
        <v>39</v>
      </c>
      <c r="K1304" s="49" t="s">
        <v>76</v>
      </c>
      <c r="L1304" s="49" t="s">
        <v>88</v>
      </c>
      <c r="M1304" s="49" t="s">
        <v>95</v>
      </c>
      <c r="N1304" s="49" t="s">
        <v>79</v>
      </c>
      <c r="O1304" s="49" t="s">
        <v>68</v>
      </c>
      <c r="P1304" s="49" t="s">
        <v>80</v>
      </c>
      <c r="Q1304" s="49" t="s">
        <v>96</v>
      </c>
      <c r="R1304" s="49" t="s">
        <v>2826</v>
      </c>
      <c r="S1304" s="49" t="s">
        <v>2827</v>
      </c>
      <c r="T1304" s="90" t="s">
        <v>1</v>
      </c>
      <c r="U1304" s="90"/>
      <c r="V1304" s="51">
        <v>46048</v>
      </c>
      <c r="W1304" s="49" t="s">
        <v>68</v>
      </c>
    </row>
    <row r="1305" spans="1:23" ht="13" customHeight="1" x14ac:dyDescent="0.35">
      <c r="A1305" s="11">
        <v>1300</v>
      </c>
      <c r="B1305" s="47">
        <v>206348052</v>
      </c>
      <c r="C1305" s="94" t="s">
        <v>1740</v>
      </c>
      <c r="D1305" s="11" t="s">
        <v>1741</v>
      </c>
      <c r="E1305" s="48" t="s">
        <v>31</v>
      </c>
      <c r="F1305" s="48" t="s">
        <v>74</v>
      </c>
      <c r="G1305" s="11" t="s">
        <v>65</v>
      </c>
      <c r="H1305" s="11" t="s">
        <v>1365</v>
      </c>
      <c r="I1305" s="11">
        <v>1181</v>
      </c>
      <c r="J1305" s="49" t="s">
        <v>32</v>
      </c>
      <c r="K1305" s="49" t="s">
        <v>76</v>
      </c>
      <c r="L1305" s="49" t="s">
        <v>84</v>
      </c>
      <c r="M1305" s="49" t="s">
        <v>85</v>
      </c>
      <c r="N1305" s="49" t="s">
        <v>89</v>
      </c>
      <c r="O1305" s="49" t="s">
        <v>68</v>
      </c>
      <c r="P1305" s="11" t="s">
        <v>80</v>
      </c>
      <c r="Q1305" s="11" t="s">
        <v>90</v>
      </c>
      <c r="R1305" s="11" t="s">
        <v>1369</v>
      </c>
      <c r="S1305" s="11" t="s">
        <v>1370</v>
      </c>
      <c r="T1305" s="90" t="s">
        <v>1</v>
      </c>
      <c r="U1305" s="89"/>
      <c r="V1305" s="51">
        <v>45957</v>
      </c>
      <c r="W1305" s="49" t="s">
        <v>68</v>
      </c>
    </row>
    <row r="1306" spans="1:23" ht="13" customHeight="1" x14ac:dyDescent="0.35">
      <c r="A1306" s="11">
        <v>1301</v>
      </c>
      <c r="B1306" s="47">
        <v>203513498</v>
      </c>
      <c r="C1306" s="94" t="s">
        <v>1459</v>
      </c>
      <c r="D1306" s="11" t="s">
        <v>1460</v>
      </c>
      <c r="E1306" s="48" t="s">
        <v>31</v>
      </c>
      <c r="F1306" s="48" t="s">
        <v>74</v>
      </c>
      <c r="G1306" s="11" t="s">
        <v>65</v>
      </c>
      <c r="H1306" s="11" t="s">
        <v>1365</v>
      </c>
      <c r="I1306" s="11">
        <v>1181</v>
      </c>
      <c r="J1306" s="49" t="s">
        <v>39</v>
      </c>
      <c r="K1306" s="49" t="s">
        <v>76</v>
      </c>
      <c r="L1306" s="49" t="s">
        <v>84</v>
      </c>
      <c r="M1306" s="49" t="s">
        <v>85</v>
      </c>
      <c r="N1306" s="48" t="s">
        <v>79</v>
      </c>
      <c r="O1306" s="49" t="s">
        <v>68</v>
      </c>
      <c r="P1306" s="11" t="s">
        <v>80</v>
      </c>
      <c r="Q1306" s="11" t="s">
        <v>81</v>
      </c>
      <c r="R1306" s="11" t="s">
        <v>2826</v>
      </c>
      <c r="S1306" s="11" t="s">
        <v>2827</v>
      </c>
      <c r="T1306" s="90" t="s">
        <v>1</v>
      </c>
      <c r="U1306" s="89"/>
      <c r="V1306" s="51">
        <v>45463</v>
      </c>
      <c r="W1306" s="49" t="s">
        <v>68</v>
      </c>
    </row>
    <row r="1307" spans="1:23" ht="13" customHeight="1" x14ac:dyDescent="0.35">
      <c r="A1307" s="11">
        <v>1302</v>
      </c>
      <c r="B1307" s="47">
        <v>206958090</v>
      </c>
      <c r="C1307" s="94" t="s">
        <v>2279</v>
      </c>
      <c r="D1307" s="11" t="s">
        <v>2280</v>
      </c>
      <c r="E1307" s="113" t="s">
        <v>31</v>
      </c>
      <c r="F1307" s="48" t="s">
        <v>74</v>
      </c>
      <c r="G1307" s="11" t="s">
        <v>65</v>
      </c>
      <c r="H1307" s="11" t="s">
        <v>1365</v>
      </c>
      <c r="I1307" s="11">
        <v>1181</v>
      </c>
      <c r="J1307" s="49" t="s">
        <v>39</v>
      </c>
      <c r="K1307" s="49" t="s">
        <v>76</v>
      </c>
      <c r="L1307" s="49" t="s">
        <v>78</v>
      </c>
      <c r="M1307" s="49" t="s">
        <v>92</v>
      </c>
      <c r="N1307" s="49" t="s">
        <v>89</v>
      </c>
      <c r="O1307" s="49" t="s">
        <v>68</v>
      </c>
      <c r="P1307" s="49" t="s">
        <v>80</v>
      </c>
      <c r="Q1307" s="49" t="s">
        <v>96</v>
      </c>
      <c r="R1307" s="49" t="s">
        <v>2826</v>
      </c>
      <c r="S1307" s="49" t="s">
        <v>2827</v>
      </c>
      <c r="T1307" s="90" t="s">
        <v>1</v>
      </c>
      <c r="U1307" s="89"/>
      <c r="V1307" s="51">
        <v>46048</v>
      </c>
      <c r="W1307" s="49" t="s">
        <v>68</v>
      </c>
    </row>
    <row r="1308" spans="1:23" ht="13" customHeight="1" x14ac:dyDescent="0.35">
      <c r="A1308" s="11">
        <v>1303</v>
      </c>
      <c r="B1308" s="47">
        <v>203513399</v>
      </c>
      <c r="C1308" s="94" t="s">
        <v>1461</v>
      </c>
      <c r="D1308" s="11" t="s">
        <v>1462</v>
      </c>
      <c r="E1308" s="48" t="s">
        <v>31</v>
      </c>
      <c r="F1308" s="48" t="s">
        <v>74</v>
      </c>
      <c r="G1308" s="11" t="s">
        <v>65</v>
      </c>
      <c r="H1308" s="11" t="s">
        <v>1365</v>
      </c>
      <c r="I1308" s="11">
        <v>1181</v>
      </c>
      <c r="J1308" s="49" t="s">
        <v>32</v>
      </c>
      <c r="K1308" s="49" t="s">
        <v>76</v>
      </c>
      <c r="L1308" s="49" t="s">
        <v>85</v>
      </c>
      <c r="M1308" s="49" t="s">
        <v>88</v>
      </c>
      <c r="N1308" s="48" t="s">
        <v>79</v>
      </c>
      <c r="O1308" s="49" t="s">
        <v>68</v>
      </c>
      <c r="P1308" s="11" t="s">
        <v>80</v>
      </c>
      <c r="Q1308" s="11" t="s">
        <v>81</v>
      </c>
      <c r="R1308" s="11" t="s">
        <v>1369</v>
      </c>
      <c r="S1308" s="11" t="s">
        <v>1370</v>
      </c>
      <c r="T1308" s="90" t="s">
        <v>1</v>
      </c>
      <c r="U1308" s="89"/>
      <c r="V1308" s="51">
        <v>45463</v>
      </c>
      <c r="W1308" s="49" t="s">
        <v>68</v>
      </c>
    </row>
    <row r="1309" spans="1:23" ht="13" customHeight="1" x14ac:dyDescent="0.35">
      <c r="A1309" s="11">
        <v>1304</v>
      </c>
      <c r="B1309" s="47">
        <v>204115629</v>
      </c>
      <c r="C1309" s="94" t="s">
        <v>1463</v>
      </c>
      <c r="D1309" s="11" t="s">
        <v>1464</v>
      </c>
      <c r="E1309" s="48" t="s">
        <v>31</v>
      </c>
      <c r="F1309" s="48" t="s">
        <v>74</v>
      </c>
      <c r="G1309" s="11" t="s">
        <v>65</v>
      </c>
      <c r="H1309" s="11" t="s">
        <v>1365</v>
      </c>
      <c r="I1309" s="11">
        <v>1181</v>
      </c>
      <c r="J1309" s="49" t="s">
        <v>32</v>
      </c>
      <c r="K1309" s="49" t="s">
        <v>76</v>
      </c>
      <c r="L1309" s="49" t="s">
        <v>77</v>
      </c>
      <c r="M1309" s="49" t="s">
        <v>78</v>
      </c>
      <c r="N1309" s="48" t="s">
        <v>86</v>
      </c>
      <c r="O1309" s="49" t="s">
        <v>68</v>
      </c>
      <c r="P1309" s="11" t="s">
        <v>80</v>
      </c>
      <c r="Q1309" s="11" t="s">
        <v>87</v>
      </c>
      <c r="R1309" s="11" t="s">
        <v>1369</v>
      </c>
      <c r="S1309" s="11" t="s">
        <v>1370</v>
      </c>
      <c r="T1309" s="90" t="s">
        <v>10</v>
      </c>
      <c r="U1309" s="89"/>
      <c r="V1309" s="51">
        <v>45561</v>
      </c>
      <c r="W1309" s="49" t="s">
        <v>68</v>
      </c>
    </row>
    <row r="1310" spans="1:23" ht="13" customHeight="1" x14ac:dyDescent="0.35">
      <c r="A1310" s="11">
        <v>1305</v>
      </c>
      <c r="B1310" s="47">
        <v>206958297</v>
      </c>
      <c r="C1310" s="94" t="s">
        <v>2281</v>
      </c>
      <c r="D1310" s="11" t="s">
        <v>2282</v>
      </c>
      <c r="E1310" s="113" t="s">
        <v>31</v>
      </c>
      <c r="F1310" s="48" t="s">
        <v>74</v>
      </c>
      <c r="G1310" s="11" t="s">
        <v>65</v>
      </c>
      <c r="H1310" s="11" t="s">
        <v>1365</v>
      </c>
      <c r="I1310" s="11">
        <v>1181</v>
      </c>
      <c r="J1310" s="49" t="s">
        <v>39</v>
      </c>
      <c r="K1310" s="49" t="s">
        <v>76</v>
      </c>
      <c r="L1310" s="49" t="s">
        <v>88</v>
      </c>
      <c r="M1310" s="49" t="s">
        <v>95</v>
      </c>
      <c r="N1310" s="49" t="s">
        <v>79</v>
      </c>
      <c r="O1310" s="49" t="s">
        <v>68</v>
      </c>
      <c r="P1310" s="49" t="s">
        <v>80</v>
      </c>
      <c r="Q1310" s="49" t="s">
        <v>96</v>
      </c>
      <c r="R1310" s="49" t="s">
        <v>2826</v>
      </c>
      <c r="S1310" s="49" t="s">
        <v>2827</v>
      </c>
      <c r="T1310" s="90" t="s">
        <v>1</v>
      </c>
      <c r="U1310" s="89"/>
      <c r="V1310" s="51">
        <v>46048</v>
      </c>
      <c r="W1310" s="49" t="s">
        <v>68</v>
      </c>
    </row>
    <row r="1311" spans="1:23" ht="13" customHeight="1" x14ac:dyDescent="0.35">
      <c r="A1311" s="11">
        <v>1306</v>
      </c>
      <c r="B1311" s="47">
        <v>206348054</v>
      </c>
      <c r="C1311" s="94" t="s">
        <v>2552</v>
      </c>
      <c r="D1311" s="11" t="s">
        <v>2553</v>
      </c>
      <c r="E1311" s="48" t="s">
        <v>31</v>
      </c>
      <c r="F1311" s="48" t="s">
        <v>74</v>
      </c>
      <c r="G1311" s="11" t="s">
        <v>65</v>
      </c>
      <c r="H1311" s="11" t="s">
        <v>1365</v>
      </c>
      <c r="I1311" s="11">
        <v>1181</v>
      </c>
      <c r="J1311" s="49" t="s">
        <v>32</v>
      </c>
      <c r="K1311" s="49" t="s">
        <v>76</v>
      </c>
      <c r="L1311" s="49" t="s">
        <v>85</v>
      </c>
      <c r="M1311" s="49" t="s">
        <v>88</v>
      </c>
      <c r="N1311" s="49" t="s">
        <v>89</v>
      </c>
      <c r="O1311" s="49" t="s">
        <v>68</v>
      </c>
      <c r="P1311" s="11" t="s">
        <v>80</v>
      </c>
      <c r="Q1311" s="11" t="s">
        <v>90</v>
      </c>
      <c r="R1311" s="11" t="s">
        <v>1369</v>
      </c>
      <c r="S1311" s="11" t="s">
        <v>1370</v>
      </c>
      <c r="T1311" s="90" t="s">
        <v>1</v>
      </c>
      <c r="U1311" s="89"/>
      <c r="V1311" s="51">
        <v>45957</v>
      </c>
      <c r="W1311" s="49" t="s">
        <v>68</v>
      </c>
    </row>
    <row r="1312" spans="1:23" ht="13" customHeight="1" x14ac:dyDescent="0.35">
      <c r="A1312" s="11">
        <v>1307</v>
      </c>
      <c r="B1312" s="47">
        <v>204013739</v>
      </c>
      <c r="C1312" s="94" t="s">
        <v>1465</v>
      </c>
      <c r="D1312" s="11" t="s">
        <v>1466</v>
      </c>
      <c r="E1312" s="48" t="s">
        <v>31</v>
      </c>
      <c r="F1312" s="48" t="s">
        <v>74</v>
      </c>
      <c r="G1312" s="11" t="s">
        <v>65</v>
      </c>
      <c r="H1312" s="11" t="s">
        <v>1365</v>
      </c>
      <c r="I1312" s="11">
        <v>1181</v>
      </c>
      <c r="J1312" s="49" t="s">
        <v>39</v>
      </c>
      <c r="K1312" s="49" t="s">
        <v>76</v>
      </c>
      <c r="L1312" s="49" t="s">
        <v>92</v>
      </c>
      <c r="M1312" s="49" t="s">
        <v>84</v>
      </c>
      <c r="N1312" s="48" t="s">
        <v>79</v>
      </c>
      <c r="O1312" s="49" t="s">
        <v>68</v>
      </c>
      <c r="P1312" s="11" t="s">
        <v>80</v>
      </c>
      <c r="Q1312" s="11" t="s">
        <v>81</v>
      </c>
      <c r="R1312" s="11" t="s">
        <v>2826</v>
      </c>
      <c r="S1312" s="11" t="s">
        <v>2827</v>
      </c>
      <c r="T1312" s="90" t="s">
        <v>4</v>
      </c>
      <c r="U1312" s="89"/>
      <c r="V1312" s="51">
        <v>45551</v>
      </c>
      <c r="W1312" s="49" t="s">
        <v>68</v>
      </c>
    </row>
    <row r="1313" spans="1:23" ht="13" customHeight="1" x14ac:dyDescent="0.35">
      <c r="A1313" s="11">
        <v>1308</v>
      </c>
      <c r="B1313" s="47">
        <v>102205553</v>
      </c>
      <c r="C1313" s="94" t="s">
        <v>1468</v>
      </c>
      <c r="D1313" s="11" t="s">
        <v>1469</v>
      </c>
      <c r="E1313" s="48" t="s">
        <v>34</v>
      </c>
      <c r="F1313" s="48" t="s">
        <v>74</v>
      </c>
      <c r="G1313" s="11" t="s">
        <v>65</v>
      </c>
      <c r="H1313" s="11" t="s">
        <v>1365</v>
      </c>
      <c r="I1313" s="11">
        <v>1182</v>
      </c>
      <c r="J1313" s="49" t="s">
        <v>39</v>
      </c>
      <c r="K1313" s="49" t="s">
        <v>76</v>
      </c>
      <c r="L1313" s="49" t="s">
        <v>95</v>
      </c>
      <c r="M1313" s="49" t="s">
        <v>77</v>
      </c>
      <c r="N1313" s="48" t="s">
        <v>108</v>
      </c>
      <c r="O1313" s="49" t="s">
        <v>68</v>
      </c>
      <c r="P1313" s="11" t="s">
        <v>80</v>
      </c>
      <c r="Q1313" s="11" t="s">
        <v>98</v>
      </c>
      <c r="R1313" s="11" t="s">
        <v>2826</v>
      </c>
      <c r="S1313" s="11" t="s">
        <v>2827</v>
      </c>
      <c r="T1313" s="90" t="s">
        <v>10</v>
      </c>
      <c r="U1313" s="90"/>
      <c r="V1313" s="51">
        <v>42868</v>
      </c>
      <c r="W1313" s="49" t="s">
        <v>68</v>
      </c>
    </row>
    <row r="1314" spans="1:23" ht="13" customHeight="1" x14ac:dyDescent="0.35">
      <c r="A1314" s="11">
        <v>1309</v>
      </c>
      <c r="B1314" s="47">
        <v>206958449</v>
      </c>
      <c r="C1314" s="94" t="s">
        <v>2283</v>
      </c>
      <c r="D1314" s="11" t="s">
        <v>2284</v>
      </c>
      <c r="E1314" s="113" t="s">
        <v>31</v>
      </c>
      <c r="F1314" s="48" t="s">
        <v>74</v>
      </c>
      <c r="G1314" s="11" t="s">
        <v>65</v>
      </c>
      <c r="H1314" s="11" t="s">
        <v>1365</v>
      </c>
      <c r="I1314" s="11">
        <v>1181</v>
      </c>
      <c r="J1314" s="49" t="s">
        <v>39</v>
      </c>
      <c r="K1314" s="49" t="s">
        <v>76</v>
      </c>
      <c r="L1314" s="49" t="s">
        <v>88</v>
      </c>
      <c r="M1314" s="49" t="s">
        <v>95</v>
      </c>
      <c r="N1314" s="49" t="s">
        <v>79</v>
      </c>
      <c r="O1314" s="49" t="s">
        <v>68</v>
      </c>
      <c r="P1314" s="49" t="s">
        <v>80</v>
      </c>
      <c r="Q1314" s="49" t="s">
        <v>96</v>
      </c>
      <c r="R1314" s="49" t="s">
        <v>2826</v>
      </c>
      <c r="S1314" s="49" t="s">
        <v>2827</v>
      </c>
      <c r="T1314" s="90" t="s">
        <v>1</v>
      </c>
      <c r="U1314" s="89"/>
      <c r="V1314" s="51">
        <v>46048</v>
      </c>
      <c r="W1314" s="49" t="s">
        <v>68</v>
      </c>
    </row>
    <row r="1315" spans="1:23" ht="13" customHeight="1" x14ac:dyDescent="0.35">
      <c r="A1315" s="11">
        <v>1310</v>
      </c>
      <c r="B1315" s="113">
        <v>206851162</v>
      </c>
      <c r="C1315" s="94" t="s">
        <v>1781</v>
      </c>
      <c r="D1315" s="11" t="s">
        <v>1782</v>
      </c>
      <c r="E1315" s="48" t="s">
        <v>31</v>
      </c>
      <c r="F1315" s="48" t="s">
        <v>74</v>
      </c>
      <c r="G1315" s="48" t="s">
        <v>65</v>
      </c>
      <c r="H1315" s="48" t="s">
        <v>1365</v>
      </c>
      <c r="I1315" s="11">
        <v>1299</v>
      </c>
      <c r="J1315" s="49" t="s">
        <v>39</v>
      </c>
      <c r="K1315" s="49" t="s">
        <v>76</v>
      </c>
      <c r="L1315" s="49" t="s">
        <v>84</v>
      </c>
      <c r="M1315" s="49" t="s">
        <v>85</v>
      </c>
      <c r="N1315" s="49" t="s">
        <v>89</v>
      </c>
      <c r="O1315" s="49" t="s">
        <v>68</v>
      </c>
      <c r="P1315" s="48" t="s">
        <v>80</v>
      </c>
      <c r="Q1315" s="11" t="s">
        <v>90</v>
      </c>
      <c r="R1315" s="11" t="s">
        <v>2826</v>
      </c>
      <c r="S1315" s="11" t="s">
        <v>2827</v>
      </c>
      <c r="T1315" s="90" t="s">
        <v>1</v>
      </c>
      <c r="U1315" s="90"/>
      <c r="V1315" s="51">
        <v>46020</v>
      </c>
      <c r="W1315" s="49" t="s">
        <v>68</v>
      </c>
    </row>
    <row r="1316" spans="1:23" ht="13" customHeight="1" x14ac:dyDescent="0.35">
      <c r="A1316" s="11">
        <v>1311</v>
      </c>
      <c r="B1316" s="47">
        <v>104042345</v>
      </c>
      <c r="C1316" s="94" t="s">
        <v>1470</v>
      </c>
      <c r="D1316" s="11" t="s">
        <v>1471</v>
      </c>
      <c r="E1316" s="48" t="s">
        <v>34</v>
      </c>
      <c r="F1316" s="48" t="s">
        <v>74</v>
      </c>
      <c r="G1316" s="11" t="s">
        <v>65</v>
      </c>
      <c r="H1316" s="11" t="s">
        <v>1365</v>
      </c>
      <c r="I1316" s="11">
        <v>1182</v>
      </c>
      <c r="J1316" s="49" t="s">
        <v>32</v>
      </c>
      <c r="K1316" s="49" t="s">
        <v>76</v>
      </c>
      <c r="L1316" s="49" t="s">
        <v>85</v>
      </c>
      <c r="M1316" s="49" t="s">
        <v>88</v>
      </c>
      <c r="N1316" s="48" t="s">
        <v>1366</v>
      </c>
      <c r="O1316" s="49" t="s">
        <v>68</v>
      </c>
      <c r="P1316" s="11" t="s">
        <v>80</v>
      </c>
      <c r="Q1316" s="11" t="s">
        <v>98</v>
      </c>
      <c r="R1316" s="11" t="s">
        <v>1369</v>
      </c>
      <c r="S1316" s="11" t="s">
        <v>1370</v>
      </c>
      <c r="T1316" s="90" t="s">
        <v>1</v>
      </c>
      <c r="U1316" s="90"/>
      <c r="V1316" s="51">
        <v>44724</v>
      </c>
      <c r="W1316" s="49" t="s">
        <v>68</v>
      </c>
    </row>
    <row r="1317" spans="1:23" ht="13" customHeight="1" x14ac:dyDescent="0.35">
      <c r="A1317" s="11">
        <v>1312</v>
      </c>
      <c r="B1317" s="47">
        <v>205609755</v>
      </c>
      <c r="C1317" s="94" t="s">
        <v>2419</v>
      </c>
      <c r="D1317" s="11" t="s">
        <v>2420</v>
      </c>
      <c r="E1317" s="48" t="s">
        <v>31</v>
      </c>
      <c r="F1317" s="48" t="s">
        <v>74</v>
      </c>
      <c r="G1317" s="11" t="s">
        <v>65</v>
      </c>
      <c r="H1317" s="11" t="s">
        <v>1365</v>
      </c>
      <c r="I1317" s="11">
        <v>1299</v>
      </c>
      <c r="J1317" s="49" t="s">
        <v>39</v>
      </c>
      <c r="K1317" s="49" t="s">
        <v>76</v>
      </c>
      <c r="L1317" s="49" t="s">
        <v>78</v>
      </c>
      <c r="M1317" s="49" t="s">
        <v>92</v>
      </c>
      <c r="N1317" s="49" t="s">
        <v>89</v>
      </c>
      <c r="O1317" s="49" t="s">
        <v>68</v>
      </c>
      <c r="P1317" s="11" t="s">
        <v>80</v>
      </c>
      <c r="Q1317" s="11" t="s">
        <v>90</v>
      </c>
      <c r="R1317" s="11" t="s">
        <v>2826</v>
      </c>
      <c r="S1317" s="11" t="s">
        <v>2827</v>
      </c>
      <c r="T1317" s="90" t="s">
        <v>1</v>
      </c>
      <c r="U1317" s="90"/>
      <c r="V1317" s="51">
        <v>45845</v>
      </c>
      <c r="W1317" s="49" t="s">
        <v>68</v>
      </c>
    </row>
    <row r="1318" spans="1:23" ht="13" customHeight="1" x14ac:dyDescent="0.35">
      <c r="A1318" s="11">
        <v>1313</v>
      </c>
      <c r="B1318" s="47">
        <v>205285507</v>
      </c>
      <c r="C1318" s="94" t="s">
        <v>1472</v>
      </c>
      <c r="D1318" s="11" t="s">
        <v>2064</v>
      </c>
      <c r="E1318" s="48" t="s">
        <v>31</v>
      </c>
      <c r="F1318" s="48" t="s">
        <v>74</v>
      </c>
      <c r="G1318" s="11" t="s">
        <v>65</v>
      </c>
      <c r="H1318" s="11" t="s">
        <v>1365</v>
      </c>
      <c r="I1318" s="11">
        <v>1299</v>
      </c>
      <c r="J1318" s="49" t="s">
        <v>39</v>
      </c>
      <c r="K1318" s="49" t="s">
        <v>76</v>
      </c>
      <c r="L1318" s="49" t="s">
        <v>95</v>
      </c>
      <c r="M1318" s="49" t="s">
        <v>77</v>
      </c>
      <c r="N1318" s="48" t="s">
        <v>89</v>
      </c>
      <c r="O1318" s="49" t="s">
        <v>68</v>
      </c>
      <c r="P1318" s="11" t="s">
        <v>80</v>
      </c>
      <c r="Q1318" s="11" t="s">
        <v>90</v>
      </c>
      <c r="R1318" s="11" t="s">
        <v>2826</v>
      </c>
      <c r="S1318" s="11" t="s">
        <v>2827</v>
      </c>
      <c r="T1318" s="90" t="s">
        <v>10</v>
      </c>
      <c r="U1318" s="90"/>
      <c r="V1318" s="51">
        <v>45796</v>
      </c>
      <c r="W1318" s="49" t="s">
        <v>68</v>
      </c>
    </row>
    <row r="1319" spans="1:23" ht="13" customHeight="1" x14ac:dyDescent="0.35">
      <c r="A1319" s="11">
        <v>1314</v>
      </c>
      <c r="B1319" s="47">
        <v>102207631</v>
      </c>
      <c r="C1319" s="94" t="s">
        <v>1473</v>
      </c>
      <c r="D1319" s="11" t="s">
        <v>1474</v>
      </c>
      <c r="E1319" s="48" t="s">
        <v>34</v>
      </c>
      <c r="F1319" s="48" t="s">
        <v>74</v>
      </c>
      <c r="G1319" s="11" t="s">
        <v>64</v>
      </c>
      <c r="H1319" s="11" t="s">
        <v>75</v>
      </c>
      <c r="I1319" s="11">
        <v>1299</v>
      </c>
      <c r="J1319" s="49" t="s">
        <v>32</v>
      </c>
      <c r="K1319" s="49" t="s">
        <v>76</v>
      </c>
      <c r="L1319" s="49" t="s">
        <v>77</v>
      </c>
      <c r="M1319" s="49" t="s">
        <v>78</v>
      </c>
      <c r="N1319" s="48" t="s">
        <v>1475</v>
      </c>
      <c r="O1319" s="49" t="s">
        <v>67</v>
      </c>
      <c r="P1319" s="11" t="s">
        <v>1476</v>
      </c>
      <c r="Q1319" s="11" t="s">
        <v>98</v>
      </c>
      <c r="R1319" s="11" t="s">
        <v>2828</v>
      </c>
      <c r="S1319" s="11" t="s">
        <v>2829</v>
      </c>
      <c r="T1319" s="90" t="s">
        <v>10</v>
      </c>
      <c r="U1319" s="90"/>
      <c r="V1319" s="51">
        <v>42868</v>
      </c>
      <c r="W1319" s="11" t="s">
        <v>1601</v>
      </c>
    </row>
    <row r="1320" spans="1:23" ht="13" customHeight="1" x14ac:dyDescent="0.35">
      <c r="A1320" s="11">
        <v>1315</v>
      </c>
      <c r="B1320" s="47">
        <v>203073699</v>
      </c>
      <c r="C1320" s="94" t="s">
        <v>1477</v>
      </c>
      <c r="D1320" s="11" t="s">
        <v>1478</v>
      </c>
      <c r="E1320" s="48" t="s">
        <v>34</v>
      </c>
      <c r="F1320" s="48" t="s">
        <v>74</v>
      </c>
      <c r="G1320" s="11" t="s">
        <v>64</v>
      </c>
      <c r="H1320" s="11" t="s">
        <v>75</v>
      </c>
      <c r="I1320" s="11">
        <v>1712</v>
      </c>
      <c r="J1320" s="88" t="s">
        <v>38</v>
      </c>
      <c r="K1320" s="49" t="s">
        <v>76</v>
      </c>
      <c r="L1320" s="49" t="s">
        <v>95</v>
      </c>
      <c r="M1320" s="49" t="s">
        <v>77</v>
      </c>
      <c r="N1320" s="48" t="s">
        <v>1479</v>
      </c>
      <c r="O1320" s="49" t="s">
        <v>1480</v>
      </c>
      <c r="P1320" s="11" t="s">
        <v>1476</v>
      </c>
      <c r="Q1320" s="11" t="s">
        <v>98</v>
      </c>
      <c r="R1320" s="11" t="s">
        <v>1481</v>
      </c>
      <c r="S1320" s="11" t="s">
        <v>1482</v>
      </c>
      <c r="T1320" s="90" t="s">
        <v>10</v>
      </c>
      <c r="U1320" s="90"/>
      <c r="V1320" s="51">
        <v>45397</v>
      </c>
      <c r="W1320" s="49" t="s">
        <v>1615</v>
      </c>
    </row>
    <row r="1321" spans="1:23" ht="13" customHeight="1" x14ac:dyDescent="0.35">
      <c r="A1321" s="11">
        <v>1316</v>
      </c>
      <c r="B1321" s="47">
        <v>203160008</v>
      </c>
      <c r="C1321" s="94" t="s">
        <v>1483</v>
      </c>
      <c r="D1321" s="11" t="s">
        <v>1484</v>
      </c>
      <c r="E1321" s="48" t="s">
        <v>34</v>
      </c>
      <c r="F1321" s="48" t="s">
        <v>74</v>
      </c>
      <c r="G1321" s="11" t="s">
        <v>64</v>
      </c>
      <c r="H1321" s="11" t="s">
        <v>75</v>
      </c>
      <c r="I1321" s="11">
        <v>1712</v>
      </c>
      <c r="J1321" s="88" t="s">
        <v>39</v>
      </c>
      <c r="K1321" s="49" t="s">
        <v>76</v>
      </c>
      <c r="L1321" s="49" t="s">
        <v>85</v>
      </c>
      <c r="M1321" s="49" t="s">
        <v>88</v>
      </c>
      <c r="N1321" s="48" t="s">
        <v>1479</v>
      </c>
      <c r="O1321" s="49" t="s">
        <v>1480</v>
      </c>
      <c r="P1321" s="11" t="s">
        <v>1476</v>
      </c>
      <c r="Q1321" s="11" t="s">
        <v>98</v>
      </c>
      <c r="R1321" s="11" t="s">
        <v>1481</v>
      </c>
      <c r="S1321" s="11" t="s">
        <v>1482</v>
      </c>
      <c r="T1321" s="90" t="s">
        <v>1</v>
      </c>
      <c r="U1321" s="91"/>
      <c r="V1321" s="51">
        <v>45435</v>
      </c>
      <c r="W1321" s="49" t="s">
        <v>1615</v>
      </c>
    </row>
    <row r="1322" spans="1:23" ht="13" customHeight="1" x14ac:dyDescent="0.35">
      <c r="A1322" s="11">
        <v>1317</v>
      </c>
      <c r="B1322" s="47">
        <v>203118578</v>
      </c>
      <c r="C1322" s="94" t="s">
        <v>1485</v>
      </c>
      <c r="D1322" s="11" t="s">
        <v>1486</v>
      </c>
      <c r="E1322" s="48" t="s">
        <v>34</v>
      </c>
      <c r="F1322" s="48" t="s">
        <v>74</v>
      </c>
      <c r="G1322" s="11" t="s">
        <v>64</v>
      </c>
      <c r="H1322" s="11" t="s">
        <v>75</v>
      </c>
      <c r="I1322" s="11">
        <v>1712</v>
      </c>
      <c r="J1322" s="49" t="s">
        <v>32</v>
      </c>
      <c r="K1322" s="49" t="s">
        <v>76</v>
      </c>
      <c r="L1322" s="49" t="s">
        <v>85</v>
      </c>
      <c r="M1322" s="49" t="s">
        <v>88</v>
      </c>
      <c r="N1322" s="48" t="s">
        <v>1479</v>
      </c>
      <c r="O1322" s="49" t="s">
        <v>1480</v>
      </c>
      <c r="P1322" s="11" t="s">
        <v>1476</v>
      </c>
      <c r="Q1322" s="11" t="s">
        <v>98</v>
      </c>
      <c r="R1322" s="11" t="s">
        <v>1481</v>
      </c>
      <c r="S1322" s="11" t="s">
        <v>1482</v>
      </c>
      <c r="T1322" s="90" t="s">
        <v>1</v>
      </c>
      <c r="U1322" s="90"/>
      <c r="V1322" s="51">
        <v>45383</v>
      </c>
      <c r="W1322" s="49" t="s">
        <v>1615</v>
      </c>
    </row>
    <row r="1323" spans="1:23" ht="13" customHeight="1" x14ac:dyDescent="0.35">
      <c r="A1323" s="11">
        <v>1318</v>
      </c>
      <c r="B1323" s="47">
        <v>203073563</v>
      </c>
      <c r="C1323" s="94" t="s">
        <v>2959</v>
      </c>
      <c r="D1323" s="11" t="s">
        <v>2960</v>
      </c>
      <c r="E1323" s="48" t="s">
        <v>34</v>
      </c>
      <c r="F1323" s="48" t="s">
        <v>74</v>
      </c>
      <c r="G1323" s="11" t="s">
        <v>64</v>
      </c>
      <c r="H1323" s="11" t="s">
        <v>75</v>
      </c>
      <c r="I1323" s="11">
        <v>1712</v>
      </c>
      <c r="J1323" s="49" t="s">
        <v>32</v>
      </c>
      <c r="K1323" s="49" t="s">
        <v>76</v>
      </c>
      <c r="L1323" s="49" t="s">
        <v>77</v>
      </c>
      <c r="M1323" s="49" t="s">
        <v>78</v>
      </c>
      <c r="N1323" s="48" t="s">
        <v>1479</v>
      </c>
      <c r="O1323" s="49" t="s">
        <v>1480</v>
      </c>
      <c r="P1323" s="11" t="s">
        <v>1476</v>
      </c>
      <c r="Q1323" s="11" t="s">
        <v>98</v>
      </c>
      <c r="R1323" s="11" t="s">
        <v>2961</v>
      </c>
      <c r="S1323" s="11" t="s">
        <v>2962</v>
      </c>
      <c r="T1323" s="90" t="s">
        <v>10</v>
      </c>
      <c r="U1323" s="89"/>
      <c r="V1323" s="51">
        <v>45398</v>
      </c>
      <c r="W1323" s="49" t="s">
        <v>1615</v>
      </c>
    </row>
    <row r="1324" spans="1:23" ht="13" customHeight="1" x14ac:dyDescent="0.35">
      <c r="A1324" s="11">
        <v>1319</v>
      </c>
      <c r="B1324" s="47">
        <v>204043092</v>
      </c>
      <c r="C1324" s="94" t="s">
        <v>1487</v>
      </c>
      <c r="D1324" s="11" t="s">
        <v>1488</v>
      </c>
      <c r="E1324" s="48" t="s">
        <v>34</v>
      </c>
      <c r="F1324" s="48" t="s">
        <v>74</v>
      </c>
      <c r="G1324" s="11" t="s">
        <v>64</v>
      </c>
      <c r="H1324" s="11" t="s">
        <v>75</v>
      </c>
      <c r="I1324" s="11">
        <v>1712</v>
      </c>
      <c r="J1324" s="49" t="s">
        <v>39</v>
      </c>
      <c r="K1324" s="49" t="s">
        <v>76</v>
      </c>
      <c r="L1324" s="49" t="s">
        <v>84</v>
      </c>
      <c r="M1324" s="49" t="s">
        <v>85</v>
      </c>
      <c r="N1324" s="48" t="s">
        <v>1479</v>
      </c>
      <c r="O1324" s="49" t="s">
        <v>1480</v>
      </c>
      <c r="P1324" s="11" t="s">
        <v>1476</v>
      </c>
      <c r="Q1324" s="11" t="s">
        <v>98</v>
      </c>
      <c r="R1324" s="11" t="s">
        <v>1481</v>
      </c>
      <c r="S1324" s="11" t="s">
        <v>1482</v>
      </c>
      <c r="T1324" s="90" t="s">
        <v>1</v>
      </c>
      <c r="U1324" s="89"/>
      <c r="V1324" s="51">
        <v>45607</v>
      </c>
      <c r="W1324" s="49" t="s">
        <v>1615</v>
      </c>
    </row>
    <row r="1325" spans="1:23" ht="13" customHeight="1" x14ac:dyDescent="0.35">
      <c r="A1325" s="11">
        <v>1320</v>
      </c>
      <c r="B1325" s="47">
        <v>203052485</v>
      </c>
      <c r="C1325" s="94" t="s">
        <v>1489</v>
      </c>
      <c r="D1325" s="11" t="s">
        <v>1490</v>
      </c>
      <c r="E1325" s="48" t="s">
        <v>34</v>
      </c>
      <c r="F1325" s="48" t="s">
        <v>74</v>
      </c>
      <c r="G1325" s="11" t="s">
        <v>64</v>
      </c>
      <c r="H1325" s="11" t="s">
        <v>75</v>
      </c>
      <c r="I1325" s="11">
        <v>1712</v>
      </c>
      <c r="J1325" s="49" t="s">
        <v>32</v>
      </c>
      <c r="K1325" s="49" t="s">
        <v>76</v>
      </c>
      <c r="L1325" s="49" t="s">
        <v>77</v>
      </c>
      <c r="M1325" s="49" t="s">
        <v>78</v>
      </c>
      <c r="N1325" s="48" t="s">
        <v>1479</v>
      </c>
      <c r="O1325" s="49" t="s">
        <v>1480</v>
      </c>
      <c r="P1325" s="11" t="s">
        <v>1476</v>
      </c>
      <c r="Q1325" s="11" t="s">
        <v>98</v>
      </c>
      <c r="R1325" s="11" t="s">
        <v>1481</v>
      </c>
      <c r="S1325" s="11" t="s">
        <v>1482</v>
      </c>
      <c r="T1325" s="90" t="s">
        <v>10</v>
      </c>
      <c r="U1325" s="89"/>
      <c r="V1325" s="51">
        <v>45397</v>
      </c>
      <c r="W1325" s="49" t="s">
        <v>1615</v>
      </c>
    </row>
    <row r="1326" spans="1:23" ht="13" customHeight="1" x14ac:dyDescent="0.35">
      <c r="A1326" s="11">
        <v>1321</v>
      </c>
      <c r="B1326" s="47">
        <v>203160007</v>
      </c>
      <c r="C1326" s="94" t="s">
        <v>1491</v>
      </c>
      <c r="D1326" s="11" t="s">
        <v>1492</v>
      </c>
      <c r="E1326" s="48" t="s">
        <v>34</v>
      </c>
      <c r="F1326" s="48" t="s">
        <v>74</v>
      </c>
      <c r="G1326" s="11" t="s">
        <v>64</v>
      </c>
      <c r="H1326" s="11" t="s">
        <v>75</v>
      </c>
      <c r="I1326" s="11">
        <v>1712</v>
      </c>
      <c r="J1326" s="88" t="s">
        <v>39</v>
      </c>
      <c r="K1326" s="49" t="s">
        <v>76</v>
      </c>
      <c r="L1326" s="49" t="s">
        <v>88</v>
      </c>
      <c r="M1326" s="49" t="s">
        <v>95</v>
      </c>
      <c r="N1326" s="48" t="s">
        <v>1479</v>
      </c>
      <c r="O1326" s="49" t="s">
        <v>1480</v>
      </c>
      <c r="P1326" s="11" t="s">
        <v>1476</v>
      </c>
      <c r="Q1326" s="11" t="s">
        <v>98</v>
      </c>
      <c r="R1326" s="11" t="s">
        <v>1481</v>
      </c>
      <c r="S1326" s="11" t="s">
        <v>1482</v>
      </c>
      <c r="T1326" s="90" t="s">
        <v>1</v>
      </c>
      <c r="U1326" s="89"/>
      <c r="V1326" s="51">
        <v>45453</v>
      </c>
      <c r="W1326" s="49" t="s">
        <v>1615</v>
      </c>
    </row>
    <row r="1327" spans="1:23" ht="13" customHeight="1" x14ac:dyDescent="0.35">
      <c r="A1327" s="11">
        <v>1322</v>
      </c>
      <c r="B1327" s="47">
        <v>113015344</v>
      </c>
      <c r="C1327" s="94" t="s">
        <v>1493</v>
      </c>
      <c r="D1327" s="11" t="s">
        <v>1494</v>
      </c>
      <c r="E1327" s="48" t="s">
        <v>34</v>
      </c>
      <c r="F1327" s="48" t="s">
        <v>74</v>
      </c>
      <c r="G1327" s="11" t="s">
        <v>64</v>
      </c>
      <c r="H1327" s="11" t="s">
        <v>75</v>
      </c>
      <c r="I1327" s="11">
        <v>1712</v>
      </c>
      <c r="J1327" s="49" t="s">
        <v>39</v>
      </c>
      <c r="K1327" s="49" t="s">
        <v>76</v>
      </c>
      <c r="L1327" s="49" t="s">
        <v>77</v>
      </c>
      <c r="M1327" s="49" t="s">
        <v>78</v>
      </c>
      <c r="N1327" s="48" t="s">
        <v>1479</v>
      </c>
      <c r="O1327" s="49" t="s">
        <v>1480</v>
      </c>
      <c r="P1327" s="11" t="s">
        <v>1476</v>
      </c>
      <c r="Q1327" s="11" t="s">
        <v>98</v>
      </c>
      <c r="R1327" s="11" t="s">
        <v>1481</v>
      </c>
      <c r="S1327" s="11" t="s">
        <v>1482</v>
      </c>
      <c r="T1327" s="90" t="s">
        <v>10</v>
      </c>
      <c r="U1327" s="89"/>
      <c r="V1327" s="51">
        <v>44823</v>
      </c>
      <c r="W1327" s="49" t="s">
        <v>1615</v>
      </c>
    </row>
    <row r="1328" spans="1:23" ht="13" customHeight="1" x14ac:dyDescent="0.35">
      <c r="A1328" s="11">
        <v>1323</v>
      </c>
      <c r="B1328" s="47">
        <v>203160009</v>
      </c>
      <c r="C1328" s="94" t="s">
        <v>1495</v>
      </c>
      <c r="D1328" s="11" t="s">
        <v>1496</v>
      </c>
      <c r="E1328" s="48" t="s">
        <v>34</v>
      </c>
      <c r="F1328" s="48" t="s">
        <v>74</v>
      </c>
      <c r="G1328" s="11" t="s">
        <v>64</v>
      </c>
      <c r="H1328" s="11" t="s">
        <v>75</v>
      </c>
      <c r="I1328" s="11">
        <v>1712</v>
      </c>
      <c r="J1328" s="88" t="s">
        <v>38</v>
      </c>
      <c r="K1328" s="49" t="s">
        <v>76</v>
      </c>
      <c r="L1328" s="49" t="s">
        <v>78</v>
      </c>
      <c r="M1328" s="49" t="s">
        <v>92</v>
      </c>
      <c r="N1328" s="48" t="s">
        <v>1479</v>
      </c>
      <c r="O1328" s="49" t="s">
        <v>1480</v>
      </c>
      <c r="P1328" s="11" t="s">
        <v>1476</v>
      </c>
      <c r="Q1328" s="11" t="s">
        <v>98</v>
      </c>
      <c r="R1328" s="11" t="s">
        <v>1481</v>
      </c>
      <c r="S1328" s="11" t="s">
        <v>1482</v>
      </c>
      <c r="T1328" s="90" t="s">
        <v>1</v>
      </c>
      <c r="U1328" s="91"/>
      <c r="V1328" s="51">
        <v>45446</v>
      </c>
      <c r="W1328" s="49" t="s">
        <v>1615</v>
      </c>
    </row>
    <row r="1329" spans="1:23" ht="13" customHeight="1" x14ac:dyDescent="0.35">
      <c r="A1329" s="11">
        <v>1324</v>
      </c>
      <c r="B1329" s="47">
        <v>203118579</v>
      </c>
      <c r="C1329" s="94" t="s">
        <v>1497</v>
      </c>
      <c r="D1329" s="11" t="s">
        <v>1498</v>
      </c>
      <c r="E1329" s="48" t="s">
        <v>34</v>
      </c>
      <c r="F1329" s="48" t="s">
        <v>74</v>
      </c>
      <c r="G1329" s="11" t="s">
        <v>64</v>
      </c>
      <c r="H1329" s="11" t="s">
        <v>75</v>
      </c>
      <c r="I1329" s="11">
        <v>1712</v>
      </c>
      <c r="J1329" s="49" t="s">
        <v>32</v>
      </c>
      <c r="K1329" s="49" t="s">
        <v>76</v>
      </c>
      <c r="L1329" s="49" t="s">
        <v>88</v>
      </c>
      <c r="M1329" s="49" t="s">
        <v>95</v>
      </c>
      <c r="N1329" s="48" t="s">
        <v>1479</v>
      </c>
      <c r="O1329" s="49" t="s">
        <v>1480</v>
      </c>
      <c r="P1329" s="11" t="s">
        <v>1476</v>
      </c>
      <c r="Q1329" s="11" t="s">
        <v>98</v>
      </c>
      <c r="R1329" s="11" t="s">
        <v>1481</v>
      </c>
      <c r="S1329" s="11" t="s">
        <v>1482</v>
      </c>
      <c r="T1329" s="90" t="s">
        <v>1</v>
      </c>
      <c r="U1329" s="91"/>
      <c r="V1329" s="51">
        <v>45378</v>
      </c>
      <c r="W1329" s="49" t="s">
        <v>1615</v>
      </c>
    </row>
    <row r="1330" spans="1:23" ht="13" customHeight="1" x14ac:dyDescent="0.35">
      <c r="A1330" s="11">
        <v>1325</v>
      </c>
      <c r="B1330" s="47">
        <v>203073561</v>
      </c>
      <c r="C1330" s="94" t="s">
        <v>1499</v>
      </c>
      <c r="D1330" s="11" t="s">
        <v>1500</v>
      </c>
      <c r="E1330" s="48" t="s">
        <v>34</v>
      </c>
      <c r="F1330" s="48" t="s">
        <v>74</v>
      </c>
      <c r="G1330" s="11" t="s">
        <v>64</v>
      </c>
      <c r="H1330" s="11" t="s">
        <v>75</v>
      </c>
      <c r="I1330" s="11">
        <v>1712</v>
      </c>
      <c r="J1330" s="49" t="s">
        <v>38</v>
      </c>
      <c r="K1330" s="49" t="s">
        <v>76</v>
      </c>
      <c r="L1330" s="49" t="s">
        <v>85</v>
      </c>
      <c r="M1330" s="49" t="s">
        <v>88</v>
      </c>
      <c r="N1330" s="48" t="s">
        <v>1479</v>
      </c>
      <c r="O1330" s="49" t="s">
        <v>1480</v>
      </c>
      <c r="P1330" s="11" t="s">
        <v>1476</v>
      </c>
      <c r="Q1330" s="11" t="s">
        <v>98</v>
      </c>
      <c r="R1330" s="11" t="s">
        <v>1481</v>
      </c>
      <c r="S1330" s="11" t="s">
        <v>1482</v>
      </c>
      <c r="T1330" s="90" t="s">
        <v>1</v>
      </c>
      <c r="U1330" s="89"/>
      <c r="V1330" s="51">
        <v>45397</v>
      </c>
      <c r="W1330" s="49" t="s">
        <v>1615</v>
      </c>
    </row>
    <row r="1331" spans="1:23" ht="13" customHeight="1" x14ac:dyDescent="0.35">
      <c r="A1331" s="11">
        <v>1326</v>
      </c>
      <c r="B1331" s="47">
        <v>203052856</v>
      </c>
      <c r="C1331" s="94" t="s">
        <v>1501</v>
      </c>
      <c r="D1331" s="11" t="s">
        <v>1502</v>
      </c>
      <c r="E1331" s="48" t="s">
        <v>34</v>
      </c>
      <c r="F1331" s="48" t="s">
        <v>74</v>
      </c>
      <c r="G1331" s="11" t="s">
        <v>64</v>
      </c>
      <c r="H1331" s="11" t="s">
        <v>75</v>
      </c>
      <c r="I1331" s="11">
        <v>1712</v>
      </c>
      <c r="J1331" s="49" t="s">
        <v>32</v>
      </c>
      <c r="K1331" s="49" t="s">
        <v>76</v>
      </c>
      <c r="L1331" s="49" t="s">
        <v>95</v>
      </c>
      <c r="M1331" s="49" t="s">
        <v>77</v>
      </c>
      <c r="N1331" s="48" t="s">
        <v>1479</v>
      </c>
      <c r="O1331" s="49" t="s">
        <v>1480</v>
      </c>
      <c r="P1331" s="11" t="s">
        <v>1476</v>
      </c>
      <c r="Q1331" s="11" t="s">
        <v>98</v>
      </c>
      <c r="R1331" s="11" t="s">
        <v>1481</v>
      </c>
      <c r="S1331" s="11" t="s">
        <v>1482</v>
      </c>
      <c r="T1331" s="90" t="s">
        <v>10</v>
      </c>
      <c r="U1331" s="89"/>
      <c r="V1331" s="51">
        <v>45411</v>
      </c>
      <c r="W1331" s="49" t="s">
        <v>1615</v>
      </c>
    </row>
    <row r="1332" spans="1:23" ht="13" customHeight="1" x14ac:dyDescent="0.35">
      <c r="A1332" s="11">
        <v>1327</v>
      </c>
      <c r="B1332" s="47">
        <v>203073425</v>
      </c>
      <c r="C1332" s="94" t="s">
        <v>1503</v>
      </c>
      <c r="D1332" s="11" t="s">
        <v>1504</v>
      </c>
      <c r="E1332" s="48" t="s">
        <v>34</v>
      </c>
      <c r="F1332" s="48" t="s">
        <v>74</v>
      </c>
      <c r="G1332" s="11" t="s">
        <v>64</v>
      </c>
      <c r="H1332" s="11" t="s">
        <v>75</v>
      </c>
      <c r="I1332" s="11">
        <v>1712</v>
      </c>
      <c r="J1332" s="88" t="s">
        <v>38</v>
      </c>
      <c r="K1332" s="49" t="s">
        <v>76</v>
      </c>
      <c r="L1332" s="49" t="s">
        <v>77</v>
      </c>
      <c r="M1332" s="49" t="s">
        <v>78</v>
      </c>
      <c r="N1332" s="48" t="s">
        <v>1479</v>
      </c>
      <c r="O1332" s="49" t="s">
        <v>1480</v>
      </c>
      <c r="P1332" s="11" t="s">
        <v>1476</v>
      </c>
      <c r="Q1332" s="11" t="s">
        <v>98</v>
      </c>
      <c r="R1332" s="11" t="s">
        <v>1481</v>
      </c>
      <c r="S1332" s="11" t="s">
        <v>1482</v>
      </c>
      <c r="T1332" s="90" t="s">
        <v>10</v>
      </c>
      <c r="U1332" s="91"/>
      <c r="V1332" s="51">
        <v>45411</v>
      </c>
      <c r="W1332" s="49" t="s">
        <v>1615</v>
      </c>
    </row>
    <row r="1333" spans="1:23" ht="13" customHeight="1" x14ac:dyDescent="0.35">
      <c r="A1333" s="11">
        <v>1328</v>
      </c>
      <c r="B1333" s="47">
        <v>207574273</v>
      </c>
      <c r="C1333" s="94" t="s">
        <v>2957</v>
      </c>
      <c r="D1333" s="11" t="s">
        <v>2958</v>
      </c>
      <c r="E1333" s="48" t="s">
        <v>34</v>
      </c>
      <c r="F1333" s="48" t="s">
        <v>74</v>
      </c>
      <c r="G1333" s="11" t="s">
        <v>64</v>
      </c>
      <c r="H1333" s="11" t="s">
        <v>75</v>
      </c>
      <c r="I1333" s="11">
        <v>1712</v>
      </c>
      <c r="J1333" s="88" t="s">
        <v>32</v>
      </c>
      <c r="K1333" s="49" t="s">
        <v>76</v>
      </c>
      <c r="L1333" s="49" t="s">
        <v>77</v>
      </c>
      <c r="M1333" s="49" t="s">
        <v>78</v>
      </c>
      <c r="N1333" s="48" t="s">
        <v>1479</v>
      </c>
      <c r="O1333" s="49" t="s">
        <v>1480</v>
      </c>
      <c r="P1333" s="11" t="s">
        <v>1476</v>
      </c>
      <c r="Q1333" s="11" t="s">
        <v>98</v>
      </c>
      <c r="R1333" s="11" t="s">
        <v>1481</v>
      </c>
      <c r="S1333" s="11" t="s">
        <v>1482</v>
      </c>
      <c r="T1333" s="90" t="s">
        <v>10</v>
      </c>
      <c r="U1333" s="91"/>
      <c r="V1333" s="51">
        <v>46230</v>
      </c>
      <c r="W1333" s="49" t="s">
        <v>1615</v>
      </c>
    </row>
    <row r="1334" spans="1:23" ht="13" customHeight="1" x14ac:dyDescent="0.35">
      <c r="A1334" s="11">
        <v>1329</v>
      </c>
      <c r="B1334" s="47">
        <v>203940975</v>
      </c>
      <c r="C1334" s="94" t="s">
        <v>1505</v>
      </c>
      <c r="D1334" s="11" t="s">
        <v>1506</v>
      </c>
      <c r="E1334" s="48" t="s">
        <v>31</v>
      </c>
      <c r="F1334" s="48" t="s">
        <v>74</v>
      </c>
      <c r="G1334" s="11" t="s">
        <v>64</v>
      </c>
      <c r="H1334" s="11" t="s">
        <v>75</v>
      </c>
      <c r="I1334" s="11">
        <v>1299</v>
      </c>
      <c r="J1334" s="49" t="s">
        <v>32</v>
      </c>
      <c r="K1334" s="49" t="s">
        <v>76</v>
      </c>
      <c r="L1334" s="49" t="s">
        <v>77</v>
      </c>
      <c r="M1334" s="49" t="s">
        <v>78</v>
      </c>
      <c r="N1334" s="48" t="s">
        <v>2838</v>
      </c>
      <c r="O1334" s="49" t="s">
        <v>1508</v>
      </c>
      <c r="P1334" s="11" t="s">
        <v>1476</v>
      </c>
      <c r="Q1334" s="11" t="s">
        <v>99</v>
      </c>
      <c r="R1334" s="11" t="s">
        <v>2830</v>
      </c>
      <c r="S1334" s="11" t="s">
        <v>2831</v>
      </c>
      <c r="T1334" s="90" t="s">
        <v>10</v>
      </c>
      <c r="U1334" s="91"/>
      <c r="V1334" s="51">
        <v>45540</v>
      </c>
      <c r="W1334" s="49" t="s">
        <v>1616</v>
      </c>
    </row>
    <row r="1335" spans="1:23" ht="13" customHeight="1" x14ac:dyDescent="0.35">
      <c r="A1335" s="11">
        <v>1330</v>
      </c>
      <c r="B1335" s="47">
        <v>207383780</v>
      </c>
      <c r="C1335" s="94" t="s">
        <v>2423</v>
      </c>
      <c r="D1335" s="11" t="s">
        <v>2424</v>
      </c>
      <c r="E1335" s="48" t="s">
        <v>31</v>
      </c>
      <c r="F1335" s="48" t="s">
        <v>74</v>
      </c>
      <c r="G1335" s="11" t="s">
        <v>64</v>
      </c>
      <c r="H1335" s="11" t="s">
        <v>75</v>
      </c>
      <c r="I1335" s="11">
        <v>1299</v>
      </c>
      <c r="J1335" s="49" t="s">
        <v>39</v>
      </c>
      <c r="K1335" s="49" t="s">
        <v>76</v>
      </c>
      <c r="L1335" s="49" t="s">
        <v>85</v>
      </c>
      <c r="M1335" s="49" t="s">
        <v>88</v>
      </c>
      <c r="N1335" s="48" t="s">
        <v>2305</v>
      </c>
      <c r="O1335" s="49" t="s">
        <v>1508</v>
      </c>
      <c r="P1335" s="11" t="s">
        <v>1476</v>
      </c>
      <c r="Q1335" s="11" t="s">
        <v>96</v>
      </c>
      <c r="R1335" s="11" t="s">
        <v>2298</v>
      </c>
      <c r="S1335" s="11" t="s">
        <v>2832</v>
      </c>
      <c r="T1335" s="90" t="s">
        <v>1</v>
      </c>
      <c r="U1335" s="90"/>
      <c r="V1335" s="51">
        <v>46141</v>
      </c>
      <c r="W1335" s="49" t="s">
        <v>1616</v>
      </c>
    </row>
    <row r="1336" spans="1:23" ht="13" customHeight="1" x14ac:dyDescent="0.35">
      <c r="A1336" s="11">
        <v>1331</v>
      </c>
      <c r="B1336" s="47">
        <v>112875012</v>
      </c>
      <c r="C1336" s="94" t="s">
        <v>2443</v>
      </c>
      <c r="D1336" s="11" t="s">
        <v>2444</v>
      </c>
      <c r="E1336" s="48" t="s">
        <v>34</v>
      </c>
      <c r="F1336" s="48" t="s">
        <v>74</v>
      </c>
      <c r="G1336" s="11" t="s">
        <v>64</v>
      </c>
      <c r="H1336" s="11" t="s">
        <v>75</v>
      </c>
      <c r="I1336" s="11">
        <v>1299</v>
      </c>
      <c r="J1336" s="49" t="s">
        <v>32</v>
      </c>
      <c r="K1336" s="49" t="s">
        <v>76</v>
      </c>
      <c r="L1336" s="49" t="s">
        <v>78</v>
      </c>
      <c r="M1336" s="49" t="s">
        <v>92</v>
      </c>
      <c r="N1336" s="48" t="s">
        <v>1509</v>
      </c>
      <c r="O1336" s="49" t="s">
        <v>1508</v>
      </c>
      <c r="P1336" s="11" t="s">
        <v>1476</v>
      </c>
      <c r="Q1336" s="11" t="s">
        <v>98</v>
      </c>
      <c r="R1336" s="11" t="s">
        <v>2298</v>
      </c>
      <c r="S1336" s="11" t="s">
        <v>2832</v>
      </c>
      <c r="T1336" s="90" t="s">
        <v>7</v>
      </c>
      <c r="U1336" s="90" t="s">
        <v>3004</v>
      </c>
      <c r="V1336" s="51">
        <v>45250</v>
      </c>
      <c r="W1336" s="49" t="s">
        <v>1616</v>
      </c>
    </row>
    <row r="1337" spans="1:23" ht="13" customHeight="1" x14ac:dyDescent="0.35">
      <c r="A1337" s="11">
        <v>1332</v>
      </c>
      <c r="B1337" s="47">
        <v>204341339</v>
      </c>
      <c r="C1337" s="94" t="s">
        <v>1510</v>
      </c>
      <c r="D1337" s="11" t="s">
        <v>1511</v>
      </c>
      <c r="E1337" s="48" t="s">
        <v>31</v>
      </c>
      <c r="F1337" s="48" t="s">
        <v>74</v>
      </c>
      <c r="G1337" s="11" t="s">
        <v>64</v>
      </c>
      <c r="H1337" s="11" t="s">
        <v>75</v>
      </c>
      <c r="I1337" s="11">
        <v>1299</v>
      </c>
      <c r="J1337" s="49" t="s">
        <v>32</v>
      </c>
      <c r="K1337" s="49" t="s">
        <v>76</v>
      </c>
      <c r="L1337" s="49" t="s">
        <v>85</v>
      </c>
      <c r="M1337" s="49" t="s">
        <v>88</v>
      </c>
      <c r="N1337" s="48" t="s">
        <v>1512</v>
      </c>
      <c r="O1337" s="49" t="s">
        <v>1508</v>
      </c>
      <c r="P1337" s="11" t="s">
        <v>1476</v>
      </c>
      <c r="Q1337" s="11" t="s">
        <v>90</v>
      </c>
      <c r="R1337" s="11" t="s">
        <v>2298</v>
      </c>
      <c r="S1337" s="11" t="s">
        <v>2832</v>
      </c>
      <c r="T1337" s="90" t="s">
        <v>1</v>
      </c>
      <c r="U1337" s="91"/>
      <c r="V1337" s="51">
        <v>45589</v>
      </c>
      <c r="W1337" s="49" t="s">
        <v>1616</v>
      </c>
    </row>
    <row r="1338" spans="1:23" ht="13" customHeight="1" x14ac:dyDescent="0.35">
      <c r="A1338" s="11">
        <v>1333</v>
      </c>
      <c r="B1338" s="47">
        <v>203090005</v>
      </c>
      <c r="C1338" s="94" t="s">
        <v>1513</v>
      </c>
      <c r="D1338" s="11" t="s">
        <v>1514</v>
      </c>
      <c r="E1338" s="48" t="s">
        <v>34</v>
      </c>
      <c r="F1338" s="48" t="s">
        <v>74</v>
      </c>
      <c r="G1338" s="11" t="s">
        <v>64</v>
      </c>
      <c r="H1338" s="11" t="s">
        <v>75</v>
      </c>
      <c r="I1338" s="11">
        <v>1299</v>
      </c>
      <c r="J1338" s="49" t="s">
        <v>32</v>
      </c>
      <c r="K1338" s="49" t="s">
        <v>76</v>
      </c>
      <c r="L1338" s="49" t="s">
        <v>77</v>
      </c>
      <c r="M1338" s="49" t="s">
        <v>78</v>
      </c>
      <c r="N1338" s="48" t="s">
        <v>2839</v>
      </c>
      <c r="O1338" s="49" t="s">
        <v>1508</v>
      </c>
      <c r="P1338" s="11" t="s">
        <v>1476</v>
      </c>
      <c r="Q1338" s="11" t="s">
        <v>98</v>
      </c>
      <c r="R1338" s="11" t="s">
        <v>2833</v>
      </c>
      <c r="S1338" s="11" t="s">
        <v>2997</v>
      </c>
      <c r="T1338" s="90" t="s">
        <v>10</v>
      </c>
      <c r="U1338" s="90"/>
      <c r="V1338" s="51">
        <v>45377</v>
      </c>
      <c r="W1338" s="49" t="s">
        <v>1616</v>
      </c>
    </row>
    <row r="1339" spans="1:23" ht="13" customHeight="1" x14ac:dyDescent="0.35">
      <c r="A1339" s="11">
        <v>1334</v>
      </c>
      <c r="B1339" s="47">
        <v>204155451</v>
      </c>
      <c r="C1339" s="94" t="s">
        <v>1515</v>
      </c>
      <c r="D1339" s="11" t="s">
        <v>1516</v>
      </c>
      <c r="E1339" s="48" t="s">
        <v>31</v>
      </c>
      <c r="F1339" s="48" t="s">
        <v>74</v>
      </c>
      <c r="G1339" s="11" t="s">
        <v>64</v>
      </c>
      <c r="H1339" s="11" t="s">
        <v>75</v>
      </c>
      <c r="I1339" s="11">
        <v>1299</v>
      </c>
      <c r="J1339" s="49" t="s">
        <v>32</v>
      </c>
      <c r="K1339" s="49" t="s">
        <v>76</v>
      </c>
      <c r="L1339" s="49" t="s">
        <v>92</v>
      </c>
      <c r="M1339" s="49" t="s">
        <v>84</v>
      </c>
      <c r="N1339" s="48" t="s">
        <v>1512</v>
      </c>
      <c r="O1339" s="49" t="s">
        <v>1508</v>
      </c>
      <c r="P1339" s="11" t="s">
        <v>1476</v>
      </c>
      <c r="Q1339" s="11" t="s">
        <v>90</v>
      </c>
      <c r="R1339" s="11" t="s">
        <v>2298</v>
      </c>
      <c r="S1339" s="11" t="s">
        <v>2832</v>
      </c>
      <c r="T1339" s="90" t="s">
        <v>1</v>
      </c>
      <c r="U1339" s="91"/>
      <c r="V1339" s="51">
        <v>45567</v>
      </c>
      <c r="W1339" s="49" t="s">
        <v>1616</v>
      </c>
    </row>
    <row r="1340" spans="1:23" ht="13" customHeight="1" x14ac:dyDescent="0.35">
      <c r="A1340" s="11">
        <v>1335</v>
      </c>
      <c r="B1340" s="47">
        <v>204469338</v>
      </c>
      <c r="C1340" s="94" t="s">
        <v>1517</v>
      </c>
      <c r="D1340" s="11" t="s">
        <v>1518</v>
      </c>
      <c r="E1340" s="48" t="s">
        <v>31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49" t="s">
        <v>32</v>
      </c>
      <c r="K1340" s="49" t="s">
        <v>76</v>
      </c>
      <c r="L1340" s="49" t="s">
        <v>95</v>
      </c>
      <c r="M1340" s="49" t="s">
        <v>77</v>
      </c>
      <c r="N1340" s="48" t="s">
        <v>1519</v>
      </c>
      <c r="O1340" s="49" t="s">
        <v>1508</v>
      </c>
      <c r="P1340" s="11" t="s">
        <v>1476</v>
      </c>
      <c r="Q1340" s="11" t="s">
        <v>81</v>
      </c>
      <c r="R1340" s="11" t="s">
        <v>2298</v>
      </c>
      <c r="S1340" s="11" t="s">
        <v>2832</v>
      </c>
      <c r="T1340" s="90" t="s">
        <v>10</v>
      </c>
      <c r="U1340" s="91"/>
      <c r="V1340" s="51">
        <v>45603</v>
      </c>
      <c r="W1340" s="49" t="s">
        <v>1616</v>
      </c>
    </row>
    <row r="1341" spans="1:23" ht="13" customHeight="1" x14ac:dyDescent="0.35">
      <c r="A1341" s="11">
        <v>1336</v>
      </c>
      <c r="B1341" s="47">
        <v>205837449</v>
      </c>
      <c r="C1341" s="94" t="s">
        <v>2303</v>
      </c>
      <c r="D1341" s="11" t="s">
        <v>2304</v>
      </c>
      <c r="E1341" s="48" t="s">
        <v>31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49" t="s">
        <v>32</v>
      </c>
      <c r="K1341" s="49" t="s">
        <v>76</v>
      </c>
      <c r="L1341" s="49" t="s">
        <v>95</v>
      </c>
      <c r="M1341" s="49" t="s">
        <v>77</v>
      </c>
      <c r="N1341" s="48" t="s">
        <v>2305</v>
      </c>
      <c r="O1341" s="49" t="s">
        <v>1508</v>
      </c>
      <c r="P1341" s="11" t="s">
        <v>1476</v>
      </c>
      <c r="Q1341" s="11" t="s">
        <v>96</v>
      </c>
      <c r="R1341" s="11" t="s">
        <v>2298</v>
      </c>
      <c r="S1341" s="11" t="s">
        <v>2832</v>
      </c>
      <c r="T1341" s="90" t="s">
        <v>10</v>
      </c>
      <c r="U1341" s="91"/>
      <c r="V1341" s="51">
        <v>45890</v>
      </c>
      <c r="W1341" s="49" t="s">
        <v>1616</v>
      </c>
    </row>
    <row r="1342" spans="1:23" ht="13" customHeight="1" x14ac:dyDescent="0.35">
      <c r="A1342" s="11">
        <v>1337</v>
      </c>
      <c r="B1342" s="47">
        <v>203174504</v>
      </c>
      <c r="C1342" s="94" t="s">
        <v>2566</v>
      </c>
      <c r="D1342" s="11" t="s">
        <v>2567</v>
      </c>
      <c r="E1342" s="48" t="s">
        <v>34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49" t="s">
        <v>32</v>
      </c>
      <c r="K1342" s="49" t="s">
        <v>76</v>
      </c>
      <c r="L1342" s="49" t="s">
        <v>88</v>
      </c>
      <c r="M1342" s="49" t="s">
        <v>95</v>
      </c>
      <c r="N1342" s="48" t="s">
        <v>1509</v>
      </c>
      <c r="O1342" s="49" t="s">
        <v>1508</v>
      </c>
      <c r="P1342" s="11" t="s">
        <v>1476</v>
      </c>
      <c r="Q1342" s="11" t="s">
        <v>98</v>
      </c>
      <c r="R1342" s="11" t="s">
        <v>2298</v>
      </c>
      <c r="S1342" s="11" t="s">
        <v>2832</v>
      </c>
      <c r="T1342" s="90" t="s">
        <v>1</v>
      </c>
      <c r="U1342" s="89"/>
      <c r="V1342" s="51">
        <v>46076</v>
      </c>
      <c r="W1342" s="49" t="s">
        <v>1616</v>
      </c>
    </row>
    <row r="1343" spans="1:23" ht="13" customHeight="1" x14ac:dyDescent="0.35">
      <c r="A1343" s="11">
        <v>1338</v>
      </c>
      <c r="B1343" s="47">
        <v>204033425</v>
      </c>
      <c r="C1343" s="94" t="s">
        <v>1520</v>
      </c>
      <c r="D1343" s="11" t="s">
        <v>1521</v>
      </c>
      <c r="E1343" s="48" t="s">
        <v>31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49" t="s">
        <v>39</v>
      </c>
      <c r="K1343" s="49" t="s">
        <v>76</v>
      </c>
      <c r="L1343" s="49" t="s">
        <v>92</v>
      </c>
      <c r="M1343" s="49" t="s">
        <v>84</v>
      </c>
      <c r="N1343" s="48" t="s">
        <v>1519</v>
      </c>
      <c r="O1343" s="49" t="s">
        <v>1508</v>
      </c>
      <c r="P1343" s="11" t="s">
        <v>1476</v>
      </c>
      <c r="Q1343" s="11" t="s">
        <v>81</v>
      </c>
      <c r="R1343" s="11" t="s">
        <v>2298</v>
      </c>
      <c r="S1343" s="11" t="s">
        <v>2832</v>
      </c>
      <c r="T1343" s="90" t="s">
        <v>7</v>
      </c>
      <c r="U1343" s="90" t="s">
        <v>3004</v>
      </c>
      <c r="V1343" s="51">
        <v>45553</v>
      </c>
      <c r="W1343" s="49" t="s">
        <v>1616</v>
      </c>
    </row>
    <row r="1344" spans="1:23" ht="13" customHeight="1" x14ac:dyDescent="0.35">
      <c r="A1344" s="11">
        <v>1339</v>
      </c>
      <c r="B1344" s="47">
        <v>207282341</v>
      </c>
      <c r="C1344" s="94" t="s">
        <v>2425</v>
      </c>
      <c r="D1344" s="11" t="s">
        <v>2426</v>
      </c>
      <c r="E1344" s="48" t="s">
        <v>31</v>
      </c>
      <c r="F1344" s="48" t="s">
        <v>74</v>
      </c>
      <c r="G1344" s="11" t="s">
        <v>64</v>
      </c>
      <c r="H1344" s="11" t="s">
        <v>75</v>
      </c>
      <c r="I1344" s="11">
        <v>1299</v>
      </c>
      <c r="J1344" s="49" t="s">
        <v>39</v>
      </c>
      <c r="K1344" s="49" t="s">
        <v>76</v>
      </c>
      <c r="L1344" s="49" t="s">
        <v>85</v>
      </c>
      <c r="M1344" s="49" t="s">
        <v>88</v>
      </c>
      <c r="N1344" s="48" t="s">
        <v>2305</v>
      </c>
      <c r="O1344" s="49" t="s">
        <v>1508</v>
      </c>
      <c r="P1344" s="11" t="s">
        <v>1476</v>
      </c>
      <c r="Q1344" s="11" t="s">
        <v>96</v>
      </c>
      <c r="R1344" s="11" t="s">
        <v>2298</v>
      </c>
      <c r="S1344" s="11" t="s">
        <v>2832</v>
      </c>
      <c r="T1344" s="90" t="s">
        <v>1</v>
      </c>
      <c r="U1344" s="90"/>
      <c r="V1344" s="51">
        <v>46123</v>
      </c>
      <c r="W1344" s="49" t="s">
        <v>1616</v>
      </c>
    </row>
    <row r="1345" spans="1:23" ht="13" customHeight="1" x14ac:dyDescent="0.35">
      <c r="A1345" s="11">
        <v>1340</v>
      </c>
      <c r="B1345" s="47">
        <v>203555938</v>
      </c>
      <c r="C1345" s="94" t="s">
        <v>2562</v>
      </c>
      <c r="D1345" s="11" t="s">
        <v>2563</v>
      </c>
      <c r="E1345" s="48" t="s">
        <v>31</v>
      </c>
      <c r="F1345" s="48" t="s">
        <v>74</v>
      </c>
      <c r="G1345" s="11" t="s">
        <v>64</v>
      </c>
      <c r="H1345" s="11" t="s">
        <v>75</v>
      </c>
      <c r="I1345" s="11">
        <v>1299</v>
      </c>
      <c r="J1345" s="49" t="s">
        <v>32</v>
      </c>
      <c r="K1345" s="49" t="s">
        <v>76</v>
      </c>
      <c r="L1345" s="49" t="s">
        <v>84</v>
      </c>
      <c r="M1345" s="49" t="s">
        <v>85</v>
      </c>
      <c r="N1345" s="48" t="s">
        <v>1507</v>
      </c>
      <c r="O1345" s="49" t="s">
        <v>1508</v>
      </c>
      <c r="P1345" s="11" t="s">
        <v>1476</v>
      </c>
      <c r="Q1345" s="11" t="s">
        <v>99</v>
      </c>
      <c r="R1345" s="11" t="s">
        <v>2298</v>
      </c>
      <c r="S1345" s="11" t="s">
        <v>2832</v>
      </c>
      <c r="T1345" s="90" t="s">
        <v>1</v>
      </c>
      <c r="U1345" s="89"/>
      <c r="V1345" s="51">
        <v>45469</v>
      </c>
      <c r="W1345" s="49" t="s">
        <v>1616</v>
      </c>
    </row>
    <row r="1346" spans="1:23" ht="13" customHeight="1" x14ac:dyDescent="0.35">
      <c r="A1346" s="11">
        <v>1341</v>
      </c>
      <c r="B1346" s="47">
        <v>203815279</v>
      </c>
      <c r="C1346" s="94" t="s">
        <v>2786</v>
      </c>
      <c r="D1346" s="11" t="s">
        <v>2787</v>
      </c>
      <c r="E1346" s="48" t="s">
        <v>31</v>
      </c>
      <c r="F1346" s="48" t="s">
        <v>74</v>
      </c>
      <c r="G1346" s="11" t="s">
        <v>64</v>
      </c>
      <c r="H1346" s="11" t="s">
        <v>75</v>
      </c>
      <c r="I1346" s="11">
        <v>1299</v>
      </c>
      <c r="J1346" s="49" t="s">
        <v>32</v>
      </c>
      <c r="K1346" s="49" t="s">
        <v>76</v>
      </c>
      <c r="L1346" s="49" t="s">
        <v>84</v>
      </c>
      <c r="M1346" s="49" t="s">
        <v>85</v>
      </c>
      <c r="N1346" s="48" t="s">
        <v>1519</v>
      </c>
      <c r="O1346" s="49" t="s">
        <v>1508</v>
      </c>
      <c r="P1346" s="11" t="s">
        <v>1476</v>
      </c>
      <c r="Q1346" s="11" t="s">
        <v>81</v>
      </c>
      <c r="R1346" s="11" t="s">
        <v>2298</v>
      </c>
      <c r="S1346" s="11" t="s">
        <v>2832</v>
      </c>
      <c r="T1346" s="90" t="s">
        <v>1</v>
      </c>
      <c r="U1346" s="89"/>
      <c r="V1346" s="51">
        <v>45516</v>
      </c>
      <c r="W1346" s="49" t="s">
        <v>1616</v>
      </c>
    </row>
    <row r="1347" spans="1:23" ht="13" customHeight="1" x14ac:dyDescent="0.35">
      <c r="A1347" s="11">
        <v>1342</v>
      </c>
      <c r="B1347" s="47">
        <v>203750137</v>
      </c>
      <c r="C1347" s="94" t="s">
        <v>1522</v>
      </c>
      <c r="D1347" s="11" t="s">
        <v>1523</v>
      </c>
      <c r="E1347" s="48" t="s">
        <v>31</v>
      </c>
      <c r="F1347" s="48" t="s">
        <v>74</v>
      </c>
      <c r="G1347" s="11" t="s">
        <v>64</v>
      </c>
      <c r="H1347" s="11" t="s">
        <v>75</v>
      </c>
      <c r="I1347" s="11">
        <v>1299</v>
      </c>
      <c r="J1347" s="49" t="s">
        <v>39</v>
      </c>
      <c r="K1347" s="49" t="s">
        <v>76</v>
      </c>
      <c r="L1347" s="49" t="s">
        <v>85</v>
      </c>
      <c r="M1347" s="49" t="s">
        <v>88</v>
      </c>
      <c r="N1347" s="48" t="s">
        <v>1519</v>
      </c>
      <c r="O1347" s="49" t="s">
        <v>1508</v>
      </c>
      <c r="P1347" s="11" t="s">
        <v>1476</v>
      </c>
      <c r="Q1347" s="11" t="s">
        <v>81</v>
      </c>
      <c r="R1347" s="11" t="s">
        <v>2298</v>
      </c>
      <c r="S1347" s="11" t="s">
        <v>2832</v>
      </c>
      <c r="T1347" s="90" t="s">
        <v>1</v>
      </c>
      <c r="U1347" s="89"/>
      <c r="V1347" s="51">
        <v>45503</v>
      </c>
      <c r="W1347" s="49" t="s">
        <v>1616</v>
      </c>
    </row>
    <row r="1348" spans="1:23" ht="13" customHeight="1" x14ac:dyDescent="0.35">
      <c r="A1348" s="11">
        <v>1343</v>
      </c>
      <c r="B1348" s="47">
        <v>203974084</v>
      </c>
      <c r="C1348" s="94" t="s">
        <v>1524</v>
      </c>
      <c r="D1348" s="11" t="s">
        <v>1525</v>
      </c>
      <c r="E1348" s="48" t="s">
        <v>31</v>
      </c>
      <c r="F1348" s="48" t="s">
        <v>74</v>
      </c>
      <c r="G1348" s="11" t="s">
        <v>64</v>
      </c>
      <c r="H1348" s="11" t="s">
        <v>75</v>
      </c>
      <c r="I1348" s="11">
        <v>1299</v>
      </c>
      <c r="J1348" s="49" t="s">
        <v>39</v>
      </c>
      <c r="K1348" s="49" t="s">
        <v>76</v>
      </c>
      <c r="L1348" s="49" t="s">
        <v>84</v>
      </c>
      <c r="M1348" s="49" t="s">
        <v>85</v>
      </c>
      <c r="N1348" s="48" t="s">
        <v>1512</v>
      </c>
      <c r="O1348" s="49" t="s">
        <v>1508</v>
      </c>
      <c r="P1348" s="11" t="s">
        <v>1476</v>
      </c>
      <c r="Q1348" s="11" t="s">
        <v>90</v>
      </c>
      <c r="R1348" s="11" t="s">
        <v>2298</v>
      </c>
      <c r="S1348" s="11" t="s">
        <v>2832</v>
      </c>
      <c r="T1348" s="90" t="s">
        <v>1</v>
      </c>
      <c r="U1348" s="90"/>
      <c r="V1348" s="51">
        <v>45545</v>
      </c>
      <c r="W1348" s="49" t="s">
        <v>1616</v>
      </c>
    </row>
    <row r="1349" spans="1:23" ht="13" customHeight="1" x14ac:dyDescent="0.35">
      <c r="A1349" s="11">
        <v>1344</v>
      </c>
      <c r="B1349" s="47">
        <v>206332542</v>
      </c>
      <c r="C1349" s="94" t="s">
        <v>1742</v>
      </c>
      <c r="D1349" s="11" t="s">
        <v>1743</v>
      </c>
      <c r="E1349" s="48" t="s">
        <v>31</v>
      </c>
      <c r="F1349" s="48" t="s">
        <v>74</v>
      </c>
      <c r="G1349" s="11" t="s">
        <v>64</v>
      </c>
      <c r="H1349" s="11" t="s">
        <v>75</v>
      </c>
      <c r="I1349" s="11">
        <v>1299</v>
      </c>
      <c r="J1349" s="49" t="s">
        <v>39</v>
      </c>
      <c r="K1349" s="49" t="s">
        <v>76</v>
      </c>
      <c r="L1349" s="49" t="s">
        <v>78</v>
      </c>
      <c r="M1349" s="49" t="s">
        <v>92</v>
      </c>
      <c r="N1349" s="48" t="s">
        <v>1512</v>
      </c>
      <c r="O1349" s="49" t="s">
        <v>1508</v>
      </c>
      <c r="P1349" s="11" t="s">
        <v>1476</v>
      </c>
      <c r="Q1349" s="11" t="s">
        <v>90</v>
      </c>
      <c r="R1349" s="11" t="s">
        <v>2298</v>
      </c>
      <c r="S1349" s="11" t="s">
        <v>2832</v>
      </c>
      <c r="T1349" s="90" t="s">
        <v>1</v>
      </c>
      <c r="U1349" s="89"/>
      <c r="V1349" s="51">
        <v>45957</v>
      </c>
      <c r="W1349" s="49" t="s">
        <v>1616</v>
      </c>
    </row>
    <row r="1350" spans="1:23" ht="13" customHeight="1" x14ac:dyDescent="0.35">
      <c r="A1350" s="11">
        <v>1345</v>
      </c>
      <c r="B1350" s="47">
        <v>205247340</v>
      </c>
      <c r="C1350" s="94" t="s">
        <v>2788</v>
      </c>
      <c r="D1350" s="11" t="s">
        <v>2789</v>
      </c>
      <c r="E1350" s="48" t="s">
        <v>31</v>
      </c>
      <c r="F1350" s="48" t="s">
        <v>74</v>
      </c>
      <c r="G1350" s="11" t="s">
        <v>64</v>
      </c>
      <c r="H1350" s="11" t="s">
        <v>75</v>
      </c>
      <c r="I1350" s="11">
        <v>1299</v>
      </c>
      <c r="J1350" s="49" t="s">
        <v>32</v>
      </c>
      <c r="K1350" s="49" t="s">
        <v>76</v>
      </c>
      <c r="L1350" s="49" t="s">
        <v>78</v>
      </c>
      <c r="M1350" s="49" t="s">
        <v>92</v>
      </c>
      <c r="N1350" s="48" t="s">
        <v>1526</v>
      </c>
      <c r="O1350" s="49" t="s">
        <v>1508</v>
      </c>
      <c r="P1350" s="11" t="s">
        <v>1476</v>
      </c>
      <c r="Q1350" s="11" t="s">
        <v>87</v>
      </c>
      <c r="R1350" s="11" t="s">
        <v>2298</v>
      </c>
      <c r="S1350" s="11" t="s">
        <v>2832</v>
      </c>
      <c r="T1350" s="90" t="s">
        <v>1</v>
      </c>
      <c r="U1350" s="89"/>
      <c r="V1350" s="51">
        <v>45784</v>
      </c>
      <c r="W1350" s="49" t="s">
        <v>1616</v>
      </c>
    </row>
    <row r="1351" spans="1:23" ht="13" customHeight="1" x14ac:dyDescent="0.35">
      <c r="A1351" s="11">
        <v>1346</v>
      </c>
      <c r="B1351" s="47">
        <v>204886250</v>
      </c>
      <c r="C1351" s="94" t="s">
        <v>1527</v>
      </c>
      <c r="D1351" s="11" t="s">
        <v>1528</v>
      </c>
      <c r="E1351" s="48" t="s">
        <v>31</v>
      </c>
      <c r="F1351" s="48" t="s">
        <v>74</v>
      </c>
      <c r="G1351" s="11" t="s">
        <v>64</v>
      </c>
      <c r="H1351" s="11" t="s">
        <v>75</v>
      </c>
      <c r="I1351" s="11">
        <v>1299</v>
      </c>
      <c r="J1351" s="49" t="s">
        <v>39</v>
      </c>
      <c r="K1351" s="49" t="s">
        <v>76</v>
      </c>
      <c r="L1351" s="49" t="s">
        <v>95</v>
      </c>
      <c r="M1351" s="49" t="s">
        <v>77</v>
      </c>
      <c r="N1351" s="48" t="s">
        <v>1526</v>
      </c>
      <c r="O1351" s="49" t="s">
        <v>1508</v>
      </c>
      <c r="P1351" s="11" t="s">
        <v>1476</v>
      </c>
      <c r="Q1351" s="11" t="s">
        <v>87</v>
      </c>
      <c r="R1351" s="11" t="s">
        <v>2298</v>
      </c>
      <c r="S1351" s="11" t="s">
        <v>2832</v>
      </c>
      <c r="T1351" s="90" t="s">
        <v>10</v>
      </c>
      <c r="U1351" s="91"/>
      <c r="V1351" s="51">
        <v>45691</v>
      </c>
      <c r="W1351" s="49" t="s">
        <v>1616</v>
      </c>
    </row>
    <row r="1352" spans="1:23" ht="13" customHeight="1" x14ac:dyDescent="0.35">
      <c r="A1352" s="11">
        <v>1347</v>
      </c>
      <c r="B1352" s="47">
        <v>207283258</v>
      </c>
      <c r="C1352" s="94" t="s">
        <v>2427</v>
      </c>
      <c r="D1352" s="11" t="s">
        <v>2428</v>
      </c>
      <c r="E1352" s="48" t="s">
        <v>31</v>
      </c>
      <c r="F1352" s="48" t="s">
        <v>74</v>
      </c>
      <c r="G1352" s="11" t="s">
        <v>64</v>
      </c>
      <c r="H1352" s="11" t="s">
        <v>75</v>
      </c>
      <c r="I1352" s="11">
        <v>1299</v>
      </c>
      <c r="J1352" s="49" t="s">
        <v>39</v>
      </c>
      <c r="K1352" s="49" t="s">
        <v>76</v>
      </c>
      <c r="L1352" s="49" t="s">
        <v>88</v>
      </c>
      <c r="M1352" s="49" t="s">
        <v>95</v>
      </c>
      <c r="N1352" s="48" t="s">
        <v>1512</v>
      </c>
      <c r="O1352" s="49" t="s">
        <v>1508</v>
      </c>
      <c r="P1352" s="11" t="s">
        <v>1476</v>
      </c>
      <c r="Q1352" s="11" t="s">
        <v>90</v>
      </c>
      <c r="R1352" s="11" t="s">
        <v>2298</v>
      </c>
      <c r="S1352" s="11" t="s">
        <v>2832</v>
      </c>
      <c r="T1352" s="90" t="s">
        <v>1</v>
      </c>
      <c r="U1352" s="89"/>
      <c r="V1352" s="51">
        <v>46123</v>
      </c>
      <c r="W1352" s="49" t="s">
        <v>1616</v>
      </c>
    </row>
    <row r="1353" spans="1:23" ht="13" customHeight="1" x14ac:dyDescent="0.35">
      <c r="A1353" s="11">
        <v>1348</v>
      </c>
      <c r="B1353" s="47">
        <v>202383469</v>
      </c>
      <c r="C1353" s="94" t="s">
        <v>1529</v>
      </c>
      <c r="D1353" s="11" t="s">
        <v>1530</v>
      </c>
      <c r="E1353" s="48" t="s">
        <v>31</v>
      </c>
      <c r="F1353" s="48" t="s">
        <v>74</v>
      </c>
      <c r="G1353" s="11" t="s">
        <v>64</v>
      </c>
      <c r="H1353" s="11" t="s">
        <v>75</v>
      </c>
      <c r="I1353" s="11">
        <v>1299</v>
      </c>
      <c r="J1353" s="49" t="s">
        <v>39</v>
      </c>
      <c r="K1353" s="49" t="s">
        <v>76</v>
      </c>
      <c r="L1353" s="49" t="s">
        <v>84</v>
      </c>
      <c r="M1353" s="49" t="s">
        <v>85</v>
      </c>
      <c r="N1353" s="48" t="s">
        <v>1526</v>
      </c>
      <c r="O1353" s="49" t="s">
        <v>1508</v>
      </c>
      <c r="P1353" s="11" t="s">
        <v>1476</v>
      </c>
      <c r="Q1353" s="11" t="s">
        <v>87</v>
      </c>
      <c r="R1353" s="11" t="s">
        <v>2298</v>
      </c>
      <c r="S1353" s="11" t="s">
        <v>2832</v>
      </c>
      <c r="T1353" s="90" t="s">
        <v>1</v>
      </c>
      <c r="U1353" s="89"/>
      <c r="V1353" s="51">
        <v>45596</v>
      </c>
      <c r="W1353" s="49" t="s">
        <v>1616</v>
      </c>
    </row>
    <row r="1354" spans="1:23" ht="13" customHeight="1" x14ac:dyDescent="0.35">
      <c r="A1354" s="11">
        <v>1349</v>
      </c>
      <c r="B1354" s="47">
        <v>106495539</v>
      </c>
      <c r="C1354" s="94" t="s">
        <v>1531</v>
      </c>
      <c r="D1354" s="11" t="s">
        <v>1532</v>
      </c>
      <c r="E1354" s="48" t="s">
        <v>34</v>
      </c>
      <c r="F1354" s="48" t="s">
        <v>74</v>
      </c>
      <c r="G1354" s="11" t="s">
        <v>64</v>
      </c>
      <c r="H1354" s="11" t="s">
        <v>75</v>
      </c>
      <c r="I1354" s="11">
        <v>1728</v>
      </c>
      <c r="J1354" s="49" t="s">
        <v>39</v>
      </c>
      <c r="K1354" s="49" t="s">
        <v>76</v>
      </c>
      <c r="L1354" s="49" t="s">
        <v>95</v>
      </c>
      <c r="M1354" s="49" t="s">
        <v>77</v>
      </c>
      <c r="N1354" s="48" t="s">
        <v>1509</v>
      </c>
      <c r="O1354" s="49" t="s">
        <v>1508</v>
      </c>
      <c r="P1354" s="11" t="s">
        <v>1476</v>
      </c>
      <c r="Q1354" s="11" t="s">
        <v>98</v>
      </c>
      <c r="R1354" s="11" t="s">
        <v>2298</v>
      </c>
      <c r="S1354" s="11" t="s">
        <v>2832</v>
      </c>
      <c r="T1354" s="90" t="s">
        <v>10</v>
      </c>
      <c r="U1354" s="91"/>
      <c r="V1354" s="51">
        <v>45502</v>
      </c>
      <c r="W1354" s="49" t="s">
        <v>1616</v>
      </c>
    </row>
    <row r="1355" spans="1:23" ht="13" customHeight="1" x14ac:dyDescent="0.35">
      <c r="A1355" s="11">
        <v>1350</v>
      </c>
      <c r="B1355" s="47">
        <v>203737146</v>
      </c>
      <c r="C1355" s="94" t="s">
        <v>1533</v>
      </c>
      <c r="D1355" s="11" t="s">
        <v>1534</v>
      </c>
      <c r="E1355" s="48" t="s">
        <v>31</v>
      </c>
      <c r="F1355" s="48" t="s">
        <v>74</v>
      </c>
      <c r="G1355" s="11" t="s">
        <v>64</v>
      </c>
      <c r="H1355" s="11" t="s">
        <v>75</v>
      </c>
      <c r="I1355" s="11">
        <v>1299</v>
      </c>
      <c r="J1355" s="49" t="s">
        <v>32</v>
      </c>
      <c r="K1355" s="49" t="s">
        <v>76</v>
      </c>
      <c r="L1355" s="49" t="s">
        <v>78</v>
      </c>
      <c r="M1355" s="49" t="s">
        <v>92</v>
      </c>
      <c r="N1355" s="48" t="s">
        <v>79</v>
      </c>
      <c r="O1355" s="49" t="s">
        <v>35</v>
      </c>
      <c r="P1355" s="11" t="s">
        <v>1476</v>
      </c>
      <c r="Q1355" s="11" t="s">
        <v>81</v>
      </c>
      <c r="R1355" s="49" t="s">
        <v>648</v>
      </c>
      <c r="S1355" s="11" t="s">
        <v>1842</v>
      </c>
      <c r="T1355" s="90" t="s">
        <v>1</v>
      </c>
      <c r="U1355" s="90"/>
      <c r="V1355" s="51">
        <v>45502</v>
      </c>
      <c r="W1355" s="49" t="s">
        <v>1616</v>
      </c>
    </row>
    <row r="1356" spans="1:23" ht="13" customHeight="1" x14ac:dyDescent="0.35">
      <c r="A1356" s="11">
        <v>1351</v>
      </c>
      <c r="B1356" s="47">
        <v>102865829</v>
      </c>
      <c r="C1356" s="94" t="s">
        <v>1535</v>
      </c>
      <c r="D1356" s="11" t="s">
        <v>1536</v>
      </c>
      <c r="E1356" s="48" t="s">
        <v>34</v>
      </c>
      <c r="F1356" s="48" t="s">
        <v>74</v>
      </c>
      <c r="G1356" s="11" t="s">
        <v>64</v>
      </c>
      <c r="H1356" s="11" t="s">
        <v>75</v>
      </c>
      <c r="I1356" s="11">
        <v>1299</v>
      </c>
      <c r="J1356" s="49" t="s">
        <v>32</v>
      </c>
      <c r="K1356" s="49" t="s">
        <v>76</v>
      </c>
      <c r="L1356" s="49" t="s">
        <v>84</v>
      </c>
      <c r="M1356" s="49" t="s">
        <v>85</v>
      </c>
      <c r="N1356" s="48" t="s">
        <v>108</v>
      </c>
      <c r="O1356" s="49" t="s">
        <v>35</v>
      </c>
      <c r="P1356" s="11" t="s">
        <v>1476</v>
      </c>
      <c r="Q1356" s="11" t="s">
        <v>98</v>
      </c>
      <c r="R1356" s="11" t="s">
        <v>2955</v>
      </c>
      <c r="S1356" s="11" t="s">
        <v>2956</v>
      </c>
      <c r="T1356" s="90" t="s">
        <v>1</v>
      </c>
      <c r="U1356" s="91"/>
      <c r="V1356" s="51">
        <v>43012</v>
      </c>
      <c r="W1356" s="49" t="s">
        <v>1616</v>
      </c>
    </row>
    <row r="1357" spans="1:23" ht="13" customHeight="1" x14ac:dyDescent="0.35">
      <c r="A1357" s="11">
        <v>1352</v>
      </c>
      <c r="B1357" s="47">
        <v>203183500</v>
      </c>
      <c r="C1357" s="94" t="s">
        <v>1537</v>
      </c>
      <c r="D1357" s="11" t="s">
        <v>1538</v>
      </c>
      <c r="E1357" s="48" t="s">
        <v>34</v>
      </c>
      <c r="F1357" s="48" t="s">
        <v>74</v>
      </c>
      <c r="G1357" s="11" t="s">
        <v>64</v>
      </c>
      <c r="H1357" s="11" t="s">
        <v>75</v>
      </c>
      <c r="I1357" s="11">
        <v>1230</v>
      </c>
      <c r="J1357" s="49" t="s">
        <v>32</v>
      </c>
      <c r="K1357" s="49" t="s">
        <v>76</v>
      </c>
      <c r="L1357" s="49" t="s">
        <v>78</v>
      </c>
      <c r="M1357" s="49" t="s">
        <v>92</v>
      </c>
      <c r="N1357" s="48" t="s">
        <v>1539</v>
      </c>
      <c r="O1357" s="49" t="s">
        <v>1540</v>
      </c>
      <c r="P1357" s="11" t="s">
        <v>1476</v>
      </c>
      <c r="Q1357" s="11" t="s">
        <v>98</v>
      </c>
      <c r="R1357" s="11" t="s">
        <v>1541</v>
      </c>
      <c r="S1357" s="11" t="s">
        <v>1542</v>
      </c>
      <c r="T1357" s="90" t="s">
        <v>1</v>
      </c>
      <c r="U1357" s="90"/>
      <c r="V1357" s="51">
        <v>45439</v>
      </c>
      <c r="W1357" s="49" t="s">
        <v>1616</v>
      </c>
    </row>
    <row r="1358" spans="1:23" ht="13" customHeight="1" x14ac:dyDescent="0.35">
      <c r="A1358" s="11">
        <v>1353</v>
      </c>
      <c r="B1358" s="47">
        <v>203183769</v>
      </c>
      <c r="C1358" s="94" t="s">
        <v>1543</v>
      </c>
      <c r="D1358" s="11" t="s">
        <v>1544</v>
      </c>
      <c r="E1358" s="48" t="s">
        <v>34</v>
      </c>
      <c r="F1358" s="48" t="s">
        <v>74</v>
      </c>
      <c r="G1358" s="11" t="s">
        <v>64</v>
      </c>
      <c r="H1358" s="11" t="s">
        <v>75</v>
      </c>
      <c r="I1358" s="11">
        <v>1230</v>
      </c>
      <c r="J1358" s="49" t="s">
        <v>39</v>
      </c>
      <c r="K1358" s="49" t="s">
        <v>76</v>
      </c>
      <c r="L1358" s="49" t="s">
        <v>78</v>
      </c>
      <c r="M1358" s="49" t="s">
        <v>92</v>
      </c>
      <c r="N1358" s="48" t="s">
        <v>1539</v>
      </c>
      <c r="O1358" s="49" t="s">
        <v>1540</v>
      </c>
      <c r="P1358" s="11" t="s">
        <v>1476</v>
      </c>
      <c r="Q1358" s="11" t="s">
        <v>98</v>
      </c>
      <c r="R1358" s="11" t="s">
        <v>1541</v>
      </c>
      <c r="S1358" s="11" t="s">
        <v>1542</v>
      </c>
      <c r="T1358" s="90" t="s">
        <v>1</v>
      </c>
      <c r="U1358" s="89"/>
      <c r="V1358" s="51">
        <v>45439</v>
      </c>
      <c r="W1358" s="49" t="s">
        <v>1616</v>
      </c>
    </row>
    <row r="1359" spans="1:23" ht="13" customHeight="1" x14ac:dyDescent="0.35">
      <c r="A1359" s="11">
        <v>1354</v>
      </c>
      <c r="B1359" s="47">
        <v>205280740</v>
      </c>
      <c r="C1359" s="94" t="s">
        <v>1545</v>
      </c>
      <c r="D1359" s="11" t="s">
        <v>1546</v>
      </c>
      <c r="E1359" s="48" t="s">
        <v>34</v>
      </c>
      <c r="F1359" s="48" t="s">
        <v>74</v>
      </c>
      <c r="G1359" s="11" t="s">
        <v>64</v>
      </c>
      <c r="H1359" s="11" t="s">
        <v>75</v>
      </c>
      <c r="I1359" s="11">
        <v>1230</v>
      </c>
      <c r="J1359" s="49" t="s">
        <v>32</v>
      </c>
      <c r="K1359" s="49" t="s">
        <v>76</v>
      </c>
      <c r="L1359" s="49" t="s">
        <v>95</v>
      </c>
      <c r="M1359" s="49" t="s">
        <v>77</v>
      </c>
      <c r="N1359" s="48" t="s">
        <v>1539</v>
      </c>
      <c r="O1359" s="49" t="s">
        <v>1540</v>
      </c>
      <c r="P1359" s="11" t="s">
        <v>1476</v>
      </c>
      <c r="Q1359" s="11" t="s">
        <v>98</v>
      </c>
      <c r="R1359" s="11" t="s">
        <v>1541</v>
      </c>
      <c r="S1359" s="11" t="s">
        <v>1542</v>
      </c>
      <c r="T1359" s="90" t="s">
        <v>10</v>
      </c>
      <c r="U1359" s="89"/>
      <c r="V1359" s="51">
        <v>45859</v>
      </c>
      <c r="W1359" s="49" t="s">
        <v>1616</v>
      </c>
    </row>
    <row r="1360" spans="1:23" ht="13" customHeight="1" x14ac:dyDescent="0.35">
      <c r="A1360" s="11">
        <v>1355</v>
      </c>
      <c r="B1360" s="47">
        <v>205665079</v>
      </c>
      <c r="C1360" s="94" t="s">
        <v>1547</v>
      </c>
      <c r="D1360" s="11" t="s">
        <v>1548</v>
      </c>
      <c r="E1360" s="48" t="s">
        <v>34</v>
      </c>
      <c r="F1360" s="48" t="s">
        <v>74</v>
      </c>
      <c r="G1360" s="11" t="s">
        <v>64</v>
      </c>
      <c r="H1360" s="11" t="s">
        <v>75</v>
      </c>
      <c r="I1360" s="11">
        <v>1299</v>
      </c>
      <c r="J1360" s="49" t="s">
        <v>39</v>
      </c>
      <c r="K1360" s="49" t="s">
        <v>76</v>
      </c>
      <c r="L1360" s="49" t="s">
        <v>95</v>
      </c>
      <c r="M1360" s="49" t="s">
        <v>77</v>
      </c>
      <c r="N1360" s="48" t="s">
        <v>1549</v>
      </c>
      <c r="O1360" s="49" t="s">
        <v>1550</v>
      </c>
      <c r="P1360" s="11" t="s">
        <v>1476</v>
      </c>
      <c r="Q1360" s="11" t="s">
        <v>98</v>
      </c>
      <c r="R1360" s="11" t="s">
        <v>1551</v>
      </c>
      <c r="S1360" s="11" t="s">
        <v>2834</v>
      </c>
      <c r="T1360" s="90" t="s">
        <v>10</v>
      </c>
      <c r="U1360" s="91"/>
      <c r="V1360" s="51">
        <v>45908</v>
      </c>
      <c r="W1360" s="49" t="s">
        <v>1617</v>
      </c>
    </row>
    <row r="1361" spans="1:23" ht="13" customHeight="1" x14ac:dyDescent="0.35">
      <c r="A1361" s="11">
        <v>1356</v>
      </c>
      <c r="B1361" s="47">
        <v>205537427</v>
      </c>
      <c r="C1361" s="94" t="s">
        <v>1672</v>
      </c>
      <c r="D1361" s="11" t="s">
        <v>1673</v>
      </c>
      <c r="E1361" s="48" t="s">
        <v>34</v>
      </c>
      <c r="F1361" s="48" t="s">
        <v>74</v>
      </c>
      <c r="G1361" s="11" t="s">
        <v>64</v>
      </c>
      <c r="H1361" s="11" t="s">
        <v>75</v>
      </c>
      <c r="I1361" s="11">
        <v>1299</v>
      </c>
      <c r="J1361" s="49" t="s">
        <v>32</v>
      </c>
      <c r="K1361" s="49" t="s">
        <v>76</v>
      </c>
      <c r="L1361" s="49" t="s">
        <v>95</v>
      </c>
      <c r="M1361" s="49" t="s">
        <v>77</v>
      </c>
      <c r="N1361" s="48" t="s">
        <v>1549</v>
      </c>
      <c r="O1361" s="49" t="s">
        <v>1550</v>
      </c>
      <c r="P1361" s="11" t="s">
        <v>1476</v>
      </c>
      <c r="Q1361" s="11" t="s">
        <v>98</v>
      </c>
      <c r="R1361" s="11" t="s">
        <v>1551</v>
      </c>
      <c r="S1361" s="11" t="s">
        <v>2834</v>
      </c>
      <c r="T1361" s="90" t="s">
        <v>10</v>
      </c>
      <c r="U1361" s="90"/>
      <c r="V1361" s="51">
        <v>45943</v>
      </c>
      <c r="W1361" s="49" t="s">
        <v>1617</v>
      </c>
    </row>
    <row r="1362" spans="1:23" ht="13" customHeight="1" x14ac:dyDescent="0.35">
      <c r="A1362" s="11">
        <v>1357</v>
      </c>
      <c r="B1362" s="47">
        <v>205079247</v>
      </c>
      <c r="C1362" s="94" t="s">
        <v>1552</v>
      </c>
      <c r="D1362" s="11" t="s">
        <v>1553</v>
      </c>
      <c r="E1362" s="48" t="s">
        <v>34</v>
      </c>
      <c r="F1362" s="48" t="s">
        <v>74</v>
      </c>
      <c r="G1362" s="11" t="s">
        <v>64</v>
      </c>
      <c r="H1362" s="11" t="s">
        <v>75</v>
      </c>
      <c r="I1362" s="11">
        <v>1299</v>
      </c>
      <c r="J1362" s="49" t="s">
        <v>32</v>
      </c>
      <c r="K1362" s="49" t="s">
        <v>76</v>
      </c>
      <c r="L1362" s="49" t="s">
        <v>95</v>
      </c>
      <c r="M1362" s="49" t="s">
        <v>77</v>
      </c>
      <c r="N1362" s="48" t="s">
        <v>1549</v>
      </c>
      <c r="O1362" s="49" t="s">
        <v>1550</v>
      </c>
      <c r="P1362" s="11" t="s">
        <v>1476</v>
      </c>
      <c r="Q1362" s="11" t="s">
        <v>98</v>
      </c>
      <c r="R1362" s="11" t="s">
        <v>1551</v>
      </c>
      <c r="S1362" s="11" t="s">
        <v>2834</v>
      </c>
      <c r="T1362" s="90" t="s">
        <v>10</v>
      </c>
      <c r="U1362" s="89"/>
      <c r="V1362" s="51">
        <v>45789</v>
      </c>
      <c r="W1362" s="49" t="s">
        <v>1617</v>
      </c>
    </row>
    <row r="1363" spans="1:23" ht="13" customHeight="1" x14ac:dyDescent="0.35">
      <c r="A1363" s="11">
        <v>1358</v>
      </c>
      <c r="B1363" s="47">
        <v>205001264</v>
      </c>
      <c r="C1363" s="94" t="s">
        <v>1554</v>
      </c>
      <c r="D1363" s="11" t="s">
        <v>1555</v>
      </c>
      <c r="E1363" s="48" t="s">
        <v>34</v>
      </c>
      <c r="F1363" s="48" t="s">
        <v>74</v>
      </c>
      <c r="G1363" s="11" t="s">
        <v>64</v>
      </c>
      <c r="H1363" s="11" t="s">
        <v>75</v>
      </c>
      <c r="I1363" s="11">
        <v>1299</v>
      </c>
      <c r="J1363" s="49" t="s">
        <v>39</v>
      </c>
      <c r="K1363" s="49" t="s">
        <v>76</v>
      </c>
      <c r="L1363" s="49" t="s">
        <v>78</v>
      </c>
      <c r="M1363" s="49" t="s">
        <v>92</v>
      </c>
      <c r="N1363" s="48" t="s">
        <v>1549</v>
      </c>
      <c r="O1363" s="49" t="s">
        <v>1550</v>
      </c>
      <c r="P1363" s="11" t="s">
        <v>1476</v>
      </c>
      <c r="Q1363" s="11" t="s">
        <v>98</v>
      </c>
      <c r="R1363" s="11" t="s">
        <v>1551</v>
      </c>
      <c r="S1363" s="11" t="s">
        <v>2834</v>
      </c>
      <c r="T1363" s="90" t="s">
        <v>7</v>
      </c>
      <c r="U1363" s="91" t="s">
        <v>3004</v>
      </c>
      <c r="V1363" s="51">
        <v>45754</v>
      </c>
      <c r="W1363" s="49" t="s">
        <v>1617</v>
      </c>
    </row>
    <row r="1364" spans="1:23" ht="13" customHeight="1" x14ac:dyDescent="0.35">
      <c r="A1364" s="11">
        <v>1359</v>
      </c>
      <c r="B1364" s="47">
        <v>205024343</v>
      </c>
      <c r="C1364" s="94" t="s">
        <v>1556</v>
      </c>
      <c r="D1364" s="11" t="s">
        <v>1557</v>
      </c>
      <c r="E1364" s="48" t="s">
        <v>34</v>
      </c>
      <c r="F1364" s="48" t="s">
        <v>74</v>
      </c>
      <c r="G1364" s="11" t="s">
        <v>64</v>
      </c>
      <c r="H1364" s="11" t="s">
        <v>75</v>
      </c>
      <c r="I1364" s="11">
        <v>1299</v>
      </c>
      <c r="J1364" s="49" t="s">
        <v>32</v>
      </c>
      <c r="K1364" s="49" t="s">
        <v>76</v>
      </c>
      <c r="L1364" s="49" t="s">
        <v>78</v>
      </c>
      <c r="M1364" s="49" t="s">
        <v>92</v>
      </c>
      <c r="N1364" s="48" t="s">
        <v>1549</v>
      </c>
      <c r="O1364" s="49" t="s">
        <v>1550</v>
      </c>
      <c r="P1364" s="11" t="s">
        <v>1476</v>
      </c>
      <c r="Q1364" s="11" t="s">
        <v>98</v>
      </c>
      <c r="R1364" s="11" t="s">
        <v>1551</v>
      </c>
      <c r="S1364" s="11" t="s">
        <v>2834</v>
      </c>
      <c r="T1364" s="90" t="s">
        <v>1</v>
      </c>
      <c r="U1364" s="90"/>
      <c r="V1364" s="51">
        <v>45775</v>
      </c>
      <c r="W1364" s="49" t="s">
        <v>1617</v>
      </c>
    </row>
    <row r="1365" spans="1:23" ht="13" customHeight="1" x14ac:dyDescent="0.35">
      <c r="A1365" s="11">
        <v>1360</v>
      </c>
      <c r="B1365" s="47">
        <v>203794558</v>
      </c>
      <c r="C1365" s="94" t="s">
        <v>1558</v>
      </c>
      <c r="D1365" s="11" t="s">
        <v>1559</v>
      </c>
      <c r="E1365" s="48" t="s">
        <v>34</v>
      </c>
      <c r="F1365" s="48" t="s">
        <v>74</v>
      </c>
      <c r="G1365" s="11" t="s">
        <v>64</v>
      </c>
      <c r="H1365" s="11" t="s">
        <v>75</v>
      </c>
      <c r="I1365" s="11">
        <v>1299</v>
      </c>
      <c r="J1365" s="49" t="s">
        <v>32</v>
      </c>
      <c r="K1365" s="49" t="s">
        <v>76</v>
      </c>
      <c r="L1365" s="49" t="s">
        <v>95</v>
      </c>
      <c r="M1365" s="49" t="s">
        <v>77</v>
      </c>
      <c r="N1365" s="48" t="s">
        <v>1549</v>
      </c>
      <c r="O1365" s="49" t="s">
        <v>1550</v>
      </c>
      <c r="P1365" s="11" t="s">
        <v>1476</v>
      </c>
      <c r="Q1365" s="11" t="s">
        <v>98</v>
      </c>
      <c r="R1365" s="11" t="s">
        <v>1551</v>
      </c>
      <c r="S1365" s="11" t="s">
        <v>2834</v>
      </c>
      <c r="T1365" s="90" t="s">
        <v>10</v>
      </c>
      <c r="U1365" s="89"/>
      <c r="V1365" s="51">
        <v>45593</v>
      </c>
      <c r="W1365" s="49" t="s">
        <v>1617</v>
      </c>
    </row>
    <row r="1366" spans="1:23" ht="13" customHeight="1" x14ac:dyDescent="0.35">
      <c r="A1366" s="11">
        <v>1361</v>
      </c>
      <c r="B1366" s="47">
        <v>203927111</v>
      </c>
      <c r="C1366" s="94" t="s">
        <v>1560</v>
      </c>
      <c r="D1366" s="11" t="s">
        <v>1561</v>
      </c>
      <c r="E1366" s="48" t="s">
        <v>34</v>
      </c>
      <c r="F1366" s="48" t="s">
        <v>74</v>
      </c>
      <c r="G1366" s="11" t="s">
        <v>64</v>
      </c>
      <c r="H1366" s="11" t="s">
        <v>75</v>
      </c>
      <c r="I1366" s="11">
        <v>1299</v>
      </c>
      <c r="J1366" s="49" t="s">
        <v>32</v>
      </c>
      <c r="K1366" s="49" t="s">
        <v>76</v>
      </c>
      <c r="L1366" s="49" t="s">
        <v>78</v>
      </c>
      <c r="M1366" s="49" t="s">
        <v>92</v>
      </c>
      <c r="N1366" s="48" t="s">
        <v>1549</v>
      </c>
      <c r="O1366" s="49" t="s">
        <v>1550</v>
      </c>
      <c r="P1366" s="11" t="s">
        <v>1476</v>
      </c>
      <c r="Q1366" s="11" t="s">
        <v>98</v>
      </c>
      <c r="R1366" s="11" t="s">
        <v>1551</v>
      </c>
      <c r="S1366" s="11" t="s">
        <v>2834</v>
      </c>
      <c r="T1366" s="90" t="s">
        <v>1</v>
      </c>
      <c r="U1366" s="90"/>
      <c r="V1366" s="51">
        <v>45908</v>
      </c>
      <c r="W1366" s="49" t="s">
        <v>1617</v>
      </c>
    </row>
    <row r="1367" spans="1:23" ht="13" customHeight="1" x14ac:dyDescent="0.35">
      <c r="A1367" s="11">
        <v>1362</v>
      </c>
      <c r="B1367" s="47">
        <v>205207923</v>
      </c>
      <c r="C1367" s="94" t="s">
        <v>1562</v>
      </c>
      <c r="D1367" s="11" t="s">
        <v>1563</v>
      </c>
      <c r="E1367" s="48" t="s">
        <v>34</v>
      </c>
      <c r="F1367" s="48" t="s">
        <v>74</v>
      </c>
      <c r="G1367" s="11" t="s">
        <v>64</v>
      </c>
      <c r="H1367" s="11" t="s">
        <v>75</v>
      </c>
      <c r="I1367" s="11">
        <v>1299</v>
      </c>
      <c r="J1367" s="49" t="s">
        <v>32</v>
      </c>
      <c r="K1367" s="49" t="s">
        <v>76</v>
      </c>
      <c r="L1367" s="49" t="s">
        <v>95</v>
      </c>
      <c r="M1367" s="49" t="s">
        <v>77</v>
      </c>
      <c r="N1367" s="48" t="s">
        <v>1549</v>
      </c>
      <c r="O1367" s="49" t="s">
        <v>1550</v>
      </c>
      <c r="P1367" s="11" t="s">
        <v>1476</v>
      </c>
      <c r="Q1367" s="11" t="s">
        <v>98</v>
      </c>
      <c r="R1367" s="11" t="s">
        <v>1551</v>
      </c>
      <c r="S1367" s="11" t="s">
        <v>2834</v>
      </c>
      <c r="T1367" s="90" t="s">
        <v>10</v>
      </c>
      <c r="U1367" s="90"/>
      <c r="V1367" s="51">
        <v>45831</v>
      </c>
      <c r="W1367" s="49" t="s">
        <v>1617</v>
      </c>
    </row>
    <row r="1368" spans="1:23" ht="13" customHeight="1" x14ac:dyDescent="0.35">
      <c r="A1368" s="11">
        <v>1363</v>
      </c>
      <c r="B1368" s="47">
        <v>112836630</v>
      </c>
      <c r="C1368" s="94" t="s">
        <v>1564</v>
      </c>
      <c r="D1368" s="11" t="s">
        <v>1565</v>
      </c>
      <c r="E1368" s="48" t="s">
        <v>34</v>
      </c>
      <c r="F1368" s="48" t="s">
        <v>74</v>
      </c>
      <c r="G1368" s="11" t="s">
        <v>64</v>
      </c>
      <c r="H1368" s="11" t="s">
        <v>75</v>
      </c>
      <c r="I1368" s="11">
        <v>1299</v>
      </c>
      <c r="J1368" s="49" t="s">
        <v>32</v>
      </c>
      <c r="K1368" s="49" t="s">
        <v>76</v>
      </c>
      <c r="L1368" s="49" t="s">
        <v>78</v>
      </c>
      <c r="M1368" s="49" t="s">
        <v>92</v>
      </c>
      <c r="N1368" s="48" t="s">
        <v>1566</v>
      </c>
      <c r="O1368" s="49" t="s">
        <v>1567</v>
      </c>
      <c r="P1368" s="11" t="s">
        <v>1476</v>
      </c>
      <c r="Q1368" s="11" t="s">
        <v>98</v>
      </c>
      <c r="R1368" s="11" t="s">
        <v>2835</v>
      </c>
      <c r="S1368" s="11" t="s">
        <v>2836</v>
      </c>
      <c r="T1368" s="90" t="s">
        <v>1</v>
      </c>
      <c r="U1368" s="90"/>
      <c r="V1368" s="51">
        <v>44767</v>
      </c>
      <c r="W1368" s="49" t="s">
        <v>1616</v>
      </c>
    </row>
    <row r="1369" spans="1:23" ht="13" customHeight="1" x14ac:dyDescent="0.35">
      <c r="A1369" s="11">
        <v>1364</v>
      </c>
      <c r="B1369" s="47">
        <v>102865821</v>
      </c>
      <c r="C1369" s="94" t="s">
        <v>1568</v>
      </c>
      <c r="D1369" s="11" t="s">
        <v>1569</v>
      </c>
      <c r="E1369" s="48" t="s">
        <v>34</v>
      </c>
      <c r="F1369" s="48" t="s">
        <v>74</v>
      </c>
      <c r="G1369" s="11" t="s">
        <v>64</v>
      </c>
      <c r="H1369" s="11" t="s">
        <v>75</v>
      </c>
      <c r="I1369" s="11">
        <v>1299</v>
      </c>
      <c r="J1369" s="49" t="s">
        <v>32</v>
      </c>
      <c r="K1369" s="49" t="s">
        <v>76</v>
      </c>
      <c r="L1369" s="49" t="s">
        <v>77</v>
      </c>
      <c r="M1369" s="49" t="s">
        <v>78</v>
      </c>
      <c r="N1369" s="48" t="s">
        <v>2840</v>
      </c>
      <c r="O1369" s="49" t="s">
        <v>1570</v>
      </c>
      <c r="P1369" s="11" t="s">
        <v>1476</v>
      </c>
      <c r="Q1369" s="11" t="s">
        <v>98</v>
      </c>
      <c r="R1369" s="11" t="s">
        <v>1571</v>
      </c>
      <c r="S1369" s="11" t="s">
        <v>1572</v>
      </c>
      <c r="T1369" s="90" t="s">
        <v>10</v>
      </c>
      <c r="U1369" s="89"/>
      <c r="V1369" s="51">
        <v>43012</v>
      </c>
      <c r="W1369" s="49" t="s">
        <v>1616</v>
      </c>
    </row>
    <row r="1370" spans="1:23" ht="13" customHeight="1" x14ac:dyDescent="0.35">
      <c r="A1370" s="11">
        <v>1365</v>
      </c>
      <c r="B1370" s="47">
        <v>206884114</v>
      </c>
      <c r="C1370" s="94" t="s">
        <v>2307</v>
      </c>
      <c r="D1370" s="11" t="s">
        <v>2308</v>
      </c>
      <c r="E1370" s="48" t="s">
        <v>34</v>
      </c>
      <c r="F1370" s="48" t="s">
        <v>74</v>
      </c>
      <c r="G1370" s="11" t="s">
        <v>64</v>
      </c>
      <c r="H1370" s="11" t="s">
        <v>75</v>
      </c>
      <c r="I1370" s="11">
        <v>1299</v>
      </c>
      <c r="J1370" s="49" t="s">
        <v>39</v>
      </c>
      <c r="K1370" s="49" t="s">
        <v>76</v>
      </c>
      <c r="L1370" s="49" t="s">
        <v>78</v>
      </c>
      <c r="M1370" s="49" t="s">
        <v>92</v>
      </c>
      <c r="N1370" s="48" t="s">
        <v>2837</v>
      </c>
      <c r="O1370" s="49" t="s">
        <v>1573</v>
      </c>
      <c r="P1370" s="11" t="s">
        <v>1476</v>
      </c>
      <c r="Q1370" s="11" t="s">
        <v>98</v>
      </c>
      <c r="R1370" s="11" t="s">
        <v>1574</v>
      </c>
      <c r="S1370" s="11" t="s">
        <v>1575</v>
      </c>
      <c r="T1370" s="90" t="s">
        <v>1</v>
      </c>
      <c r="U1370" s="89"/>
      <c r="V1370" s="51">
        <v>46069</v>
      </c>
      <c r="W1370" s="80" t="s">
        <v>1616</v>
      </c>
    </row>
    <row r="1371" spans="1:23" ht="13" customHeight="1" x14ac:dyDescent="0.35">
      <c r="A1371" s="11">
        <v>1366</v>
      </c>
      <c r="B1371" s="47">
        <v>206980506</v>
      </c>
      <c r="C1371" s="94" t="s">
        <v>2299</v>
      </c>
      <c r="D1371" s="11" t="s">
        <v>2300</v>
      </c>
      <c r="E1371" s="48" t="s">
        <v>34</v>
      </c>
      <c r="F1371" s="48" t="s">
        <v>74</v>
      </c>
      <c r="G1371" s="11" t="s">
        <v>64</v>
      </c>
      <c r="H1371" s="11" t="s">
        <v>75</v>
      </c>
      <c r="I1371" s="11">
        <v>1299</v>
      </c>
      <c r="J1371" s="49" t="s">
        <v>32</v>
      </c>
      <c r="K1371" s="49" t="s">
        <v>76</v>
      </c>
      <c r="L1371" s="49" t="s">
        <v>95</v>
      </c>
      <c r="M1371" s="49" t="s">
        <v>77</v>
      </c>
      <c r="N1371" s="48" t="s">
        <v>2837</v>
      </c>
      <c r="O1371" s="49" t="s">
        <v>1573</v>
      </c>
      <c r="P1371" s="11" t="s">
        <v>1476</v>
      </c>
      <c r="Q1371" s="11" t="s">
        <v>98</v>
      </c>
      <c r="R1371" s="11" t="s">
        <v>1574</v>
      </c>
      <c r="S1371" s="11" t="s">
        <v>1575</v>
      </c>
      <c r="T1371" s="90" t="s">
        <v>10</v>
      </c>
      <c r="U1371" s="91"/>
      <c r="V1371" s="51">
        <v>46125</v>
      </c>
      <c r="W1371" s="49" t="s">
        <v>1616</v>
      </c>
    </row>
    <row r="1372" spans="1:23" ht="13" customHeight="1" x14ac:dyDescent="0.35">
      <c r="A1372" s="11">
        <v>1367</v>
      </c>
      <c r="B1372" s="47">
        <v>206930467</v>
      </c>
      <c r="C1372" s="94" t="s">
        <v>2309</v>
      </c>
      <c r="D1372" s="11" t="s">
        <v>2310</v>
      </c>
      <c r="E1372" s="48" t="s">
        <v>34</v>
      </c>
      <c r="F1372" s="48" t="s">
        <v>74</v>
      </c>
      <c r="G1372" s="11" t="s">
        <v>64</v>
      </c>
      <c r="H1372" s="11" t="s">
        <v>75</v>
      </c>
      <c r="I1372" s="11">
        <v>1299</v>
      </c>
      <c r="J1372" s="49" t="s">
        <v>39</v>
      </c>
      <c r="K1372" s="49" t="s">
        <v>76</v>
      </c>
      <c r="L1372" s="49" t="s">
        <v>95</v>
      </c>
      <c r="M1372" s="49" t="s">
        <v>77</v>
      </c>
      <c r="N1372" s="48" t="s">
        <v>2837</v>
      </c>
      <c r="O1372" s="49" t="s">
        <v>1573</v>
      </c>
      <c r="P1372" s="11" t="s">
        <v>1476</v>
      </c>
      <c r="Q1372" s="11" t="s">
        <v>98</v>
      </c>
      <c r="R1372" s="11" t="s">
        <v>1574</v>
      </c>
      <c r="S1372" s="11" t="s">
        <v>1575</v>
      </c>
      <c r="T1372" s="90" t="s">
        <v>10</v>
      </c>
      <c r="U1372" s="89"/>
      <c r="V1372" s="51">
        <v>46069</v>
      </c>
      <c r="W1372" s="80" t="s">
        <v>1616</v>
      </c>
    </row>
    <row r="1373" spans="1:23" ht="13" customHeight="1" x14ac:dyDescent="0.35">
      <c r="A1373" s="11">
        <v>1368</v>
      </c>
      <c r="B1373" s="77">
        <v>113239078</v>
      </c>
      <c r="C1373" s="96" t="s">
        <v>1746</v>
      </c>
      <c r="D1373" s="75" t="s">
        <v>1576</v>
      </c>
      <c r="E1373" s="76" t="s">
        <v>34</v>
      </c>
      <c r="F1373" s="76" t="s">
        <v>74</v>
      </c>
      <c r="G1373" s="75" t="s">
        <v>64</v>
      </c>
      <c r="H1373" s="75" t="s">
        <v>75</v>
      </c>
      <c r="I1373" s="75">
        <v>1299</v>
      </c>
      <c r="J1373" s="73" t="s">
        <v>39</v>
      </c>
      <c r="K1373" s="73" t="s">
        <v>76</v>
      </c>
      <c r="L1373" s="49" t="s">
        <v>85</v>
      </c>
      <c r="M1373" s="49" t="s">
        <v>88</v>
      </c>
      <c r="N1373" s="76" t="s">
        <v>2837</v>
      </c>
      <c r="O1373" s="73" t="s">
        <v>1573</v>
      </c>
      <c r="P1373" s="75" t="s">
        <v>1476</v>
      </c>
      <c r="Q1373" s="75" t="s">
        <v>98</v>
      </c>
      <c r="R1373" s="75" t="s">
        <v>1574</v>
      </c>
      <c r="S1373" s="75" t="s">
        <v>1575</v>
      </c>
      <c r="T1373" s="90" t="s">
        <v>3</v>
      </c>
      <c r="U1373" s="89"/>
      <c r="V1373" s="103">
        <v>44935</v>
      </c>
      <c r="W1373" s="73" t="s">
        <v>1616</v>
      </c>
    </row>
    <row r="1374" spans="1:23" ht="13" customHeight="1" x14ac:dyDescent="0.35">
      <c r="A1374" s="11">
        <v>1369</v>
      </c>
      <c r="B1374" s="47">
        <v>203875181</v>
      </c>
      <c r="C1374" s="94" t="s">
        <v>1577</v>
      </c>
      <c r="D1374" s="11" t="s">
        <v>1578</v>
      </c>
      <c r="E1374" s="48" t="s">
        <v>31</v>
      </c>
      <c r="F1374" s="48" t="s">
        <v>74</v>
      </c>
      <c r="G1374" s="11" t="s">
        <v>66</v>
      </c>
      <c r="H1374" s="11" t="s">
        <v>1365</v>
      </c>
      <c r="I1374" s="11">
        <v>1181</v>
      </c>
      <c r="J1374" s="49" t="s">
        <v>39</v>
      </c>
      <c r="K1374" s="49" t="s">
        <v>76</v>
      </c>
      <c r="L1374" s="49" t="s">
        <v>85</v>
      </c>
      <c r="M1374" s="49" t="s">
        <v>88</v>
      </c>
      <c r="N1374" s="48" t="s">
        <v>79</v>
      </c>
      <c r="O1374" s="49" t="s">
        <v>68</v>
      </c>
      <c r="P1374" s="11" t="s">
        <v>1476</v>
      </c>
      <c r="Q1374" s="11" t="s">
        <v>81</v>
      </c>
      <c r="R1374" s="11" t="s">
        <v>2826</v>
      </c>
      <c r="S1374" s="11" t="s">
        <v>2827</v>
      </c>
      <c r="T1374" s="90" t="s">
        <v>1</v>
      </c>
      <c r="U1374" s="89"/>
      <c r="V1374" s="51">
        <v>45530</v>
      </c>
      <c r="W1374" s="49" t="s">
        <v>68</v>
      </c>
    </row>
    <row r="1375" spans="1:23" ht="13" customHeight="1" x14ac:dyDescent="0.35">
      <c r="A1375" s="11">
        <v>1370</v>
      </c>
      <c r="B1375" s="47">
        <v>203875184</v>
      </c>
      <c r="C1375" s="94" t="s">
        <v>1579</v>
      </c>
      <c r="D1375" s="11" t="s">
        <v>1580</v>
      </c>
      <c r="E1375" s="48" t="s">
        <v>31</v>
      </c>
      <c r="F1375" s="48" t="s">
        <v>74</v>
      </c>
      <c r="G1375" s="11" t="s">
        <v>66</v>
      </c>
      <c r="H1375" s="11" t="s">
        <v>1365</v>
      </c>
      <c r="I1375" s="11">
        <v>1181</v>
      </c>
      <c r="J1375" s="49" t="s">
        <v>39</v>
      </c>
      <c r="K1375" s="49" t="s">
        <v>76</v>
      </c>
      <c r="L1375" s="49" t="s">
        <v>88</v>
      </c>
      <c r="M1375" s="49" t="s">
        <v>95</v>
      </c>
      <c r="N1375" s="48" t="s">
        <v>79</v>
      </c>
      <c r="O1375" s="49" t="s">
        <v>68</v>
      </c>
      <c r="P1375" s="11" t="s">
        <v>1476</v>
      </c>
      <c r="Q1375" s="11" t="s">
        <v>81</v>
      </c>
      <c r="R1375" s="11" t="s">
        <v>2826</v>
      </c>
      <c r="S1375" s="11" t="s">
        <v>2827</v>
      </c>
      <c r="T1375" s="90" t="s">
        <v>7</v>
      </c>
      <c r="U1375" s="90" t="s">
        <v>3004</v>
      </c>
      <c r="V1375" s="51">
        <v>45530</v>
      </c>
      <c r="W1375" s="49" t="s">
        <v>68</v>
      </c>
    </row>
    <row r="1376" spans="1:23" ht="13" customHeight="1" x14ac:dyDescent="0.35">
      <c r="A1376" s="11">
        <v>1371</v>
      </c>
      <c r="B1376" s="47">
        <v>203875092</v>
      </c>
      <c r="C1376" s="94" t="s">
        <v>1581</v>
      </c>
      <c r="D1376" s="11" t="s">
        <v>1582</v>
      </c>
      <c r="E1376" s="48" t="s">
        <v>31</v>
      </c>
      <c r="F1376" s="48" t="s">
        <v>74</v>
      </c>
      <c r="G1376" s="11" t="s">
        <v>66</v>
      </c>
      <c r="H1376" s="11" t="s">
        <v>1365</v>
      </c>
      <c r="I1376" s="11">
        <v>1181</v>
      </c>
      <c r="J1376" s="49" t="s">
        <v>39</v>
      </c>
      <c r="K1376" s="49" t="s">
        <v>76</v>
      </c>
      <c r="L1376" s="49" t="s">
        <v>84</v>
      </c>
      <c r="M1376" s="49" t="s">
        <v>85</v>
      </c>
      <c r="N1376" s="48" t="s">
        <v>79</v>
      </c>
      <c r="O1376" s="49" t="s">
        <v>68</v>
      </c>
      <c r="P1376" s="11" t="s">
        <v>1476</v>
      </c>
      <c r="Q1376" s="11" t="s">
        <v>81</v>
      </c>
      <c r="R1376" s="11" t="s">
        <v>2826</v>
      </c>
      <c r="S1376" s="11" t="s">
        <v>2827</v>
      </c>
      <c r="T1376" s="90" t="s">
        <v>1</v>
      </c>
      <c r="U1376" s="91"/>
      <c r="V1376" s="51">
        <v>45530</v>
      </c>
      <c r="W1376" s="49" t="s">
        <v>68</v>
      </c>
    </row>
    <row r="1377" spans="1:23" ht="13" customHeight="1" x14ac:dyDescent="0.35">
      <c r="A1377" s="11">
        <v>1372</v>
      </c>
      <c r="B1377" s="47">
        <v>203875089</v>
      </c>
      <c r="C1377" s="94" t="s">
        <v>1583</v>
      </c>
      <c r="D1377" s="11" t="s">
        <v>1584</v>
      </c>
      <c r="E1377" s="48" t="s">
        <v>31</v>
      </c>
      <c r="F1377" s="48" t="s">
        <v>74</v>
      </c>
      <c r="G1377" s="11" t="s">
        <v>66</v>
      </c>
      <c r="H1377" s="11" t="s">
        <v>1365</v>
      </c>
      <c r="I1377" s="11">
        <v>1181</v>
      </c>
      <c r="J1377" s="49" t="s">
        <v>39</v>
      </c>
      <c r="K1377" s="49" t="s">
        <v>76</v>
      </c>
      <c r="L1377" s="49" t="s">
        <v>88</v>
      </c>
      <c r="M1377" s="49" t="s">
        <v>95</v>
      </c>
      <c r="N1377" s="48" t="s">
        <v>79</v>
      </c>
      <c r="O1377" s="49" t="s">
        <v>68</v>
      </c>
      <c r="P1377" s="11" t="s">
        <v>1476</v>
      </c>
      <c r="Q1377" s="11" t="s">
        <v>81</v>
      </c>
      <c r="R1377" s="11" t="s">
        <v>2826</v>
      </c>
      <c r="S1377" s="11" t="s">
        <v>2827</v>
      </c>
      <c r="T1377" s="90" t="s">
        <v>1</v>
      </c>
      <c r="U1377" s="89"/>
      <c r="V1377" s="51">
        <v>45530</v>
      </c>
      <c r="W1377" s="49" t="s">
        <v>68</v>
      </c>
    </row>
    <row r="1378" spans="1:23" ht="13" customHeight="1" x14ac:dyDescent="0.35">
      <c r="A1378" s="11">
        <v>1373</v>
      </c>
      <c r="B1378" s="47">
        <v>203875090</v>
      </c>
      <c r="C1378" s="94" t="s">
        <v>1585</v>
      </c>
      <c r="D1378" s="11" t="s">
        <v>1586</v>
      </c>
      <c r="E1378" s="48" t="s">
        <v>31</v>
      </c>
      <c r="F1378" s="48" t="s">
        <v>74</v>
      </c>
      <c r="G1378" s="11" t="s">
        <v>66</v>
      </c>
      <c r="H1378" s="11" t="s">
        <v>1365</v>
      </c>
      <c r="I1378" s="11">
        <v>1181</v>
      </c>
      <c r="J1378" s="49" t="s">
        <v>39</v>
      </c>
      <c r="K1378" s="49" t="s">
        <v>76</v>
      </c>
      <c r="L1378" s="49" t="s">
        <v>95</v>
      </c>
      <c r="M1378" s="49" t="s">
        <v>77</v>
      </c>
      <c r="N1378" s="48" t="s">
        <v>79</v>
      </c>
      <c r="O1378" s="49" t="s">
        <v>68</v>
      </c>
      <c r="P1378" s="11" t="s">
        <v>1476</v>
      </c>
      <c r="Q1378" s="11" t="s">
        <v>81</v>
      </c>
      <c r="R1378" s="11" t="s">
        <v>2826</v>
      </c>
      <c r="S1378" s="11" t="s">
        <v>2827</v>
      </c>
      <c r="T1378" s="90" t="s">
        <v>10</v>
      </c>
      <c r="U1378" s="89"/>
      <c r="V1378" s="51">
        <v>45530</v>
      </c>
      <c r="W1378" s="49" t="s">
        <v>68</v>
      </c>
    </row>
    <row r="1379" spans="1:23" ht="13" customHeight="1" x14ac:dyDescent="0.35">
      <c r="A1379" s="11">
        <v>1374</v>
      </c>
      <c r="B1379" s="47">
        <v>203875180</v>
      </c>
      <c r="C1379" s="94" t="s">
        <v>1587</v>
      </c>
      <c r="D1379" s="11" t="s">
        <v>1588</v>
      </c>
      <c r="E1379" s="48" t="s">
        <v>31</v>
      </c>
      <c r="F1379" s="48" t="s">
        <v>74</v>
      </c>
      <c r="G1379" s="11" t="s">
        <v>66</v>
      </c>
      <c r="H1379" s="11" t="s">
        <v>1365</v>
      </c>
      <c r="I1379" s="11">
        <v>1181</v>
      </c>
      <c r="J1379" s="49" t="s">
        <v>39</v>
      </c>
      <c r="K1379" s="49" t="s">
        <v>76</v>
      </c>
      <c r="L1379" s="49" t="s">
        <v>78</v>
      </c>
      <c r="M1379" s="49" t="s">
        <v>92</v>
      </c>
      <c r="N1379" s="48" t="s">
        <v>79</v>
      </c>
      <c r="O1379" s="49" t="s">
        <v>68</v>
      </c>
      <c r="P1379" s="11" t="s">
        <v>1476</v>
      </c>
      <c r="Q1379" s="11" t="s">
        <v>81</v>
      </c>
      <c r="R1379" s="11" t="s">
        <v>2826</v>
      </c>
      <c r="S1379" s="11" t="s">
        <v>2827</v>
      </c>
      <c r="T1379" s="90" t="s">
        <v>1</v>
      </c>
      <c r="U1379" s="89"/>
      <c r="V1379" s="51">
        <v>45530</v>
      </c>
      <c r="W1379" s="49" t="s">
        <v>68</v>
      </c>
    </row>
    <row r="1380" spans="1:23" ht="13" customHeight="1" x14ac:dyDescent="0.35">
      <c r="A1380" s="11">
        <v>1375</v>
      </c>
      <c r="B1380" s="47">
        <v>203875183</v>
      </c>
      <c r="C1380" s="94" t="s">
        <v>1589</v>
      </c>
      <c r="D1380" s="11" t="s">
        <v>1590</v>
      </c>
      <c r="E1380" s="48" t="s">
        <v>31</v>
      </c>
      <c r="F1380" s="48" t="s">
        <v>74</v>
      </c>
      <c r="G1380" s="11" t="s">
        <v>66</v>
      </c>
      <c r="H1380" s="11" t="s">
        <v>1365</v>
      </c>
      <c r="I1380" s="11">
        <v>1181</v>
      </c>
      <c r="J1380" s="49" t="s">
        <v>39</v>
      </c>
      <c r="K1380" s="49" t="s">
        <v>76</v>
      </c>
      <c r="L1380" s="49" t="s">
        <v>85</v>
      </c>
      <c r="M1380" s="49" t="s">
        <v>88</v>
      </c>
      <c r="N1380" s="48" t="s">
        <v>79</v>
      </c>
      <c r="O1380" s="49" t="s">
        <v>68</v>
      </c>
      <c r="P1380" s="11" t="s">
        <v>1476</v>
      </c>
      <c r="Q1380" s="11" t="s">
        <v>81</v>
      </c>
      <c r="R1380" s="11" t="s">
        <v>2826</v>
      </c>
      <c r="S1380" s="11" t="s">
        <v>2827</v>
      </c>
      <c r="T1380" s="90" t="s">
        <v>1</v>
      </c>
      <c r="U1380" s="89"/>
      <c r="V1380" s="51">
        <v>45530</v>
      </c>
      <c r="W1380" s="49" t="s">
        <v>68</v>
      </c>
    </row>
    <row r="1381" spans="1:23" ht="13" customHeight="1" x14ac:dyDescent="0.35">
      <c r="A1381" s="11">
        <v>1376</v>
      </c>
      <c r="B1381" s="47">
        <v>112463068</v>
      </c>
      <c r="C1381" s="94" t="s">
        <v>1591</v>
      </c>
      <c r="D1381" s="11" t="s">
        <v>1592</v>
      </c>
      <c r="E1381" s="48" t="s">
        <v>31</v>
      </c>
      <c r="F1381" s="48" t="s">
        <v>74</v>
      </c>
      <c r="G1381" s="11" t="s">
        <v>66</v>
      </c>
      <c r="H1381" s="11" t="s">
        <v>1365</v>
      </c>
      <c r="I1381" s="11">
        <v>1181</v>
      </c>
      <c r="J1381" s="49" t="s">
        <v>39</v>
      </c>
      <c r="K1381" s="49" t="s">
        <v>76</v>
      </c>
      <c r="L1381" s="49" t="s">
        <v>88</v>
      </c>
      <c r="M1381" s="49" t="s">
        <v>95</v>
      </c>
      <c r="N1381" s="48" t="s">
        <v>79</v>
      </c>
      <c r="O1381" s="49" t="s">
        <v>68</v>
      </c>
      <c r="P1381" s="11" t="s">
        <v>1476</v>
      </c>
      <c r="Q1381" s="11" t="s">
        <v>81</v>
      </c>
      <c r="R1381" s="11" t="s">
        <v>2826</v>
      </c>
      <c r="S1381" s="11" t="s">
        <v>2827</v>
      </c>
      <c r="T1381" s="90" t="s">
        <v>1</v>
      </c>
      <c r="U1381" s="89"/>
      <c r="V1381" s="51">
        <v>45530</v>
      </c>
      <c r="W1381" s="49" t="s">
        <v>68</v>
      </c>
    </row>
    <row r="1382" spans="1:23" ht="13" customHeight="1" x14ac:dyDescent="0.35">
      <c r="A1382" s="11">
        <v>1377</v>
      </c>
      <c r="B1382" s="47">
        <v>203875088</v>
      </c>
      <c r="C1382" s="94" t="s">
        <v>1593</v>
      </c>
      <c r="D1382" s="11" t="s">
        <v>1594</v>
      </c>
      <c r="E1382" s="48" t="s">
        <v>31</v>
      </c>
      <c r="F1382" s="48" t="s">
        <v>74</v>
      </c>
      <c r="G1382" s="11" t="s">
        <v>66</v>
      </c>
      <c r="H1382" s="11" t="s">
        <v>1365</v>
      </c>
      <c r="I1382" s="11">
        <v>1181</v>
      </c>
      <c r="J1382" s="49" t="s">
        <v>39</v>
      </c>
      <c r="K1382" s="49" t="s">
        <v>76</v>
      </c>
      <c r="L1382" s="49" t="s">
        <v>92</v>
      </c>
      <c r="M1382" s="49" t="s">
        <v>84</v>
      </c>
      <c r="N1382" s="48" t="s">
        <v>79</v>
      </c>
      <c r="O1382" s="49" t="s">
        <v>68</v>
      </c>
      <c r="P1382" s="11" t="s">
        <v>1476</v>
      </c>
      <c r="Q1382" s="11" t="s">
        <v>81</v>
      </c>
      <c r="R1382" s="11" t="s">
        <v>2826</v>
      </c>
      <c r="S1382" s="11" t="s">
        <v>2827</v>
      </c>
      <c r="T1382" s="90" t="s">
        <v>7</v>
      </c>
      <c r="U1382" s="89" t="s">
        <v>3004</v>
      </c>
      <c r="V1382" s="51">
        <v>45530</v>
      </c>
      <c r="W1382" s="49" t="s">
        <v>68</v>
      </c>
    </row>
    <row r="1383" spans="1:23" ht="13" customHeight="1" x14ac:dyDescent="0.35">
      <c r="A1383" s="11">
        <v>1378</v>
      </c>
      <c r="B1383" s="47">
        <v>203875091</v>
      </c>
      <c r="C1383" s="94" t="s">
        <v>1595</v>
      </c>
      <c r="D1383" s="11" t="s">
        <v>1596</v>
      </c>
      <c r="E1383" s="48" t="s">
        <v>31</v>
      </c>
      <c r="F1383" s="48" t="s">
        <v>74</v>
      </c>
      <c r="G1383" s="11" t="s">
        <v>66</v>
      </c>
      <c r="H1383" s="11" t="s">
        <v>1365</v>
      </c>
      <c r="I1383" s="11">
        <v>1181</v>
      </c>
      <c r="J1383" s="49" t="s">
        <v>39</v>
      </c>
      <c r="K1383" s="49" t="s">
        <v>76</v>
      </c>
      <c r="L1383" s="49" t="s">
        <v>84</v>
      </c>
      <c r="M1383" s="49" t="s">
        <v>85</v>
      </c>
      <c r="N1383" s="48" t="s">
        <v>79</v>
      </c>
      <c r="O1383" s="49" t="s">
        <v>68</v>
      </c>
      <c r="P1383" s="11" t="s">
        <v>1476</v>
      </c>
      <c r="Q1383" s="11" t="s">
        <v>81</v>
      </c>
      <c r="R1383" s="11" t="s">
        <v>2826</v>
      </c>
      <c r="S1383" s="11" t="s">
        <v>2827</v>
      </c>
      <c r="T1383" s="90" t="s">
        <v>1</v>
      </c>
      <c r="U1383" s="90"/>
      <c r="V1383" s="51">
        <v>45530</v>
      </c>
      <c r="W1383" s="49" t="s">
        <v>68</v>
      </c>
    </row>
    <row r="1384" spans="1:23" ht="13" customHeight="1" x14ac:dyDescent="0.35">
      <c r="A1384" s="11">
        <v>1379</v>
      </c>
      <c r="B1384" s="47">
        <v>203875185</v>
      </c>
      <c r="C1384" s="94" t="s">
        <v>1597</v>
      </c>
      <c r="D1384" s="11" t="s">
        <v>1598</v>
      </c>
      <c r="E1384" s="48" t="s">
        <v>31</v>
      </c>
      <c r="F1384" s="48" t="s">
        <v>74</v>
      </c>
      <c r="G1384" s="11" t="s">
        <v>66</v>
      </c>
      <c r="H1384" s="11" t="s">
        <v>1365</v>
      </c>
      <c r="I1384" s="11">
        <v>1181</v>
      </c>
      <c r="J1384" s="49" t="s">
        <v>39</v>
      </c>
      <c r="K1384" s="49" t="s">
        <v>76</v>
      </c>
      <c r="L1384" s="49" t="s">
        <v>95</v>
      </c>
      <c r="M1384" s="49" t="s">
        <v>77</v>
      </c>
      <c r="N1384" s="48" t="s">
        <v>79</v>
      </c>
      <c r="O1384" s="49" t="s">
        <v>68</v>
      </c>
      <c r="P1384" s="11" t="s">
        <v>1476</v>
      </c>
      <c r="Q1384" s="11" t="s">
        <v>81</v>
      </c>
      <c r="R1384" s="11" t="s">
        <v>2826</v>
      </c>
      <c r="S1384" s="11" t="s">
        <v>2827</v>
      </c>
      <c r="T1384" s="90" t="s">
        <v>10</v>
      </c>
      <c r="U1384" s="89"/>
      <c r="V1384" s="51">
        <v>45530</v>
      </c>
      <c r="W1384" s="49" t="s">
        <v>68</v>
      </c>
    </row>
    <row r="1385" spans="1:23" ht="13" customHeight="1" x14ac:dyDescent="0.35">
      <c r="A1385" s="11">
        <v>1380</v>
      </c>
      <c r="B1385" s="47">
        <v>203875186</v>
      </c>
      <c r="C1385" s="94" t="s">
        <v>1599</v>
      </c>
      <c r="D1385" s="11" t="s">
        <v>1600</v>
      </c>
      <c r="E1385" s="48" t="s">
        <v>31</v>
      </c>
      <c r="F1385" s="48" t="s">
        <v>74</v>
      </c>
      <c r="G1385" s="11" t="s">
        <v>66</v>
      </c>
      <c r="H1385" s="11" t="s">
        <v>1365</v>
      </c>
      <c r="I1385" s="11">
        <v>1181</v>
      </c>
      <c r="J1385" s="49" t="s">
        <v>39</v>
      </c>
      <c r="K1385" s="49" t="s">
        <v>76</v>
      </c>
      <c r="L1385" s="49" t="s">
        <v>77</v>
      </c>
      <c r="M1385" s="49" t="s">
        <v>78</v>
      </c>
      <c r="N1385" s="48" t="s">
        <v>79</v>
      </c>
      <c r="O1385" s="49" t="s">
        <v>68</v>
      </c>
      <c r="P1385" s="11" t="s">
        <v>1476</v>
      </c>
      <c r="Q1385" s="11" t="s">
        <v>81</v>
      </c>
      <c r="R1385" s="11" t="s">
        <v>2826</v>
      </c>
      <c r="S1385" s="11" t="s">
        <v>2827</v>
      </c>
      <c r="T1385" s="90" t="s">
        <v>10</v>
      </c>
      <c r="U1385" s="90"/>
      <c r="V1385" s="51">
        <v>45528</v>
      </c>
      <c r="W1385" s="49" t="s">
        <v>68</v>
      </c>
    </row>
    <row r="1386" spans="1:23" ht="13" customHeight="1" x14ac:dyDescent="0.35">
      <c r="A1386" s="11">
        <v>1381</v>
      </c>
      <c r="B1386" s="47">
        <v>206868000</v>
      </c>
      <c r="C1386" s="94" t="s">
        <v>2963</v>
      </c>
      <c r="D1386" s="11" t="s">
        <v>2964</v>
      </c>
      <c r="E1386" s="48" t="s">
        <v>31</v>
      </c>
      <c r="F1386" s="48" t="s">
        <v>74</v>
      </c>
      <c r="G1386" s="11" t="s">
        <v>64</v>
      </c>
      <c r="H1386" s="11" t="s">
        <v>75</v>
      </c>
      <c r="I1386" s="11">
        <v>1299</v>
      </c>
      <c r="J1386" s="11" t="s">
        <v>39</v>
      </c>
      <c r="K1386" s="11" t="s">
        <v>76</v>
      </c>
      <c r="L1386" s="11" t="s">
        <v>78</v>
      </c>
      <c r="M1386" s="11" t="s">
        <v>92</v>
      </c>
      <c r="N1386" s="11" t="s">
        <v>89</v>
      </c>
      <c r="O1386" s="11" t="s">
        <v>37</v>
      </c>
      <c r="P1386" s="11" t="s">
        <v>80</v>
      </c>
      <c r="Q1386" s="11" t="s">
        <v>81</v>
      </c>
      <c r="R1386" s="11" t="s">
        <v>632</v>
      </c>
      <c r="S1386" s="11" t="s">
        <v>633</v>
      </c>
      <c r="T1386" s="90" t="s">
        <v>1</v>
      </c>
      <c r="U1386" s="91"/>
      <c r="V1386" s="51">
        <v>46238</v>
      </c>
      <c r="W1386" s="11" t="s">
        <v>1612</v>
      </c>
    </row>
    <row r="1387" spans="1:23" ht="13" customHeight="1" x14ac:dyDescent="0.35">
      <c r="A1387" s="11">
        <v>1382</v>
      </c>
      <c r="B1387" s="47">
        <v>206897671</v>
      </c>
      <c r="C1387" s="94" t="s">
        <v>2965</v>
      </c>
      <c r="D1387" s="11" t="s">
        <v>2966</v>
      </c>
      <c r="E1387" s="48" t="s">
        <v>31</v>
      </c>
      <c r="F1387" s="48" t="s">
        <v>74</v>
      </c>
      <c r="G1387" s="11" t="s">
        <v>64</v>
      </c>
      <c r="H1387" s="11" t="s">
        <v>75</v>
      </c>
      <c r="I1387" s="11">
        <v>1299</v>
      </c>
      <c r="J1387" s="11" t="s">
        <v>39</v>
      </c>
      <c r="K1387" s="11" t="s">
        <v>76</v>
      </c>
      <c r="L1387" s="11" t="s">
        <v>92</v>
      </c>
      <c r="M1387" s="11" t="s">
        <v>84</v>
      </c>
      <c r="N1387" s="11" t="s">
        <v>89</v>
      </c>
      <c r="O1387" s="11" t="s">
        <v>37</v>
      </c>
      <c r="P1387" s="11" t="s">
        <v>80</v>
      </c>
      <c r="Q1387" s="11" t="s">
        <v>81</v>
      </c>
      <c r="R1387" s="11" t="s">
        <v>632</v>
      </c>
      <c r="S1387" s="11" t="s">
        <v>633</v>
      </c>
      <c r="T1387" s="90" t="s">
        <v>1</v>
      </c>
      <c r="U1387" s="89"/>
      <c r="V1387" s="51">
        <v>46238</v>
      </c>
      <c r="W1387" s="11" t="s">
        <v>1612</v>
      </c>
    </row>
    <row r="1388" spans="1:23" ht="13" customHeight="1" x14ac:dyDescent="0.35">
      <c r="A1388" s="11">
        <v>1383</v>
      </c>
      <c r="B1388" s="47">
        <v>206897640</v>
      </c>
      <c r="C1388" s="94" t="s">
        <v>2967</v>
      </c>
      <c r="D1388" s="11" t="s">
        <v>2968</v>
      </c>
      <c r="E1388" s="48" t="s">
        <v>31</v>
      </c>
      <c r="F1388" s="48" t="s">
        <v>74</v>
      </c>
      <c r="G1388" s="11" t="s">
        <v>64</v>
      </c>
      <c r="H1388" s="11" t="s">
        <v>75</v>
      </c>
      <c r="I1388" s="11">
        <v>1299</v>
      </c>
      <c r="J1388" s="11" t="s">
        <v>39</v>
      </c>
      <c r="K1388" s="11" t="s">
        <v>76</v>
      </c>
      <c r="L1388" s="11" t="s">
        <v>78</v>
      </c>
      <c r="M1388" s="11" t="s">
        <v>92</v>
      </c>
      <c r="N1388" s="11" t="s">
        <v>89</v>
      </c>
      <c r="O1388" s="11" t="s">
        <v>37</v>
      </c>
      <c r="P1388" s="11" t="s">
        <v>80</v>
      </c>
      <c r="Q1388" s="11" t="s">
        <v>81</v>
      </c>
      <c r="R1388" s="11" t="s">
        <v>632</v>
      </c>
      <c r="S1388" s="11" t="s">
        <v>633</v>
      </c>
      <c r="T1388" s="90" t="s">
        <v>1</v>
      </c>
      <c r="U1388" s="89"/>
      <c r="V1388" s="51">
        <v>46238</v>
      </c>
      <c r="W1388" s="11" t="s">
        <v>1612</v>
      </c>
    </row>
    <row r="1389" spans="1:23" ht="13" customHeight="1" x14ac:dyDescent="0.35">
      <c r="A1389" s="11">
        <v>1384</v>
      </c>
      <c r="B1389" s="47">
        <v>206136735</v>
      </c>
      <c r="C1389" s="94" t="s">
        <v>2969</v>
      </c>
      <c r="D1389" s="11" t="s">
        <v>2970</v>
      </c>
      <c r="E1389" s="48" t="s">
        <v>31</v>
      </c>
      <c r="F1389" s="48" t="s">
        <v>74</v>
      </c>
      <c r="G1389" s="11" t="s">
        <v>64</v>
      </c>
      <c r="H1389" s="11" t="s">
        <v>75</v>
      </c>
      <c r="I1389" s="11">
        <v>1299</v>
      </c>
      <c r="J1389" s="11" t="s">
        <v>39</v>
      </c>
      <c r="K1389" s="11" t="s">
        <v>76</v>
      </c>
      <c r="L1389" s="11" t="s">
        <v>92</v>
      </c>
      <c r="M1389" s="11" t="s">
        <v>84</v>
      </c>
      <c r="N1389" s="11" t="s">
        <v>89</v>
      </c>
      <c r="O1389" s="11" t="s">
        <v>37</v>
      </c>
      <c r="P1389" s="11" t="s">
        <v>80</v>
      </c>
      <c r="Q1389" s="11" t="s">
        <v>96</v>
      </c>
      <c r="R1389" s="11" t="s">
        <v>1087</v>
      </c>
      <c r="S1389" s="11" t="s">
        <v>2823</v>
      </c>
      <c r="T1389" s="90" t="s">
        <v>1</v>
      </c>
      <c r="U1389" s="91"/>
      <c r="V1389" s="51">
        <v>46238</v>
      </c>
      <c r="W1389" s="11" t="s">
        <v>1612</v>
      </c>
    </row>
    <row r="1390" spans="1:23" ht="13" customHeight="1" x14ac:dyDescent="0.35">
      <c r="A1390" s="11">
        <v>1385</v>
      </c>
      <c r="B1390" s="47">
        <v>205231290</v>
      </c>
      <c r="C1390" s="94" t="s">
        <v>2971</v>
      </c>
      <c r="D1390" s="11" t="s">
        <v>2972</v>
      </c>
      <c r="E1390" s="48" t="s">
        <v>31</v>
      </c>
      <c r="F1390" s="48" t="s">
        <v>74</v>
      </c>
      <c r="G1390" s="11" t="s">
        <v>64</v>
      </c>
      <c r="H1390" s="11" t="s">
        <v>75</v>
      </c>
      <c r="I1390" s="11">
        <v>1299</v>
      </c>
      <c r="J1390" s="11" t="s">
        <v>39</v>
      </c>
      <c r="K1390" s="11" t="s">
        <v>76</v>
      </c>
      <c r="L1390" s="11" t="s">
        <v>88</v>
      </c>
      <c r="M1390" s="11" t="s">
        <v>95</v>
      </c>
      <c r="N1390" s="11" t="s">
        <v>89</v>
      </c>
      <c r="O1390" s="11" t="s">
        <v>37</v>
      </c>
      <c r="P1390" s="11" t="s">
        <v>80</v>
      </c>
      <c r="Q1390" s="11" t="s">
        <v>96</v>
      </c>
      <c r="R1390" s="11" t="s">
        <v>1087</v>
      </c>
      <c r="S1390" s="11" t="s">
        <v>2823</v>
      </c>
      <c r="T1390" s="90" t="s">
        <v>1</v>
      </c>
      <c r="U1390" s="89"/>
      <c r="V1390" s="51">
        <v>46238</v>
      </c>
      <c r="W1390" s="11" t="s">
        <v>1611</v>
      </c>
    </row>
    <row r="1391" spans="1:23" ht="13" customHeight="1" x14ac:dyDescent="0.35">
      <c r="A1391" s="11">
        <v>1386</v>
      </c>
      <c r="B1391" s="47">
        <v>205252357</v>
      </c>
      <c r="C1391" s="94" t="s">
        <v>2973</v>
      </c>
      <c r="D1391" s="11" t="s">
        <v>2974</v>
      </c>
      <c r="E1391" s="48" t="s">
        <v>31</v>
      </c>
      <c r="F1391" s="48" t="s">
        <v>74</v>
      </c>
      <c r="G1391" s="11" t="s">
        <v>64</v>
      </c>
      <c r="H1391" s="11" t="s">
        <v>75</v>
      </c>
      <c r="I1391" s="11">
        <v>1299</v>
      </c>
      <c r="J1391" s="11" t="s">
        <v>39</v>
      </c>
      <c r="K1391" s="11" t="s">
        <v>76</v>
      </c>
      <c r="L1391" s="11" t="s">
        <v>77</v>
      </c>
      <c r="M1391" s="11" t="s">
        <v>78</v>
      </c>
      <c r="N1391" s="11" t="s">
        <v>89</v>
      </c>
      <c r="O1391" s="11" t="s">
        <v>37</v>
      </c>
      <c r="P1391" s="11" t="s">
        <v>80</v>
      </c>
      <c r="Q1391" s="11" t="s">
        <v>96</v>
      </c>
      <c r="R1391" s="11" t="s">
        <v>1087</v>
      </c>
      <c r="S1391" s="11" t="s">
        <v>2823</v>
      </c>
      <c r="T1391" s="90" t="s">
        <v>10</v>
      </c>
      <c r="U1391" s="89"/>
      <c r="V1391" s="51">
        <v>46238</v>
      </c>
      <c r="W1391" s="11" t="s">
        <v>1611</v>
      </c>
    </row>
    <row r="1392" spans="1:23" ht="13" customHeight="1" x14ac:dyDescent="0.35">
      <c r="A1392" s="11">
        <v>1387</v>
      </c>
      <c r="B1392" s="47">
        <v>206192232</v>
      </c>
      <c r="C1392" s="94" t="s">
        <v>2975</v>
      </c>
      <c r="D1392" s="11" t="s">
        <v>2976</v>
      </c>
      <c r="E1392" s="48" t="s">
        <v>31</v>
      </c>
      <c r="F1392" s="48" t="s">
        <v>74</v>
      </c>
      <c r="G1392" s="11" t="s">
        <v>64</v>
      </c>
      <c r="H1392" s="11" t="s">
        <v>75</v>
      </c>
      <c r="I1392" s="11">
        <v>1299</v>
      </c>
      <c r="J1392" s="11" t="s">
        <v>39</v>
      </c>
      <c r="K1392" s="11" t="s">
        <v>76</v>
      </c>
      <c r="L1392" s="11" t="s">
        <v>78</v>
      </c>
      <c r="M1392" s="11" t="s">
        <v>92</v>
      </c>
      <c r="N1392" s="11" t="s">
        <v>89</v>
      </c>
      <c r="O1392" s="11" t="s">
        <v>37</v>
      </c>
      <c r="P1392" s="11" t="s">
        <v>80</v>
      </c>
      <c r="Q1392" s="11" t="s">
        <v>96</v>
      </c>
      <c r="R1392" s="11" t="s">
        <v>1087</v>
      </c>
      <c r="S1392" s="11" t="s">
        <v>2823</v>
      </c>
      <c r="T1392" s="90" t="s">
        <v>1</v>
      </c>
      <c r="U1392" s="91"/>
      <c r="V1392" s="51">
        <v>46238</v>
      </c>
      <c r="W1392" s="11" t="s">
        <v>1611</v>
      </c>
    </row>
    <row r="1393" spans="1:23" ht="13" customHeight="1" x14ac:dyDescent="0.35">
      <c r="A1393" s="11">
        <v>1388</v>
      </c>
      <c r="B1393" s="47">
        <v>206491343</v>
      </c>
      <c r="C1393" s="94" t="s">
        <v>2977</v>
      </c>
      <c r="D1393" s="11" t="s">
        <v>2978</v>
      </c>
      <c r="E1393" s="48" t="s">
        <v>31</v>
      </c>
      <c r="F1393" s="48" t="s">
        <v>74</v>
      </c>
      <c r="G1393" s="11" t="s">
        <v>64</v>
      </c>
      <c r="H1393" s="11" t="s">
        <v>75</v>
      </c>
      <c r="I1393" s="11">
        <v>1299</v>
      </c>
      <c r="J1393" s="11" t="s">
        <v>39</v>
      </c>
      <c r="K1393" s="11" t="s">
        <v>76</v>
      </c>
      <c r="L1393" s="11" t="s">
        <v>92</v>
      </c>
      <c r="M1393" s="11" t="s">
        <v>84</v>
      </c>
      <c r="N1393" s="11" t="s">
        <v>89</v>
      </c>
      <c r="O1393" s="11" t="s">
        <v>37</v>
      </c>
      <c r="P1393" s="11" t="s">
        <v>80</v>
      </c>
      <c r="Q1393" s="11" t="s">
        <v>96</v>
      </c>
      <c r="R1393" s="11" t="s">
        <v>1087</v>
      </c>
      <c r="S1393" s="11" t="s">
        <v>2823</v>
      </c>
      <c r="T1393" s="90" t="s">
        <v>1</v>
      </c>
      <c r="U1393" s="89"/>
      <c r="V1393" s="51">
        <v>46238</v>
      </c>
      <c r="W1393" s="11" t="s">
        <v>1611</v>
      </c>
    </row>
    <row r="1394" spans="1:23" ht="13" customHeight="1" x14ac:dyDescent="0.35">
      <c r="A1394" s="11">
        <v>1389</v>
      </c>
      <c r="B1394" s="47">
        <v>206128578</v>
      </c>
      <c r="C1394" s="94" t="s">
        <v>2979</v>
      </c>
      <c r="D1394" s="11" t="s">
        <v>2980</v>
      </c>
      <c r="E1394" s="48" t="s">
        <v>31</v>
      </c>
      <c r="F1394" s="48" t="s">
        <v>74</v>
      </c>
      <c r="G1394" s="11" t="s">
        <v>64</v>
      </c>
      <c r="H1394" s="11" t="s">
        <v>75</v>
      </c>
      <c r="I1394" s="11">
        <v>1299</v>
      </c>
      <c r="J1394" s="11" t="s">
        <v>39</v>
      </c>
      <c r="K1394" s="11" t="s">
        <v>76</v>
      </c>
      <c r="L1394" s="11" t="s">
        <v>84</v>
      </c>
      <c r="M1394" s="11" t="s">
        <v>85</v>
      </c>
      <c r="N1394" s="11" t="s">
        <v>89</v>
      </c>
      <c r="O1394" s="11" t="s">
        <v>37</v>
      </c>
      <c r="P1394" s="11" t="s">
        <v>80</v>
      </c>
      <c r="Q1394" s="11" t="s">
        <v>96</v>
      </c>
      <c r="R1394" s="11" t="s">
        <v>1087</v>
      </c>
      <c r="S1394" s="11" t="s">
        <v>2823</v>
      </c>
      <c r="T1394" s="90" t="s">
        <v>1</v>
      </c>
      <c r="U1394" s="89"/>
      <c r="V1394" s="51">
        <v>46238</v>
      </c>
      <c r="W1394" s="11" t="s">
        <v>1611</v>
      </c>
    </row>
    <row r="1395" spans="1:23" ht="13" customHeight="1" x14ac:dyDescent="0.35">
      <c r="A1395" s="11">
        <v>1390</v>
      </c>
      <c r="B1395" s="47">
        <v>206136722</v>
      </c>
      <c r="C1395" s="94" t="s">
        <v>2981</v>
      </c>
      <c r="D1395" s="11" t="s">
        <v>2982</v>
      </c>
      <c r="E1395" s="48" t="s">
        <v>31</v>
      </c>
      <c r="F1395" s="48" t="s">
        <v>74</v>
      </c>
      <c r="G1395" s="11" t="s">
        <v>64</v>
      </c>
      <c r="H1395" s="11" t="s">
        <v>75</v>
      </c>
      <c r="I1395" s="11">
        <v>1299</v>
      </c>
      <c r="J1395" s="11" t="s">
        <v>39</v>
      </c>
      <c r="K1395" s="11" t="s">
        <v>76</v>
      </c>
      <c r="L1395" s="11" t="s">
        <v>85</v>
      </c>
      <c r="M1395" s="11" t="s">
        <v>88</v>
      </c>
      <c r="N1395" s="11" t="s">
        <v>89</v>
      </c>
      <c r="O1395" s="11" t="s">
        <v>37</v>
      </c>
      <c r="P1395" s="11" t="s">
        <v>80</v>
      </c>
      <c r="Q1395" s="11" t="s">
        <v>96</v>
      </c>
      <c r="R1395" s="11" t="s">
        <v>1087</v>
      </c>
      <c r="S1395" s="11" t="s">
        <v>2823</v>
      </c>
      <c r="T1395" s="90" t="s">
        <v>1</v>
      </c>
      <c r="U1395" s="91"/>
      <c r="V1395" s="51">
        <v>46238</v>
      </c>
      <c r="W1395" s="11" t="s">
        <v>1611</v>
      </c>
    </row>
    <row r="1396" spans="1:23" ht="13" customHeight="1" x14ac:dyDescent="0.35">
      <c r="A1396" s="11">
        <v>1391</v>
      </c>
      <c r="B1396" s="47">
        <v>205252356</v>
      </c>
      <c r="C1396" s="94" t="s">
        <v>2983</v>
      </c>
      <c r="D1396" s="11" t="s">
        <v>2984</v>
      </c>
      <c r="E1396" s="48" t="s">
        <v>31</v>
      </c>
      <c r="F1396" s="48" t="s">
        <v>74</v>
      </c>
      <c r="G1396" s="11" t="s">
        <v>64</v>
      </c>
      <c r="H1396" s="11" t="s">
        <v>75</v>
      </c>
      <c r="I1396" s="11">
        <v>1299</v>
      </c>
      <c r="J1396" s="11" t="s">
        <v>39</v>
      </c>
      <c r="K1396" s="11" t="s">
        <v>76</v>
      </c>
      <c r="L1396" s="11" t="s">
        <v>78</v>
      </c>
      <c r="M1396" s="11" t="s">
        <v>92</v>
      </c>
      <c r="N1396" s="11" t="s">
        <v>89</v>
      </c>
      <c r="O1396" s="11" t="s">
        <v>37</v>
      </c>
      <c r="P1396" s="11" t="s">
        <v>80</v>
      </c>
      <c r="Q1396" s="11" t="s">
        <v>96</v>
      </c>
      <c r="R1396" s="11" t="s">
        <v>1087</v>
      </c>
      <c r="S1396" s="11" t="s">
        <v>2823</v>
      </c>
      <c r="T1396" s="90" t="s">
        <v>7</v>
      </c>
      <c r="U1396" s="90" t="s">
        <v>3004</v>
      </c>
      <c r="V1396" s="51">
        <v>46238</v>
      </c>
      <c r="W1396" s="11" t="s">
        <v>1610</v>
      </c>
    </row>
    <row r="1397" spans="1:23" ht="13" customHeight="1" x14ac:dyDescent="0.35">
      <c r="A1397" s="11">
        <v>1392</v>
      </c>
      <c r="B1397" s="47">
        <v>205252538</v>
      </c>
      <c r="C1397" s="94" t="s">
        <v>2985</v>
      </c>
      <c r="D1397" s="11" t="s">
        <v>2986</v>
      </c>
      <c r="E1397" s="48" t="s">
        <v>31</v>
      </c>
      <c r="F1397" s="48" t="s">
        <v>74</v>
      </c>
      <c r="G1397" s="11" t="s">
        <v>64</v>
      </c>
      <c r="H1397" s="11" t="s">
        <v>75</v>
      </c>
      <c r="I1397" s="11">
        <v>1299</v>
      </c>
      <c r="J1397" s="11" t="s">
        <v>39</v>
      </c>
      <c r="K1397" s="11" t="s">
        <v>76</v>
      </c>
      <c r="L1397" s="11" t="s">
        <v>92</v>
      </c>
      <c r="M1397" s="11" t="s">
        <v>84</v>
      </c>
      <c r="N1397" s="11" t="s">
        <v>89</v>
      </c>
      <c r="O1397" s="11" t="s">
        <v>37</v>
      </c>
      <c r="P1397" s="11" t="s">
        <v>80</v>
      </c>
      <c r="Q1397" s="11" t="s">
        <v>96</v>
      </c>
      <c r="R1397" s="11" t="s">
        <v>1087</v>
      </c>
      <c r="S1397" s="11" t="s">
        <v>2823</v>
      </c>
      <c r="T1397" s="90" t="s">
        <v>1</v>
      </c>
      <c r="U1397" s="89"/>
      <c r="V1397" s="51">
        <v>46238</v>
      </c>
      <c r="W1397" s="11" t="s">
        <v>1610</v>
      </c>
    </row>
    <row r="1398" spans="1:23" ht="13" customHeight="1" x14ac:dyDescent="0.35">
      <c r="A1398" s="11">
        <v>1393</v>
      </c>
      <c r="B1398" s="47">
        <v>205199356</v>
      </c>
      <c r="C1398" s="94" t="s">
        <v>2987</v>
      </c>
      <c r="D1398" s="11" t="s">
        <v>2988</v>
      </c>
      <c r="E1398" s="48" t="s">
        <v>31</v>
      </c>
      <c r="F1398" s="48" t="s">
        <v>74</v>
      </c>
      <c r="G1398" s="11" t="s">
        <v>64</v>
      </c>
      <c r="H1398" s="11" t="s">
        <v>75</v>
      </c>
      <c r="I1398" s="11">
        <v>1299</v>
      </c>
      <c r="J1398" s="11" t="s">
        <v>39</v>
      </c>
      <c r="K1398" s="11" t="s">
        <v>76</v>
      </c>
      <c r="L1398" s="11" t="s">
        <v>84</v>
      </c>
      <c r="M1398" s="11" t="s">
        <v>85</v>
      </c>
      <c r="N1398" s="11" t="s">
        <v>89</v>
      </c>
      <c r="O1398" s="11" t="s">
        <v>37</v>
      </c>
      <c r="P1398" s="11" t="s">
        <v>80</v>
      </c>
      <c r="Q1398" s="11" t="s">
        <v>96</v>
      </c>
      <c r="R1398" s="11" t="s">
        <v>1087</v>
      </c>
      <c r="S1398" s="11" t="s">
        <v>2823</v>
      </c>
      <c r="T1398" s="90" t="s">
        <v>1</v>
      </c>
      <c r="U1398" s="89"/>
      <c r="V1398" s="51">
        <v>46238</v>
      </c>
      <c r="W1398" s="11" t="s">
        <v>1610</v>
      </c>
    </row>
    <row r="1399" spans="1:23" ht="13" customHeight="1" x14ac:dyDescent="0.35">
      <c r="A1399" s="11">
        <v>1394</v>
      </c>
      <c r="B1399" s="47">
        <v>206230579</v>
      </c>
      <c r="C1399" s="94" t="s">
        <v>2989</v>
      </c>
      <c r="D1399" s="11" t="s">
        <v>2990</v>
      </c>
      <c r="E1399" s="48" t="s">
        <v>31</v>
      </c>
      <c r="F1399" s="48" t="s">
        <v>74</v>
      </c>
      <c r="G1399" s="11" t="s">
        <v>64</v>
      </c>
      <c r="H1399" s="11" t="s">
        <v>75</v>
      </c>
      <c r="I1399" s="11">
        <v>1299</v>
      </c>
      <c r="J1399" s="11" t="s">
        <v>39</v>
      </c>
      <c r="K1399" s="11" t="s">
        <v>76</v>
      </c>
      <c r="L1399" s="11" t="s">
        <v>85</v>
      </c>
      <c r="M1399" s="11" t="s">
        <v>88</v>
      </c>
      <c r="N1399" s="11" t="s">
        <v>89</v>
      </c>
      <c r="O1399" s="11" t="s">
        <v>37</v>
      </c>
      <c r="P1399" s="11" t="s">
        <v>80</v>
      </c>
      <c r="Q1399" s="11" t="s">
        <v>96</v>
      </c>
      <c r="R1399" s="11" t="s">
        <v>1087</v>
      </c>
      <c r="S1399" s="11" t="s">
        <v>2823</v>
      </c>
      <c r="T1399" s="90" t="s">
        <v>1</v>
      </c>
      <c r="U1399" s="89"/>
      <c r="V1399" s="51">
        <v>46238</v>
      </c>
      <c r="W1399" s="11" t="s">
        <v>1610</v>
      </c>
    </row>
    <row r="1400" spans="1:23" ht="13" customHeight="1" x14ac:dyDescent="0.35">
      <c r="A1400" s="11">
        <v>1395</v>
      </c>
      <c r="B1400" s="47">
        <v>206491328</v>
      </c>
      <c r="C1400" s="94" t="s">
        <v>2991</v>
      </c>
      <c r="D1400" s="11" t="s">
        <v>2992</v>
      </c>
      <c r="E1400" s="48" t="s">
        <v>31</v>
      </c>
      <c r="F1400" s="48" t="s">
        <v>74</v>
      </c>
      <c r="G1400" s="11" t="s">
        <v>64</v>
      </c>
      <c r="H1400" s="11" t="s">
        <v>75</v>
      </c>
      <c r="I1400" s="11">
        <v>1299</v>
      </c>
      <c r="J1400" s="11" t="s">
        <v>39</v>
      </c>
      <c r="K1400" s="11" t="s">
        <v>76</v>
      </c>
      <c r="L1400" s="11" t="s">
        <v>88</v>
      </c>
      <c r="M1400" s="11" t="s">
        <v>95</v>
      </c>
      <c r="N1400" s="11" t="s">
        <v>89</v>
      </c>
      <c r="O1400" s="11" t="s">
        <v>37</v>
      </c>
      <c r="P1400" s="11" t="s">
        <v>80</v>
      </c>
      <c r="Q1400" s="11" t="s">
        <v>96</v>
      </c>
      <c r="R1400" s="11" t="s">
        <v>1087</v>
      </c>
      <c r="S1400" s="11" t="s">
        <v>2823</v>
      </c>
      <c r="T1400" s="90" t="s">
        <v>1</v>
      </c>
      <c r="U1400" s="90"/>
      <c r="V1400" s="51">
        <v>46238</v>
      </c>
      <c r="W1400" s="11" t="s">
        <v>1610</v>
      </c>
    </row>
    <row r="1401" spans="1:23" ht="13" customHeight="1" x14ac:dyDescent="0.35">
      <c r="A1401" s="11">
        <v>1396</v>
      </c>
      <c r="B1401" s="47">
        <v>206240253</v>
      </c>
      <c r="C1401" s="94" t="s">
        <v>2993</v>
      </c>
      <c r="D1401" s="11" t="s">
        <v>2994</v>
      </c>
      <c r="E1401" s="48" t="s">
        <v>31</v>
      </c>
      <c r="F1401" s="48" t="s">
        <v>74</v>
      </c>
      <c r="G1401" s="11" t="s">
        <v>64</v>
      </c>
      <c r="H1401" s="11" t="s">
        <v>75</v>
      </c>
      <c r="I1401" s="11">
        <v>1299</v>
      </c>
      <c r="J1401" s="11" t="s">
        <v>39</v>
      </c>
      <c r="K1401" s="11" t="s">
        <v>76</v>
      </c>
      <c r="L1401" s="11" t="s">
        <v>77</v>
      </c>
      <c r="M1401" s="11" t="s">
        <v>78</v>
      </c>
      <c r="N1401" s="11" t="s">
        <v>89</v>
      </c>
      <c r="O1401" s="11" t="s">
        <v>37</v>
      </c>
      <c r="P1401" s="11" t="s">
        <v>80</v>
      </c>
      <c r="Q1401" s="11" t="s">
        <v>96</v>
      </c>
      <c r="R1401" s="11" t="s">
        <v>1087</v>
      </c>
      <c r="S1401" s="11" t="s">
        <v>2823</v>
      </c>
      <c r="T1401" s="90" t="s">
        <v>10</v>
      </c>
      <c r="U1401" s="89"/>
      <c r="V1401" s="51">
        <v>46238</v>
      </c>
      <c r="W1401" s="11" t="s">
        <v>1610</v>
      </c>
    </row>
    <row r="1402" spans="1:23" ht="13" customHeight="1" x14ac:dyDescent="0.35">
      <c r="A1402" s="11">
        <v>1397</v>
      </c>
      <c r="B1402" s="47">
        <v>206930331</v>
      </c>
      <c r="C1402" s="94" t="s">
        <v>2995</v>
      </c>
      <c r="D1402" s="11" t="s">
        <v>2996</v>
      </c>
      <c r="E1402" s="48" t="s">
        <v>31</v>
      </c>
      <c r="F1402" s="48" t="s">
        <v>74</v>
      </c>
      <c r="G1402" s="11" t="s">
        <v>64</v>
      </c>
      <c r="H1402" s="11" t="s">
        <v>75</v>
      </c>
      <c r="I1402" s="11">
        <v>1299</v>
      </c>
      <c r="J1402" s="11" t="s">
        <v>39</v>
      </c>
      <c r="K1402" s="11" t="s">
        <v>76</v>
      </c>
      <c r="L1402" s="11" t="s">
        <v>78</v>
      </c>
      <c r="M1402" s="11" t="s">
        <v>92</v>
      </c>
      <c r="N1402" s="11" t="s">
        <v>89</v>
      </c>
      <c r="O1402" s="11" t="s">
        <v>37</v>
      </c>
      <c r="P1402" s="11" t="s">
        <v>80</v>
      </c>
      <c r="Q1402" s="11" t="s">
        <v>96</v>
      </c>
      <c r="R1402" s="11" t="s">
        <v>1087</v>
      </c>
      <c r="S1402" s="11" t="s">
        <v>2823</v>
      </c>
      <c r="T1402" s="90" t="s">
        <v>1</v>
      </c>
      <c r="U1402" s="91"/>
      <c r="V1402" s="51">
        <v>46238</v>
      </c>
      <c r="W1402" s="11" t="s">
        <v>1610</v>
      </c>
    </row>
    <row r="1403" spans="1:23" ht="13" customHeight="1" x14ac:dyDescent="0.35">
      <c r="A1403" s="11">
        <v>1398</v>
      </c>
      <c r="B1403" s="47">
        <v>206868288</v>
      </c>
      <c r="C1403" s="94" t="str">
        <f>VLOOKUP(B1403,'[1]employeeList-AUH1 (28)'!$A$1:$J$1523,2,0)</f>
        <v>margdufi</v>
      </c>
      <c r="D1403" s="11" t="s">
        <v>2998</v>
      </c>
      <c r="E1403" s="48" t="s">
        <v>31</v>
      </c>
      <c r="F1403" s="48" t="s">
        <v>74</v>
      </c>
      <c r="G1403" s="11" t="s">
        <v>64</v>
      </c>
      <c r="H1403" s="11" t="s">
        <v>75</v>
      </c>
      <c r="I1403" s="11">
        <v>1299</v>
      </c>
      <c r="J1403" s="11" t="s">
        <v>39</v>
      </c>
      <c r="K1403" s="11" t="s">
        <v>76</v>
      </c>
      <c r="L1403" s="11" t="s">
        <v>84</v>
      </c>
      <c r="M1403" s="11" t="s">
        <v>85</v>
      </c>
      <c r="N1403" s="11" t="s">
        <v>89</v>
      </c>
      <c r="O1403" s="11" t="s">
        <v>37</v>
      </c>
      <c r="P1403" s="11" t="s">
        <v>80</v>
      </c>
      <c r="Q1403" s="11" t="s">
        <v>81</v>
      </c>
      <c r="R1403" s="11" t="s">
        <v>632</v>
      </c>
      <c r="S1403" s="11" t="s">
        <v>633</v>
      </c>
      <c r="T1403" s="90" t="s">
        <v>1</v>
      </c>
      <c r="U1403" s="92"/>
      <c r="V1403" s="51">
        <v>46239</v>
      </c>
      <c r="W1403" s="11" t="s">
        <v>1612</v>
      </c>
    </row>
    <row r="1404" spans="1:23" ht="13" customHeight="1" x14ac:dyDescent="0.35">
      <c r="A1404" s="11">
        <v>1399</v>
      </c>
      <c r="B1404" s="47">
        <v>206897649</v>
      </c>
      <c r="C1404" s="94" t="str">
        <f>VLOOKUP(B1404,'[1]employeeList-AUH1 (28)'!$A$1:$J$1523,2,0)</f>
        <v>gideopwa</v>
      </c>
      <c r="D1404" s="11" t="s">
        <v>2999</v>
      </c>
      <c r="E1404" s="48" t="s">
        <v>31</v>
      </c>
      <c r="F1404" s="48" t="s">
        <v>74</v>
      </c>
      <c r="G1404" s="11" t="s">
        <v>64</v>
      </c>
      <c r="H1404" s="11" t="s">
        <v>75</v>
      </c>
      <c r="I1404" s="11">
        <v>1299</v>
      </c>
      <c r="J1404" s="11" t="s">
        <v>39</v>
      </c>
      <c r="K1404" s="11" t="s">
        <v>76</v>
      </c>
      <c r="L1404" s="11" t="s">
        <v>85</v>
      </c>
      <c r="M1404" s="11" t="s">
        <v>88</v>
      </c>
      <c r="N1404" s="11" t="s">
        <v>89</v>
      </c>
      <c r="O1404" s="11" t="s">
        <v>37</v>
      </c>
      <c r="P1404" s="11" t="s">
        <v>80</v>
      </c>
      <c r="Q1404" s="11" t="s">
        <v>81</v>
      </c>
      <c r="R1404" s="11" t="s">
        <v>632</v>
      </c>
      <c r="S1404" s="11" t="s">
        <v>633</v>
      </c>
      <c r="T1404" s="90" t="s">
        <v>3</v>
      </c>
      <c r="U1404" s="90"/>
      <c r="V1404" s="51">
        <v>46239</v>
      </c>
      <c r="W1404" s="11" t="s">
        <v>1612</v>
      </c>
    </row>
    <row r="1405" spans="1:23" ht="13" customHeight="1" x14ac:dyDescent="0.35">
      <c r="A1405" s="11">
        <v>1400</v>
      </c>
      <c r="B1405" s="47">
        <v>206868005</v>
      </c>
      <c r="C1405" s="94" t="str">
        <f>VLOOKUP(B1405,'[1]employeeList-AUH1 (28)'!$A$1:$J$1523,2,0)</f>
        <v>vdelacyr</v>
      </c>
      <c r="D1405" s="11" t="s">
        <v>3000</v>
      </c>
      <c r="E1405" s="48" t="s">
        <v>31</v>
      </c>
      <c r="F1405" s="48" t="s">
        <v>74</v>
      </c>
      <c r="G1405" s="11" t="s">
        <v>64</v>
      </c>
      <c r="H1405" s="11" t="s">
        <v>75</v>
      </c>
      <c r="I1405" s="11">
        <v>1299</v>
      </c>
      <c r="J1405" s="11" t="s">
        <v>39</v>
      </c>
      <c r="K1405" s="11" t="s">
        <v>76</v>
      </c>
      <c r="L1405" s="11" t="s">
        <v>88</v>
      </c>
      <c r="M1405" s="11" t="s">
        <v>95</v>
      </c>
      <c r="N1405" s="11" t="s">
        <v>89</v>
      </c>
      <c r="O1405" s="11" t="s">
        <v>37</v>
      </c>
      <c r="P1405" s="11" t="s">
        <v>80</v>
      </c>
      <c r="Q1405" s="11" t="s">
        <v>81</v>
      </c>
      <c r="R1405" s="11" t="s">
        <v>632</v>
      </c>
      <c r="S1405" s="11" t="s">
        <v>633</v>
      </c>
      <c r="T1405" s="90" t="s">
        <v>1</v>
      </c>
      <c r="U1405" s="90"/>
      <c r="V1405" s="51">
        <v>46239</v>
      </c>
      <c r="W1405" s="11" t="s">
        <v>1612</v>
      </c>
    </row>
    <row r="1406" spans="1:23" ht="13" customHeight="1" x14ac:dyDescent="0.35">
      <c r="A1406" s="11">
        <v>1401</v>
      </c>
      <c r="B1406" s="47">
        <v>206239524</v>
      </c>
      <c r="C1406" s="94" t="str">
        <f>VLOOKUP(B1406,'[1]employeeList-AUH1 (28)'!$A$1:$J$1523,2,0)</f>
        <v>fsarckoh</v>
      </c>
      <c r="D1406" s="11" t="s">
        <v>3001</v>
      </c>
      <c r="E1406" s="48" t="s">
        <v>31</v>
      </c>
      <c r="F1406" s="48" t="s">
        <v>74</v>
      </c>
      <c r="G1406" s="11" t="s">
        <v>64</v>
      </c>
      <c r="H1406" s="11" t="s">
        <v>75</v>
      </c>
      <c r="I1406" s="11">
        <v>1299</v>
      </c>
      <c r="J1406" s="11" t="s">
        <v>39</v>
      </c>
      <c r="K1406" s="11" t="s">
        <v>76</v>
      </c>
      <c r="L1406" s="11" t="s">
        <v>95</v>
      </c>
      <c r="M1406" s="11" t="s">
        <v>77</v>
      </c>
      <c r="N1406" s="11" t="s">
        <v>89</v>
      </c>
      <c r="O1406" s="11" t="s">
        <v>37</v>
      </c>
      <c r="P1406" s="11" t="s">
        <v>80</v>
      </c>
      <c r="Q1406" s="11" t="s">
        <v>81</v>
      </c>
      <c r="R1406" s="11" t="s">
        <v>632</v>
      </c>
      <c r="S1406" s="11" t="s">
        <v>633</v>
      </c>
      <c r="T1406" s="90" t="s">
        <v>10</v>
      </c>
      <c r="U1406" s="90"/>
      <c r="V1406" s="51">
        <v>46239</v>
      </c>
      <c r="W1406" s="11" t="s">
        <v>1612</v>
      </c>
    </row>
    <row r="1407" spans="1:23" ht="13" customHeight="1" x14ac:dyDescent="0.35">
      <c r="A1407" s="11">
        <v>1402</v>
      </c>
      <c r="B1407" s="47">
        <v>206136718</v>
      </c>
      <c r="C1407" s="94" t="str">
        <f>VLOOKUP(B1407,'[1]employeeList-AUH1 (28)'!$A$1:$J$1523,2,0)</f>
        <v>tckinuth</v>
      </c>
      <c r="D1407" s="11" t="s">
        <v>3002</v>
      </c>
      <c r="E1407" s="48" t="s">
        <v>31</v>
      </c>
      <c r="F1407" s="48" t="s">
        <v>74</v>
      </c>
      <c r="G1407" s="11" t="s">
        <v>64</v>
      </c>
      <c r="H1407" s="11" t="s">
        <v>75</v>
      </c>
      <c r="I1407" s="11">
        <v>1299</v>
      </c>
      <c r="J1407" s="11" t="s">
        <v>39</v>
      </c>
      <c r="K1407" s="11" t="s">
        <v>76</v>
      </c>
      <c r="L1407" s="11" t="s">
        <v>84</v>
      </c>
      <c r="M1407" s="11" t="s">
        <v>85</v>
      </c>
      <c r="N1407" s="11" t="s">
        <v>89</v>
      </c>
      <c r="O1407" s="11" t="s">
        <v>37</v>
      </c>
      <c r="P1407" s="11" t="s">
        <v>80</v>
      </c>
      <c r="Q1407" s="11" t="s">
        <v>96</v>
      </c>
      <c r="R1407" s="11" t="s">
        <v>1087</v>
      </c>
      <c r="S1407" s="11" t="s">
        <v>2823</v>
      </c>
      <c r="T1407" s="90" t="s">
        <v>1</v>
      </c>
      <c r="U1407" s="90"/>
      <c r="V1407" s="51">
        <v>46239</v>
      </c>
      <c r="W1407" s="11" t="s">
        <v>1612</v>
      </c>
    </row>
  </sheetData>
  <phoneticPr fontId="11" type="noConversion"/>
  <conditionalFormatting sqref="A6">
    <cfRule type="duplicateValues" dxfId="758" priority="43924"/>
  </conditionalFormatting>
  <conditionalFormatting sqref="B6">
    <cfRule type="duplicateValues" dxfId="757" priority="45922"/>
    <cfRule type="duplicateValues" dxfId="756" priority="45923"/>
    <cfRule type="duplicateValues" dxfId="755" priority="45924"/>
  </conditionalFormatting>
  <conditionalFormatting sqref="B7:B1407">
    <cfRule type="duplicateValues" dxfId="754" priority="64947"/>
    <cfRule type="duplicateValues" dxfId="753" priority="64948"/>
  </conditionalFormatting>
  <conditionalFormatting sqref="B596">
    <cfRule type="duplicateValues" dxfId="752" priority="314"/>
  </conditionalFormatting>
  <conditionalFormatting sqref="B1009">
    <cfRule type="duplicateValues" dxfId="751" priority="313"/>
  </conditionalFormatting>
  <conditionalFormatting sqref="B1010 B970:B1008">
    <cfRule type="duplicateValues" dxfId="750" priority="312"/>
  </conditionalFormatting>
  <conditionalFormatting sqref="B1011:B1029">
    <cfRule type="duplicateValues" dxfId="749" priority="311"/>
  </conditionalFormatting>
  <conditionalFormatting sqref="B1030">
    <cfRule type="duplicateValues" dxfId="748" priority="321"/>
    <cfRule type="duplicateValues" dxfId="747" priority="320"/>
    <cfRule type="duplicateValues" dxfId="746" priority="310"/>
  </conditionalFormatting>
  <conditionalFormatting sqref="B1046">
    <cfRule type="duplicateValues" dxfId="745" priority="309"/>
  </conditionalFormatting>
  <conditionalFormatting sqref="B1047:B1092 B1031:B1045">
    <cfRule type="duplicateValues" dxfId="744" priority="308"/>
  </conditionalFormatting>
  <conditionalFormatting sqref="B1093:B1138">
    <cfRule type="duplicateValues" dxfId="743" priority="307"/>
  </conditionalFormatting>
  <conditionalFormatting sqref="B1139:B1160">
    <cfRule type="duplicateValues" dxfId="742" priority="306"/>
  </conditionalFormatting>
  <conditionalFormatting sqref="B1161:B1175">
    <cfRule type="duplicateValues" dxfId="741" priority="305"/>
  </conditionalFormatting>
  <conditionalFormatting sqref="B1176:B1184">
    <cfRule type="duplicateValues" dxfId="740" priority="304"/>
  </conditionalFormatting>
  <conditionalFormatting sqref="B1185:B1212">
    <cfRule type="duplicateValues" dxfId="739" priority="303"/>
  </conditionalFormatting>
  <conditionalFormatting sqref="B1213:B1224">
    <cfRule type="duplicateValues" dxfId="738" priority="302"/>
  </conditionalFormatting>
  <conditionalFormatting sqref="B1225:B1226">
    <cfRule type="duplicateValues" dxfId="737" priority="301"/>
  </conditionalFormatting>
  <conditionalFormatting sqref="B1227:B1254">
    <cfRule type="duplicateValues" dxfId="736" priority="300"/>
  </conditionalFormatting>
  <conditionalFormatting sqref="B1255">
    <cfRule type="duplicateValues" dxfId="735" priority="299"/>
  </conditionalFormatting>
  <conditionalFormatting sqref="B1256:B1274">
    <cfRule type="duplicateValues" dxfId="734" priority="298"/>
  </conditionalFormatting>
  <conditionalFormatting sqref="B1275:B1300">
    <cfRule type="duplicateValues" dxfId="733" priority="297"/>
  </conditionalFormatting>
  <conditionalFormatting sqref="B1301:B1302">
    <cfRule type="duplicateValues" dxfId="732" priority="296"/>
  </conditionalFormatting>
  <conditionalFormatting sqref="B1303:B1317">
    <cfRule type="duplicateValues" dxfId="731" priority="292"/>
    <cfRule type="duplicateValues" dxfId="730" priority="291"/>
    <cfRule type="duplicateValues" dxfId="729" priority="289"/>
    <cfRule type="duplicateValues" dxfId="728" priority="290"/>
    <cfRule type="duplicateValues" dxfId="727" priority="288"/>
    <cfRule type="duplicateValues" dxfId="726" priority="295"/>
    <cfRule type="duplicateValues" dxfId="725" priority="294"/>
    <cfRule type="duplicateValues" dxfId="724" priority="293"/>
  </conditionalFormatting>
  <conditionalFormatting sqref="B1318:B1319">
    <cfRule type="duplicateValues" dxfId="723" priority="287"/>
  </conditionalFormatting>
  <conditionalFormatting sqref="B1320">
    <cfRule type="duplicateValues" dxfId="722" priority="286"/>
  </conditionalFormatting>
  <conditionalFormatting sqref="B1321">
    <cfRule type="duplicateValues" dxfId="721" priority="285"/>
  </conditionalFormatting>
  <conditionalFormatting sqref="B1322:B1324">
    <cfRule type="duplicateValues" dxfId="720" priority="284"/>
  </conditionalFormatting>
  <conditionalFormatting sqref="B1329:B1374">
    <cfRule type="duplicateValues" dxfId="719" priority="283"/>
    <cfRule type="duplicateValues" dxfId="718" priority="282"/>
  </conditionalFormatting>
  <conditionalFormatting sqref="B1408:B1048576 B1:B6">
    <cfRule type="duplicateValues" dxfId="717" priority="64908"/>
  </conditionalFormatting>
  <conditionalFormatting sqref="B627:C926 B597:B626 B517:B595 D517:D857 C517:C626 B7:D516">
    <cfRule type="duplicateValues" dxfId="716" priority="319"/>
  </conditionalFormatting>
  <conditionalFormatting sqref="B914:C926">
    <cfRule type="duplicateValues" dxfId="715" priority="281"/>
  </conditionalFormatting>
  <conditionalFormatting sqref="B927:C945">
    <cfRule type="duplicateValues" dxfId="714" priority="280"/>
    <cfRule type="duplicateValues" dxfId="713" priority="279"/>
  </conditionalFormatting>
  <conditionalFormatting sqref="B946:C962">
    <cfRule type="duplicateValues" dxfId="712" priority="317"/>
    <cfRule type="duplicateValues" dxfId="711" priority="318"/>
  </conditionalFormatting>
  <conditionalFormatting sqref="B963:C966">
    <cfRule type="duplicateValues" dxfId="710" priority="278"/>
    <cfRule type="duplicateValues" dxfId="709" priority="277"/>
  </conditionalFormatting>
  <conditionalFormatting sqref="B967:C969">
    <cfRule type="duplicateValues" dxfId="708" priority="276"/>
    <cfRule type="duplicateValues" dxfId="707" priority="275"/>
  </conditionalFormatting>
  <conditionalFormatting sqref="B1325:C1325">
    <cfRule type="duplicateValues" dxfId="706" priority="274"/>
    <cfRule type="duplicateValues" dxfId="705" priority="273"/>
  </conditionalFormatting>
  <conditionalFormatting sqref="B1326:C1326">
    <cfRule type="duplicateValues" dxfId="704" priority="271"/>
    <cfRule type="duplicateValues" dxfId="703" priority="272"/>
  </conditionalFormatting>
  <conditionalFormatting sqref="B1327:C1327">
    <cfRule type="duplicateValues" dxfId="702" priority="270"/>
    <cfRule type="duplicateValues" dxfId="701" priority="269"/>
  </conditionalFormatting>
  <conditionalFormatting sqref="B1328:C1328">
    <cfRule type="duplicateValues" dxfId="700" priority="268"/>
    <cfRule type="duplicateValues" dxfId="699" priority="267"/>
  </conditionalFormatting>
  <conditionalFormatting sqref="B2:D6 B1 D1">
    <cfRule type="duplicateValues" dxfId="698" priority="64364"/>
  </conditionalFormatting>
  <conditionalFormatting sqref="B1329:D1374">
    <cfRule type="duplicateValues" dxfId="697" priority="265"/>
    <cfRule type="duplicateValues" dxfId="696" priority="266"/>
  </conditionalFormatting>
  <conditionalFormatting sqref="C1">
    <cfRule type="duplicateValues" dxfId="695" priority="11878"/>
    <cfRule type="duplicateValues" dxfId="694" priority="11879"/>
    <cfRule type="duplicateValues" dxfId="693" priority="11877"/>
    <cfRule type="duplicateValues" dxfId="692" priority="11876"/>
    <cfRule type="duplicateValues" dxfId="691" priority="11875"/>
    <cfRule type="duplicateValues" dxfId="690" priority="11874"/>
    <cfRule type="duplicateValues" dxfId="689" priority="11872"/>
    <cfRule type="duplicateValues" dxfId="688" priority="11871"/>
    <cfRule type="duplicateValues" dxfId="687" priority="11873"/>
    <cfRule type="duplicateValues" dxfId="686" priority="11887"/>
    <cfRule type="duplicateValues" dxfId="685" priority="11886"/>
    <cfRule type="duplicateValues" dxfId="684" priority="11885"/>
    <cfRule type="duplicateValues" dxfId="683" priority="11884"/>
    <cfRule type="duplicateValues" dxfId="682" priority="11883"/>
    <cfRule type="duplicateValues" dxfId="681" priority="11882"/>
    <cfRule type="duplicateValues" dxfId="680" priority="11881"/>
    <cfRule type="duplicateValues" dxfId="679" priority="11880"/>
  </conditionalFormatting>
  <conditionalFormatting sqref="C2:C6">
    <cfRule type="duplicateValues" dxfId="678" priority="45933"/>
    <cfRule type="duplicateValues" dxfId="677" priority="45930"/>
    <cfRule type="duplicateValues" dxfId="676" priority="45931"/>
    <cfRule type="duplicateValues" dxfId="675" priority="45932"/>
    <cfRule type="duplicateValues" dxfId="674" priority="46027"/>
    <cfRule type="duplicateValues" dxfId="673" priority="46024"/>
    <cfRule type="duplicateValues" dxfId="672" priority="46025"/>
    <cfRule type="duplicateValues" dxfId="671" priority="46026"/>
    <cfRule type="duplicateValues" dxfId="670" priority="46029"/>
    <cfRule type="duplicateValues" dxfId="669" priority="64367"/>
    <cfRule type="duplicateValues" dxfId="668" priority="46028"/>
    <cfRule type="duplicateValues" dxfId="667" priority="47036"/>
    <cfRule type="duplicateValues" dxfId="666" priority="46041"/>
    <cfRule type="duplicateValues" dxfId="665" priority="46031"/>
    <cfRule type="duplicateValues" dxfId="664" priority="46030"/>
  </conditionalFormatting>
  <conditionalFormatting sqref="C6">
    <cfRule type="duplicateValues" dxfId="663" priority="45934"/>
    <cfRule type="duplicateValues" dxfId="662" priority="45935"/>
    <cfRule type="duplicateValues" dxfId="661" priority="45936"/>
  </conditionalFormatting>
  <conditionalFormatting sqref="C7:C1407">
    <cfRule type="duplicateValues" dxfId="660" priority="64953"/>
    <cfRule type="duplicateValues" dxfId="659" priority="64954"/>
  </conditionalFormatting>
  <conditionalFormatting sqref="C970:C1010">
    <cfRule type="duplicateValues" dxfId="658" priority="262"/>
    <cfRule type="duplicateValues" dxfId="657" priority="261"/>
  </conditionalFormatting>
  <conditionalFormatting sqref="C1011:C1029">
    <cfRule type="duplicateValues" dxfId="656" priority="260"/>
    <cfRule type="duplicateValues" dxfId="655" priority="259"/>
    <cfRule type="duplicateValues" dxfId="654" priority="258"/>
    <cfRule type="duplicateValues" dxfId="653" priority="257"/>
  </conditionalFormatting>
  <conditionalFormatting sqref="C1030">
    <cfRule type="duplicateValues" dxfId="652" priority="256"/>
    <cfRule type="duplicateValues" dxfId="651" priority="255"/>
  </conditionalFormatting>
  <conditionalFormatting sqref="C1033">
    <cfRule type="duplicateValues" dxfId="650" priority="254"/>
    <cfRule type="duplicateValues" dxfId="649" priority="253"/>
    <cfRule type="duplicateValues" dxfId="648" priority="251"/>
    <cfRule type="duplicateValues" dxfId="647" priority="252"/>
  </conditionalFormatting>
  <conditionalFormatting sqref="C1046">
    <cfRule type="duplicateValues" dxfId="646" priority="250"/>
    <cfRule type="duplicateValues" dxfId="645" priority="249"/>
    <cfRule type="duplicateValues" dxfId="644" priority="248"/>
    <cfRule type="duplicateValues" dxfId="643" priority="247"/>
  </conditionalFormatting>
  <conditionalFormatting sqref="C1049">
    <cfRule type="duplicateValues" dxfId="642" priority="243"/>
    <cfRule type="duplicateValues" dxfId="641" priority="244"/>
    <cfRule type="duplicateValues" dxfId="640" priority="245"/>
    <cfRule type="duplicateValues" dxfId="639" priority="246"/>
  </conditionalFormatting>
  <conditionalFormatting sqref="C1052">
    <cfRule type="duplicateValues" dxfId="638" priority="239"/>
    <cfRule type="duplicateValues" dxfId="637" priority="241"/>
    <cfRule type="duplicateValues" dxfId="636" priority="242"/>
    <cfRule type="duplicateValues" dxfId="635" priority="240"/>
  </conditionalFormatting>
  <conditionalFormatting sqref="C1059">
    <cfRule type="duplicateValues" dxfId="634" priority="235"/>
    <cfRule type="duplicateValues" dxfId="633" priority="236"/>
    <cfRule type="duplicateValues" dxfId="632" priority="237"/>
    <cfRule type="duplicateValues" dxfId="631" priority="238"/>
  </conditionalFormatting>
  <conditionalFormatting sqref="C1060:C1064 C1047:C1048 C1031:C1032 C1053:C1058 C1050:C1051 C1034:C1045">
    <cfRule type="duplicateValues" dxfId="630" priority="232"/>
    <cfRule type="duplicateValues" dxfId="629" priority="233"/>
    <cfRule type="duplicateValues" dxfId="628" priority="234"/>
    <cfRule type="duplicateValues" dxfId="627" priority="231"/>
  </conditionalFormatting>
  <conditionalFormatting sqref="C1308">
    <cfRule type="duplicateValues" dxfId="626" priority="224"/>
    <cfRule type="duplicateValues" dxfId="625" priority="225"/>
    <cfRule type="duplicateValues" dxfId="624" priority="226"/>
    <cfRule type="duplicateValues" dxfId="623" priority="227"/>
    <cfRule type="duplicateValues" dxfId="622" priority="228"/>
    <cfRule type="duplicateValues" dxfId="621" priority="229"/>
    <cfRule type="duplicateValues" dxfId="620" priority="230"/>
  </conditionalFormatting>
  <conditionalFormatting sqref="C1309:C1317 C7:C1307">
    <cfRule type="duplicateValues" dxfId="619" priority="223"/>
    <cfRule type="duplicateValues" dxfId="618" priority="221"/>
    <cfRule type="duplicateValues" dxfId="617" priority="222"/>
  </conditionalFormatting>
  <conditionalFormatting sqref="C1310:C1317 C7:C969">
    <cfRule type="duplicateValues" dxfId="616" priority="220"/>
  </conditionalFormatting>
  <conditionalFormatting sqref="C1310:C1317 C7:C1010">
    <cfRule type="duplicateValues" dxfId="615" priority="218"/>
    <cfRule type="duplicateValues" dxfId="614" priority="219"/>
  </conditionalFormatting>
  <conditionalFormatting sqref="C1310:C1317">
    <cfRule type="duplicateValues" dxfId="613" priority="217"/>
    <cfRule type="duplicateValues" dxfId="612" priority="216"/>
  </conditionalFormatting>
  <conditionalFormatting sqref="C1318:C1319">
    <cfRule type="duplicateValues" dxfId="611" priority="209"/>
    <cfRule type="duplicateValues" dxfId="610" priority="208"/>
    <cfRule type="duplicateValues" dxfId="609" priority="215"/>
    <cfRule type="duplicateValues" dxfId="608" priority="213"/>
    <cfRule type="duplicateValues" dxfId="607" priority="212"/>
    <cfRule type="duplicateValues" dxfId="606" priority="214"/>
    <cfRule type="duplicateValues" dxfId="605" priority="211"/>
    <cfRule type="duplicateValues" dxfId="604" priority="210"/>
  </conditionalFormatting>
  <conditionalFormatting sqref="C1320">
    <cfRule type="duplicateValues" dxfId="603" priority="204"/>
    <cfRule type="duplicateValues" dxfId="602" priority="205"/>
    <cfRule type="duplicateValues" dxfId="601" priority="206"/>
    <cfRule type="duplicateValues" dxfId="600" priority="207"/>
    <cfRule type="duplicateValues" dxfId="599" priority="200"/>
    <cfRule type="duplicateValues" dxfId="598" priority="201"/>
    <cfRule type="duplicateValues" dxfId="597" priority="202"/>
    <cfRule type="duplicateValues" dxfId="596" priority="203"/>
  </conditionalFormatting>
  <conditionalFormatting sqref="C1321">
    <cfRule type="duplicateValues" dxfId="595" priority="196"/>
    <cfRule type="duplicateValues" dxfId="594" priority="192"/>
    <cfRule type="duplicateValues" dxfId="593" priority="193"/>
    <cfRule type="duplicateValues" dxfId="592" priority="194"/>
    <cfRule type="duplicateValues" dxfId="591" priority="195"/>
    <cfRule type="duplicateValues" dxfId="590" priority="199"/>
    <cfRule type="duplicateValues" dxfId="589" priority="197"/>
    <cfRule type="duplicateValues" dxfId="588" priority="198"/>
  </conditionalFormatting>
  <conditionalFormatting sqref="C1322:C1324">
    <cfRule type="duplicateValues" dxfId="587" priority="190"/>
    <cfRule type="duplicateValues" dxfId="586" priority="191"/>
    <cfRule type="duplicateValues" dxfId="585" priority="184"/>
    <cfRule type="duplicateValues" dxfId="584" priority="185"/>
    <cfRule type="duplicateValues" dxfId="583" priority="186"/>
    <cfRule type="duplicateValues" dxfId="582" priority="187"/>
    <cfRule type="duplicateValues" dxfId="581" priority="188"/>
    <cfRule type="duplicateValues" dxfId="580" priority="189"/>
  </conditionalFormatting>
  <conditionalFormatting sqref="C1325">
    <cfRule type="duplicateValues" dxfId="579" priority="180"/>
    <cfRule type="duplicateValues" dxfId="578" priority="183"/>
    <cfRule type="duplicateValues" dxfId="577" priority="181"/>
    <cfRule type="duplicateValues" dxfId="576" priority="182"/>
    <cfRule type="duplicateValues" dxfId="575" priority="179"/>
    <cfRule type="duplicateValues" dxfId="574" priority="178"/>
  </conditionalFormatting>
  <conditionalFormatting sqref="C1326:C1374">
    <cfRule type="duplicateValues" dxfId="573" priority="172"/>
    <cfRule type="duplicateValues" dxfId="572" priority="174"/>
    <cfRule type="duplicateValues" dxfId="571" priority="177"/>
    <cfRule type="duplicateValues" dxfId="570" priority="176"/>
    <cfRule type="duplicateValues" dxfId="569" priority="175"/>
    <cfRule type="duplicateValues" dxfId="568" priority="173"/>
  </conditionalFormatting>
  <conditionalFormatting sqref="C1329:C1374">
    <cfRule type="duplicateValues" dxfId="567" priority="171"/>
  </conditionalFormatting>
  <conditionalFormatting sqref="C1408:C1048576 C1:C6">
    <cfRule type="duplicateValues" dxfId="566" priority="64911"/>
  </conditionalFormatting>
  <conditionalFormatting sqref="C1408:C1048576">
    <cfRule type="duplicateValues" dxfId="565" priority="64917"/>
    <cfRule type="duplicateValues" dxfId="564" priority="64916"/>
    <cfRule type="duplicateValues" dxfId="563" priority="64915"/>
    <cfRule type="duplicateValues" dxfId="562" priority="64914"/>
  </conditionalFormatting>
  <conditionalFormatting sqref="C6:D6">
    <cfRule type="duplicateValues" dxfId="561" priority="45963"/>
  </conditionalFormatting>
  <conditionalFormatting sqref="D6">
    <cfRule type="duplicateValues" dxfId="560" priority="43922"/>
  </conditionalFormatting>
  <conditionalFormatting sqref="D7:D1306">
    <cfRule type="duplicateValues" dxfId="559" priority="64989"/>
  </conditionalFormatting>
  <conditionalFormatting sqref="D858:D1010">
    <cfRule type="duplicateValues" dxfId="558" priority="170"/>
  </conditionalFormatting>
  <conditionalFormatting sqref="D1011:D1029">
    <cfRule type="duplicateValues" dxfId="557" priority="169"/>
  </conditionalFormatting>
  <conditionalFormatting sqref="D1318:D1319">
    <cfRule type="duplicateValues" dxfId="556" priority="162"/>
    <cfRule type="duplicateValues" dxfId="555" priority="163"/>
    <cfRule type="duplicateValues" dxfId="554" priority="164"/>
    <cfRule type="duplicateValues" dxfId="553" priority="165"/>
    <cfRule type="duplicateValues" dxfId="552" priority="166"/>
    <cfRule type="duplicateValues" dxfId="551" priority="168"/>
    <cfRule type="duplicateValues" dxfId="550" priority="167"/>
    <cfRule type="duplicateValues" dxfId="549" priority="161"/>
  </conditionalFormatting>
  <conditionalFormatting sqref="D1320">
    <cfRule type="duplicateValues" dxfId="548" priority="153"/>
    <cfRule type="duplicateValues" dxfId="547" priority="157"/>
    <cfRule type="duplicateValues" dxfId="546" priority="160"/>
    <cfRule type="duplicateValues" dxfId="545" priority="156"/>
    <cfRule type="duplicateValues" dxfId="544" priority="155"/>
    <cfRule type="duplicateValues" dxfId="543" priority="154"/>
    <cfRule type="duplicateValues" dxfId="542" priority="159"/>
    <cfRule type="duplicateValues" dxfId="541" priority="158"/>
  </conditionalFormatting>
  <conditionalFormatting sqref="D1321">
    <cfRule type="duplicateValues" dxfId="540" priority="147"/>
    <cfRule type="duplicateValues" dxfId="539" priority="148"/>
    <cfRule type="duplicateValues" dxfId="538" priority="149"/>
    <cfRule type="duplicateValues" dxfId="537" priority="145"/>
    <cfRule type="duplicateValues" dxfId="536" priority="146"/>
    <cfRule type="duplicateValues" dxfId="535" priority="150"/>
    <cfRule type="duplicateValues" dxfId="534" priority="151"/>
    <cfRule type="duplicateValues" dxfId="533" priority="152"/>
  </conditionalFormatting>
  <conditionalFormatting sqref="D1322:D1324">
    <cfRule type="duplicateValues" dxfId="532" priority="141"/>
    <cfRule type="duplicateValues" dxfId="531" priority="142"/>
    <cfRule type="duplicateValues" dxfId="530" priority="143"/>
    <cfRule type="duplicateValues" dxfId="529" priority="144"/>
    <cfRule type="duplicateValues" dxfId="528" priority="138"/>
    <cfRule type="duplicateValues" dxfId="527" priority="137"/>
    <cfRule type="duplicateValues" dxfId="526" priority="139"/>
    <cfRule type="duplicateValues" dxfId="525" priority="140"/>
  </conditionalFormatting>
  <conditionalFormatting sqref="D1325">
    <cfRule type="duplicateValues" dxfId="524" priority="136"/>
    <cfRule type="duplicateValues" dxfId="523" priority="135"/>
  </conditionalFormatting>
  <conditionalFormatting sqref="D1326:D1374">
    <cfRule type="duplicateValues" dxfId="522" priority="134"/>
    <cfRule type="duplicateValues" dxfId="521" priority="133"/>
  </conditionalFormatting>
  <conditionalFormatting sqref="D1329:D1374">
    <cfRule type="duplicateValues" dxfId="520" priority="126"/>
    <cfRule type="duplicateValues" dxfId="519" priority="132"/>
    <cfRule type="duplicateValues" dxfId="518" priority="125"/>
    <cfRule type="duplicateValues" dxfId="517" priority="127"/>
    <cfRule type="duplicateValues" dxfId="516" priority="128"/>
    <cfRule type="duplicateValues" dxfId="515" priority="129"/>
    <cfRule type="duplicateValues" dxfId="514" priority="130"/>
    <cfRule type="duplicateValues" dxfId="513" priority="131"/>
  </conditionalFormatting>
  <conditionalFormatting sqref="S1:S3 T7:T1325 T1328:T1334 T1336:T1048576">
    <cfRule type="containsText" dxfId="512" priority="43900" operator="containsText" text="EL">
      <formula>NOT(ISERROR(SEARCH("EL",S1)))</formula>
    </cfRule>
    <cfRule type="containsText" dxfId="511" priority="43902" operator="containsText" text="P">
      <formula>NOT(ISERROR(SEARCH("P",S1)))</formula>
    </cfRule>
    <cfRule type="containsText" dxfId="510" priority="43899" operator="containsText" text="SL">
      <formula>NOT(ISERROR(SEARCH("SL",S1)))</formula>
    </cfRule>
    <cfRule type="containsText" dxfId="509" priority="43901" operator="containsText" text="PL">
      <formula>NOT(ISERROR(SEARCH("PL",S1)))</formula>
    </cfRule>
  </conditionalFormatting>
  <conditionalFormatting sqref="S1:S3 T7:T1325 T1336:T1048576 T1328:T1334">
    <cfRule type="containsText" dxfId="508" priority="43898" operator="containsText" text="AB">
      <formula>NOT(ISERROR(SEARCH("AB",S1)))</formula>
    </cfRule>
  </conditionalFormatting>
  <conditionalFormatting sqref="T7:T1395">
    <cfRule type="containsText" dxfId="507" priority="1311" operator="containsText" text="OFF">
      <formula>NOT(ISERROR(SEARCH("OFF",T7)))</formula>
    </cfRule>
    <cfRule type="containsText" dxfId="506" priority="1318" operator="containsText" text="ABWI">
      <formula>NOT(ISERROR(SEARCH("ABWI",T7)))</formula>
    </cfRule>
  </conditionalFormatting>
  <conditionalFormatting sqref="T402 T410 T414 T454 T467 T505 T1349">
    <cfRule type="containsText" dxfId="505" priority="737" operator="containsText" text="P">
      <formula>NOT(ISERROR(SEARCH("P",T402)))</formula>
    </cfRule>
    <cfRule type="containsText" dxfId="504" priority="736" operator="containsText" text="PL">
      <formula>NOT(ISERROR(SEARCH("PL",T402)))</formula>
    </cfRule>
    <cfRule type="containsText" dxfId="503" priority="734" operator="containsText" text="SL">
      <formula>NOT(ISERROR(SEARCH("SL",T402)))</formula>
    </cfRule>
    <cfRule type="containsText" dxfId="502" priority="733" operator="containsText" text="AB">
      <formula>NOT(ISERROR(SEARCH("AB",T402)))</formula>
    </cfRule>
    <cfRule type="containsText" dxfId="501" priority="735" operator="containsText" text="EL">
      <formula>NOT(ISERROR(SEARCH("EL",T402)))</formula>
    </cfRule>
  </conditionalFormatting>
  <conditionalFormatting sqref="T406">
    <cfRule type="containsText" dxfId="500" priority="729" operator="containsText" text="EL">
      <formula>NOT(ISERROR(SEARCH("EL",T406)))</formula>
    </cfRule>
    <cfRule type="containsText" dxfId="499" priority="727" operator="containsText" text="AB">
      <formula>NOT(ISERROR(SEARCH("AB",T406)))</formula>
    </cfRule>
    <cfRule type="containsText" dxfId="498" priority="731" operator="containsText" text="P">
      <formula>NOT(ISERROR(SEARCH("P",T406)))</formula>
    </cfRule>
    <cfRule type="containsText" dxfId="497" priority="730" operator="containsText" text="PL">
      <formula>NOT(ISERROR(SEARCH("PL",T406)))</formula>
    </cfRule>
    <cfRule type="containsText" dxfId="496" priority="728" operator="containsText" text="SL">
      <formula>NOT(ISERROR(SEARCH("SL",T406)))</formula>
    </cfRule>
  </conditionalFormatting>
  <conditionalFormatting sqref="T419:T459 T461:T534 T537 T560 T1143 T1324:T1371 U252">
    <cfRule type="containsText" dxfId="495" priority="1319" operator="containsText" text="AB">
      <formula>NOT(ISERROR(SEARCH("AB",T252)))</formula>
    </cfRule>
  </conditionalFormatting>
  <conditionalFormatting sqref="T439">
    <cfRule type="containsText" dxfId="494" priority="723" operator="containsText" text="SL">
      <formula>NOT(ISERROR(SEARCH("SL",T439)))</formula>
    </cfRule>
    <cfRule type="containsText" dxfId="493" priority="724" operator="containsText" text="EL">
      <formula>NOT(ISERROR(SEARCH("EL",T439)))</formula>
    </cfRule>
    <cfRule type="containsText" dxfId="492" priority="725" operator="containsText" text="PL">
      <formula>NOT(ISERROR(SEARCH("PL",T439)))</formula>
    </cfRule>
    <cfRule type="containsText" dxfId="491" priority="726" operator="containsText" text="P">
      <formula>NOT(ISERROR(SEARCH("P",T439)))</formula>
    </cfRule>
    <cfRule type="containsText" dxfId="490" priority="722" operator="containsText" text="AB">
      <formula>NOT(ISERROR(SEARCH("AB",T439)))</formula>
    </cfRule>
  </conditionalFormatting>
  <conditionalFormatting sqref="T535 T545 T596">
    <cfRule type="containsText" dxfId="489" priority="705" operator="containsText" text="SL">
      <formula>NOT(ISERROR(SEARCH("SL",T535)))</formula>
    </cfRule>
    <cfRule type="containsText" dxfId="488" priority="707" operator="containsText" text="PL">
      <formula>NOT(ISERROR(SEARCH("PL",T535)))</formula>
    </cfRule>
    <cfRule type="containsText" dxfId="487" priority="708" operator="containsText" text="P">
      <formula>NOT(ISERROR(SEARCH("P",T535)))</formula>
    </cfRule>
    <cfRule type="containsText" dxfId="486" priority="706" operator="containsText" text="EL">
      <formula>NOT(ISERROR(SEARCH("EL",T535)))</formula>
    </cfRule>
    <cfRule type="containsText" dxfId="485" priority="704" operator="containsText" text="AB">
      <formula>NOT(ISERROR(SEARCH("AB",T535)))</formula>
    </cfRule>
  </conditionalFormatting>
  <conditionalFormatting sqref="T704 T794 T825">
    <cfRule type="containsText" dxfId="484" priority="703" operator="containsText" text="P">
      <formula>NOT(ISERROR(SEARCH("P",T704)))</formula>
    </cfRule>
    <cfRule type="containsText" dxfId="483" priority="702" operator="containsText" text="PL">
      <formula>NOT(ISERROR(SEARCH("PL",T704)))</formula>
    </cfRule>
    <cfRule type="containsText" dxfId="482" priority="701" operator="containsText" text="EL">
      <formula>NOT(ISERROR(SEARCH("EL",T704)))</formula>
    </cfRule>
    <cfRule type="containsText" dxfId="481" priority="699" operator="containsText" text="AB">
      <formula>NOT(ISERROR(SEARCH("AB",T704)))</formula>
    </cfRule>
    <cfRule type="containsText" dxfId="480" priority="700" operator="containsText" text="SL">
      <formula>NOT(ISERROR(SEARCH("SL",T704)))</formula>
    </cfRule>
  </conditionalFormatting>
  <conditionalFormatting sqref="T923">
    <cfRule type="containsText" dxfId="479" priority="698" operator="containsText" text="P">
      <formula>NOT(ISERROR(SEARCH("P",T923)))</formula>
    </cfRule>
    <cfRule type="containsText" dxfId="478" priority="697" operator="containsText" text="PL">
      <formula>NOT(ISERROR(SEARCH("PL",T923)))</formula>
    </cfRule>
    <cfRule type="containsText" dxfId="477" priority="696" operator="containsText" text="EL">
      <formula>NOT(ISERROR(SEARCH("EL",T923)))</formula>
    </cfRule>
    <cfRule type="containsText" dxfId="476" priority="695" operator="containsText" text="SL">
      <formula>NOT(ISERROR(SEARCH("SL",T923)))</formula>
    </cfRule>
    <cfRule type="containsText" dxfId="475" priority="694" operator="containsText" text="AB">
      <formula>NOT(ISERROR(SEARCH("AB",T923)))</formula>
    </cfRule>
  </conditionalFormatting>
  <conditionalFormatting sqref="T1039 T1063:T1064 T1076 T1078 T1088 T1093 T1148 T1207 T1232">
    <cfRule type="containsText" dxfId="474" priority="692" operator="containsText" text="PL">
      <formula>NOT(ISERROR(SEARCH("PL",T1039)))</formula>
    </cfRule>
    <cfRule type="containsText" dxfId="473" priority="691" operator="containsText" text="EL">
      <formula>NOT(ISERROR(SEARCH("EL",T1039)))</formula>
    </cfRule>
    <cfRule type="containsText" dxfId="472" priority="689" operator="containsText" text="AB">
      <formula>NOT(ISERROR(SEARCH("AB",T1039)))</formula>
    </cfRule>
    <cfRule type="containsText" dxfId="471" priority="693" operator="containsText" text="P">
      <formula>NOT(ISERROR(SEARCH("P",T1039)))</formula>
    </cfRule>
    <cfRule type="containsText" dxfId="470" priority="690" operator="containsText" text="SL">
      <formula>NOT(ISERROR(SEARCH("SL",T1039)))</formula>
    </cfRule>
  </conditionalFormatting>
  <conditionalFormatting sqref="T1321">
    <cfRule type="containsText" dxfId="469" priority="15" operator="containsText" text="AB">
      <formula>NOT(ISERROR(SEARCH("AB",T1321)))</formula>
    </cfRule>
    <cfRule type="containsText" dxfId="468" priority="17" operator="containsText" text="EL">
      <formula>NOT(ISERROR(SEARCH("EL",T1321)))</formula>
    </cfRule>
    <cfRule type="containsText" dxfId="467" priority="16" operator="containsText" text="SL">
      <formula>NOT(ISERROR(SEARCH("SL",T1321)))</formula>
    </cfRule>
    <cfRule type="containsText" dxfId="466" priority="19" operator="containsText" text="P">
      <formula>NOT(ISERROR(SEARCH("P",T1321)))</formula>
    </cfRule>
    <cfRule type="containsText" dxfId="465" priority="18" operator="containsText" text="PL">
      <formula>NOT(ISERROR(SEARCH("PL",T1321)))</formula>
    </cfRule>
  </conditionalFormatting>
  <conditionalFormatting sqref="T1325:T1327">
    <cfRule type="containsText" dxfId="464" priority="11" operator="containsText" text="SL">
      <formula>NOT(ISERROR(SEARCH("SL",T1325)))</formula>
    </cfRule>
    <cfRule type="containsText" dxfId="463" priority="12" operator="containsText" text="EL">
      <formula>NOT(ISERROR(SEARCH("EL",T1325)))</formula>
    </cfRule>
    <cfRule type="containsText" dxfId="462" priority="13" operator="containsText" text="PL">
      <formula>NOT(ISERROR(SEARCH("PL",T1325)))</formula>
    </cfRule>
    <cfRule type="containsText" dxfId="461" priority="14" operator="containsText" text="P">
      <formula>NOT(ISERROR(SEARCH("P",T1325)))</formula>
    </cfRule>
    <cfRule type="containsText" dxfId="460" priority="10" operator="containsText" text="AB">
      <formula>NOT(ISERROR(SEARCH("AB",T1325)))</formula>
    </cfRule>
  </conditionalFormatting>
  <conditionalFormatting sqref="T1325:T1328 T1334:T1335 T1362">
    <cfRule type="containsText" dxfId="459" priority="675" operator="containsText" text="AB">
      <formula>NOT(ISERROR(SEARCH("AB",T1325)))</formula>
    </cfRule>
    <cfRule type="containsText" dxfId="458" priority="677" operator="containsText" text="EL">
      <formula>NOT(ISERROR(SEARCH("EL",T1325)))</formula>
    </cfRule>
    <cfRule type="containsText" dxfId="457" priority="676" operator="containsText" text="SL">
      <formula>NOT(ISERROR(SEARCH("SL",T1325)))</formula>
    </cfRule>
    <cfRule type="containsText" dxfId="456" priority="678" operator="containsText" text="PL">
      <formula>NOT(ISERROR(SEARCH("PL",T1325)))</formula>
    </cfRule>
    <cfRule type="containsText" dxfId="455" priority="679" operator="containsText" text="P">
      <formula>NOT(ISERROR(SEARCH("P",T1325)))</formula>
    </cfRule>
  </conditionalFormatting>
  <conditionalFormatting sqref="T1327">
    <cfRule type="containsText" dxfId="454" priority="348" operator="containsText" text="EL">
      <formula>NOT(ISERROR(SEARCH("EL",T1327)))</formula>
    </cfRule>
    <cfRule type="containsText" dxfId="453" priority="350" operator="containsText" text="P">
      <formula>NOT(ISERROR(SEARCH("P",T1327)))</formula>
    </cfRule>
    <cfRule type="containsText" dxfId="452" priority="349" operator="containsText" text="PL">
      <formula>NOT(ISERROR(SEARCH("PL",T1327)))</formula>
    </cfRule>
    <cfRule type="containsText" dxfId="451" priority="346" operator="containsText" text="AB">
      <formula>NOT(ISERROR(SEARCH("AB",T1327)))</formula>
    </cfRule>
    <cfRule type="containsText" dxfId="450" priority="347" operator="containsText" text="SL">
      <formula>NOT(ISERROR(SEARCH("SL",T1327)))</formula>
    </cfRule>
  </conditionalFormatting>
  <conditionalFormatting sqref="T1335">
    <cfRule type="containsText" dxfId="449" priority="111" operator="containsText" text="AB">
      <formula>NOT(ISERROR(SEARCH("AB",T1335)))</formula>
    </cfRule>
    <cfRule type="containsText" dxfId="448" priority="112" operator="containsText" text="SL">
      <formula>NOT(ISERROR(SEARCH("SL",T1335)))</formula>
    </cfRule>
    <cfRule type="containsText" dxfId="447" priority="114" operator="containsText" text="PL">
      <formula>NOT(ISERROR(SEARCH("PL",T1335)))</formula>
    </cfRule>
    <cfRule type="containsText" dxfId="446" priority="115" operator="containsText" text="P">
      <formula>NOT(ISERROR(SEARCH("P",T1335)))</formula>
    </cfRule>
    <cfRule type="containsText" dxfId="445" priority="113" operator="containsText" text="EL">
      <formula>NOT(ISERROR(SEARCH("EL",T1335)))</formula>
    </cfRule>
  </conditionalFormatting>
  <conditionalFormatting sqref="T1338">
    <cfRule type="containsText" dxfId="444" priority="721" operator="containsText" text="P">
      <formula>NOT(ISERROR(SEARCH("P",T1338)))</formula>
    </cfRule>
    <cfRule type="containsText" dxfId="443" priority="720" operator="containsText" text="PL">
      <formula>NOT(ISERROR(SEARCH("PL",T1338)))</formula>
    </cfRule>
    <cfRule type="containsText" dxfId="442" priority="719" operator="containsText" text="EL">
      <formula>NOT(ISERROR(SEARCH("EL",T1338)))</formula>
    </cfRule>
    <cfRule type="containsText" dxfId="441" priority="718" operator="containsText" text="SL">
      <formula>NOT(ISERROR(SEARCH("SL",T1338)))</formula>
    </cfRule>
    <cfRule type="containsText" dxfId="440" priority="717" operator="containsText" text="AB">
      <formula>NOT(ISERROR(SEARCH("AB",T1338)))</formula>
    </cfRule>
  </conditionalFormatting>
  <conditionalFormatting sqref="T1352:T1354">
    <cfRule type="containsText" dxfId="439" priority="9" operator="containsText" text="P">
      <formula>NOT(ISERROR(SEARCH("P",T1352)))</formula>
    </cfRule>
    <cfRule type="containsText" dxfId="438" priority="8" operator="containsText" text="PL">
      <formula>NOT(ISERROR(SEARCH("PL",T1352)))</formula>
    </cfRule>
    <cfRule type="containsText" dxfId="437" priority="7" operator="containsText" text="EL">
      <formula>NOT(ISERROR(SEARCH("EL",T1352)))</formula>
    </cfRule>
    <cfRule type="containsText" dxfId="436" priority="6" operator="containsText" text="SL">
      <formula>NOT(ISERROR(SEARCH("SL",T1352)))</formula>
    </cfRule>
    <cfRule type="containsText" dxfId="435" priority="5" operator="containsText" text="AB">
      <formula>NOT(ISERROR(SEARCH("AB",T1352)))</formula>
    </cfRule>
  </conditionalFormatting>
  <conditionalFormatting sqref="T1387:T1048576">
    <cfRule type="containsText" dxfId="434" priority="9789" operator="containsText" text="ABWI">
      <formula>NOT(ISERROR(SEARCH("ABWI",T1387)))</formula>
    </cfRule>
    <cfRule type="containsText" dxfId="433" priority="10013" operator="containsText" text="OFF">
      <formula>NOT(ISERROR(SEARCH("OFF",T1387)))</formula>
    </cfRule>
  </conditionalFormatting>
  <conditionalFormatting sqref="T1395:T1400">
    <cfRule type="containsText" dxfId="432" priority="647" operator="containsText" text="OFF">
      <formula>NOT(ISERROR(SEARCH("OFF",T1395)))</formula>
    </cfRule>
    <cfRule type="containsText" dxfId="431" priority="648" operator="containsText" text="ABWI">
      <formula>NOT(ISERROR(SEARCH("ABWI",T1395)))</formula>
    </cfRule>
  </conditionalFormatting>
  <conditionalFormatting sqref="T1395:T1407">
    <cfRule type="containsText" dxfId="430" priority="341" operator="containsText" text="ABWI">
      <formula>NOT(ISERROR(SEARCH("ABWI",T1395)))</formula>
    </cfRule>
    <cfRule type="containsText" dxfId="429" priority="340" operator="containsText" text="OFF">
      <formula>NOT(ISERROR(SEARCH("OFF",T1395)))</formula>
    </cfRule>
  </conditionalFormatting>
  <conditionalFormatting sqref="T1396">
    <cfRule type="containsText" dxfId="428" priority="98" operator="containsText" text="OFF">
      <formula>NOT(ISERROR(SEARCH("OFF",T1396)))</formula>
    </cfRule>
    <cfRule type="containsText" dxfId="427" priority="99" operator="containsText" text="ABWI">
      <formula>NOT(ISERROR(SEARCH("ABWI",T1396)))</formula>
    </cfRule>
  </conditionalFormatting>
  <conditionalFormatting sqref="T1396:T1403">
    <cfRule type="containsText" dxfId="426" priority="102" operator="containsText" text="OFF">
      <formula>NOT(ISERROR(SEARCH("OFF",T1396)))</formula>
    </cfRule>
    <cfRule type="containsText" dxfId="425" priority="103" operator="containsText" text="ABWI">
      <formula>NOT(ISERROR(SEARCH("ABWI",T1396)))</formula>
    </cfRule>
  </conditionalFormatting>
  <conditionalFormatting sqref="T1399:T1400">
    <cfRule type="containsText" dxfId="424" priority="680" operator="containsText" text="OFF">
      <formula>NOT(ISERROR(SEARCH("OFF",T1399)))</formula>
    </cfRule>
    <cfRule type="containsText" dxfId="423" priority="681" operator="containsText" text="ABWI">
      <formula>NOT(ISERROR(SEARCH("ABWI",T1399)))</formula>
    </cfRule>
  </conditionalFormatting>
  <conditionalFormatting sqref="T1400:T1407">
    <cfRule type="containsText" dxfId="422" priority="657" operator="containsText" text="ABWI">
      <formula>NOT(ISERROR(SEARCH("ABWI",T1400)))</formula>
    </cfRule>
    <cfRule type="containsText" dxfId="421" priority="656" operator="containsText" text="OFF">
      <formula>NOT(ISERROR(SEARCH("OFF",T1400)))</formula>
    </cfRule>
  </conditionalFormatting>
  <conditionalFormatting sqref="T1405:T1407">
    <cfRule type="containsText" dxfId="420" priority="100" operator="containsText" text="OFF">
      <formula>NOT(ISERROR(SEARCH("OFF",T1405)))</formula>
    </cfRule>
    <cfRule type="containsText" dxfId="419" priority="101" operator="containsText" text="ABWI">
      <formula>NOT(ISERROR(SEARCH("ABWI",T1405)))</formula>
    </cfRule>
  </conditionalFormatting>
  <conditionalFormatting sqref="U13:U42 U45:U55 U57:U63 U65:U68 U70 U72:U78 U84 U86 U96 U102 U111 U133:U134 U136 U141:U142 U146 U148 U150 U152 U162 U168:U169 U172 U206 U210 U228 U237 U246:U247 U249 U255 U258 U264 U266:U267 U269:U271 U275 U285 U293:U294 U296 U298:U299 U303:U305 U308 U314 U319:U322 U327:U330 U335:U336 U349 U360 U366 U371:U372 U380 U391:U393 U398:U399 U403 U408 U418:U421 U426:U428 U432 U434:U435 U441 U446:U448 U460 U475:U476 U479 U485 U487:U488 U506 U508:U509 U523:U524 U535:U538 U545:U546 U603 U606:U607 U614 U617 U622:U623 U626 U647:U648 U651 U653 U671:U673 U676 U704:U707 U715:U716 U734:U735 U739 U741 U747 U758:U759 U765:U767 U774 U777 U781:U783 U791:U795 U819 U825:U826 U837 U842 U869:U870 U876 U893 U899 U919:U920 U933 U957 U992:U993 U998 U1005:U1008 U1012:U1013 U1027:U1028 U1033 U1039:U1040 U1045 U1049:U1051 U1061 U1066 U1074:U1080 U1082 U1084:U1085 U1093 U1096 U1098:U1099 U1103:U1104 U1122:U1124 U1138:U1140 U1146:U1149 U1165 U1168 U1183 U1186:U1188 U1191 U1195 U1199:U1200 U1207 U1219 U1225 U1228 U1250 U1257 U1265:U1266 U1282 U1293:U1298 U1313:U1314 U1335 U1339 U1344 U1383:U1385">
    <cfRule type="containsText" dxfId="418" priority="3170" operator="containsText" text="SL">
      <formula>NOT(ISERROR(SEARCH("SL",U13)))</formula>
    </cfRule>
    <cfRule type="containsText" dxfId="417" priority="3169" operator="containsText" text="AB">
      <formula>NOT(ISERROR(SEARCH("AB",U13)))</formula>
    </cfRule>
    <cfRule type="containsText" dxfId="416" priority="3173" operator="containsText" text="P">
      <formula>NOT(ISERROR(SEARCH("P",U13)))</formula>
    </cfRule>
    <cfRule type="containsText" dxfId="415" priority="3172" operator="containsText" text="PL">
      <formula>NOT(ISERROR(SEARCH("PL",U13)))</formula>
    </cfRule>
    <cfRule type="containsText" dxfId="414" priority="3171" operator="containsText" text="EL">
      <formula>NOT(ISERROR(SEARCH("EL",U13)))</formula>
    </cfRule>
  </conditionalFormatting>
  <conditionalFormatting sqref="U13:U42 U45:U55 U57:U63 U65:U68 U84 U86 U96 U102 U111 U133:U134 U136 U141:U142 U146 U148 U150 U152 U162 U168:U169 U172 U206 U210 U228 U237 U246:U247 U249 U255 U258 U264 U266:U267 U269:U271 U275 U285 U293:U294 U296 U298:U299 U303:U305 U308 U314 U319:U322 U327:U330 U335:U336 U349 U360 U366 U371:U372 U380 U398:U399 U403 U408 U418:U421 U426:U428 U432 U441 U446:U448 U460 U479 U485 U487:U488 U506 U508:U509 U535:U538 U545:U546 U603 U606:U607 U614 U617 U622:U623 U626 U647:U648 U651 U653 U671:U673 U704:U707 U739 U741 U758:U759 U765:U767 U774 U781:U783 U791:U795 U837 U842 U876 U893 U919:U920 U933 U957 U992:U993 U998 U1012:U1013 U1033 U1049:U1051 U1074:U1080 U1082 U1084:U1085 U1093 U1096 U1098:U1099 U1103:U1104 U1122:U1124 U1138:U1140 U1165 U1168 U1183 U1191 U1195 U1207 U1225 U1228 U1250 U1257 U1265:U1266 U1282 U1313:U1314 U1339 U1344 U1383:U1385 U523:U524 U1005:U1008 U252 U475:U476 U676 U715:U716 U734:U735 U777 U819 U825:U826 U869:U870 U899 U1027:U1028 U1031 U1039:U1040 U1061 U1146:U1149 U1186:U1188 U391:U393 U434:U435 U747 U1045 U1199:U1200 U1219 U1293:U1298 U1335 U1066 U70 U72:U78">
    <cfRule type="containsText" dxfId="413" priority="3168" operator="containsText" text="OFF">
      <formula>NOT(ISERROR(SEARCH("OFF",U13)))</formula>
    </cfRule>
  </conditionalFormatting>
  <conditionalFormatting sqref="U33:U42 U63 U73 U84 U96 U102 U111 U142 U152 U169 U249 U258 U269 T393:U393 U418 U428 U448 U460 U476 U524 T535:U536 T538:U538 U546 U606 U647 U671 U676 U705 U716 U735 U758 U766 U777 U791 U793:U795 U819 U826 U837 U870 U899 U919 U957 U992 U1007 U1012 U1028 U1033 U1040 U1045 U1061 U1066 U1074 U1077 U1079 U1084 U1096 U1098 U1103 U1138 U1146:U1147 U1149 U1186 U1188 U1200 U1219 U1225 U1228 U1250 U1265 U1296 U1335 U1385 U252 U1031 U93 U497 U693 U695 U1346 U464 U1215 U686 U688 U1090 S1:S3">
    <cfRule type="containsText" dxfId="412" priority="43897" operator="containsText" text="ABWI">
      <formula>NOT(ISERROR(SEARCH("ABWI",S1)))</formula>
    </cfRule>
  </conditionalFormatting>
  <conditionalFormatting sqref="U43:U82">
    <cfRule type="containsText" dxfId="411" priority="60" operator="containsText" text="Miss SOS">
      <formula>NOT(ISERROR(SEARCH("Miss SOS",U43)))</formula>
    </cfRule>
  </conditionalFormatting>
  <conditionalFormatting sqref="U70:U78 U454 U721 U786 U810 U849:U850 U889:U890 U292:U293 U707 U354 U467 U812 U886 U944">
    <cfRule type="containsText" dxfId="410" priority="339" operator="containsText" text="ABWI">
      <formula>NOT(ISERROR(SEARCH("ABWI",U70)))</formula>
    </cfRule>
  </conditionalFormatting>
  <conditionalFormatting sqref="U71 U93 U454 U693 U695 U721 U786 U810 U849 U889:U890">
    <cfRule type="containsText" dxfId="409" priority="336" operator="containsText" text="EL">
      <formula>NOT(ISERROR(SEARCH("EL",U71)))</formula>
    </cfRule>
    <cfRule type="containsText" dxfId="408" priority="335" operator="containsText" text="SL">
      <formula>NOT(ISERROR(SEARCH("SL",U71)))</formula>
    </cfRule>
    <cfRule type="containsText" dxfId="407" priority="334" operator="containsText" text="AB">
      <formula>NOT(ISERROR(SEARCH("AB",U71)))</formula>
    </cfRule>
    <cfRule type="containsText" dxfId="406" priority="338" operator="containsText" text="P">
      <formula>NOT(ISERROR(SEARCH("P",U71)))</formula>
    </cfRule>
    <cfRule type="containsText" dxfId="405" priority="337" operator="containsText" text="PL">
      <formula>NOT(ISERROR(SEARCH("PL",U71)))</formula>
    </cfRule>
  </conditionalFormatting>
  <conditionalFormatting sqref="U71 U93 U695 U721 U786 U849 U889:U890 U454 U693 U810">
    <cfRule type="containsText" dxfId="404" priority="333" operator="containsText" text="OFF">
      <formula>NOT(ISERROR(SEARCH("OFF",U71)))</formula>
    </cfRule>
  </conditionalFormatting>
  <conditionalFormatting sqref="U89:U97">
    <cfRule type="containsText" dxfId="403" priority="3165" operator="containsText" text="PL">
      <formula>NOT(ISERROR(SEARCH("PL",U89)))</formula>
    </cfRule>
    <cfRule type="containsText" dxfId="402" priority="3164" operator="containsText" text="EL">
      <formula>NOT(ISERROR(SEARCH("EL",U89)))</formula>
    </cfRule>
    <cfRule type="containsText" dxfId="401" priority="3163" operator="containsText" text="SL">
      <formula>NOT(ISERROR(SEARCH("SL",U89)))</formula>
    </cfRule>
    <cfRule type="containsText" dxfId="400" priority="3162" operator="containsText" text="AB">
      <formula>NOT(ISERROR(SEARCH("AB",U89)))</formula>
    </cfRule>
    <cfRule type="containsText" dxfId="399" priority="3160" operator="containsText" text="ABWI">
      <formula>NOT(ISERROR(SEARCH("ABWI",U89)))</formula>
    </cfRule>
    <cfRule type="containsText" dxfId="398" priority="3166" operator="containsText" text="P">
      <formula>NOT(ISERROR(SEARCH("P",U89)))</formula>
    </cfRule>
    <cfRule type="containsText" dxfId="397" priority="3161" operator="containsText" text="OFF">
      <formula>NOT(ISERROR(SEARCH("OFF",U89)))</formula>
    </cfRule>
  </conditionalFormatting>
  <conditionalFormatting sqref="U93 U558 U664 U686:U688 U693 U695:U696 U726 U748 U751:U752 U889:U890 U944 U1400">
    <cfRule type="containsText" dxfId="396" priority="669" operator="containsText" text="PL">
      <formula>NOT(ISERROR(SEARCH("PL",U93)))</formula>
    </cfRule>
    <cfRule type="containsText" dxfId="395" priority="670" operator="containsText" text="P">
      <formula>NOT(ISERROR(SEARCH("P",U93)))</formula>
    </cfRule>
    <cfRule type="containsText" dxfId="394" priority="668" operator="containsText" text="EL">
      <formula>NOT(ISERROR(SEARCH("EL",U93)))</formula>
    </cfRule>
    <cfRule type="containsText" dxfId="393" priority="667" operator="containsText" text="SL">
      <formula>NOT(ISERROR(SEARCH("SL",U93)))</formula>
    </cfRule>
    <cfRule type="containsText" dxfId="392" priority="666" operator="containsText" text="AB">
      <formula>NOT(ISERROR(SEARCH("AB",U93)))</formula>
    </cfRule>
  </conditionalFormatting>
  <conditionalFormatting sqref="U93 U558 U664 U686:U688 U693 U695:U696 U726 U748 U751:U752 U1400 U889:U890 U944">
    <cfRule type="containsText" dxfId="391" priority="665" operator="containsText" text="OFF">
      <formula>NOT(ISERROR(SEARCH("OFF",U93)))</formula>
    </cfRule>
  </conditionalFormatting>
  <conditionalFormatting sqref="U93">
    <cfRule type="containsText" dxfId="390" priority="634" operator="containsText" text="PL">
      <formula>NOT(ISERROR(SEARCH("PL",U93)))</formula>
    </cfRule>
    <cfRule type="containsText" dxfId="389" priority="635" operator="containsText" text="P">
      <formula>NOT(ISERROR(SEARCH("P",U93)))</formula>
    </cfRule>
    <cfRule type="containsText" dxfId="388" priority="629" operator="containsText" text="ABWI">
      <formula>NOT(ISERROR(SEARCH("ABWI",U93)))</formula>
    </cfRule>
    <cfRule type="containsText" dxfId="387" priority="630" operator="containsText" text="OFF">
      <formula>NOT(ISERROR(SEARCH("OFF",U93)))</formula>
    </cfRule>
    <cfRule type="containsText" dxfId="386" priority="631" operator="containsText" text="AB">
      <formula>NOT(ISERROR(SEARCH("AB",U93)))</formula>
    </cfRule>
    <cfRule type="containsText" dxfId="385" priority="632" operator="containsText" text="SL">
      <formula>NOT(ISERROR(SEARCH("SL",U93)))</formula>
    </cfRule>
    <cfRule type="containsText" dxfId="384" priority="633" operator="containsText" text="EL">
      <formula>NOT(ISERROR(SEARCH("EL",U93)))</formula>
    </cfRule>
  </conditionalFormatting>
  <conditionalFormatting sqref="U96 U1084:U1085 U653:U654 U102 U111 U249 U380:U381 U535 U546 U1344 U992:U993 U172 U774:U775 U1049:U1051 U1074:U1076 U1098:U1099 U255 U258 U285 U293:U294 U296 U298:U299 U303:U305 U308 U314 U319:U322 U327:U330 U335:U336 U349 U360 U366 U371:U372 U418:U421 U426:U427 U432 U441 U446:U447 U460 U479 U485 U487:U488 U506 U508:U509 U671:U673 U739 U741 U767 U791:U794 U876 U893 U1033 U1080 U1082 U1093 U1096 U1103:U1104 U1122:U1124 U1138:U1140 U1165 U1168 U1183 U1191 U1195 U1225 U1228 U1257 U1313:U1314 U13:U32 U35 U37:U38 U40 U84 U86 U133:U134 U136 U141:U142 U146 U148 U150 U152 U162 U168:U169 U264 U266:U267 U269:U271 U275 U603 U606:U607 U614 U617 U622:U623 U626 U647:U648 U651 U704:U707 U758:U759 U781:U783 U919:U920 U933 U957 U998 U1012:U1013 U1207 U1250 U1265:U1266 U1282 U1383:U1385 U837 U842 U206 U210 U228 U237 U246:U247 U398:U399 U403 U408 U1339 U45:U55 U57:U63 U65:U68">
    <cfRule type="containsText" dxfId="383" priority="3167" operator="containsText" text="ABWI">
      <formula>NOT(ISERROR(SEARCH("ABWI",U13)))</formula>
    </cfRule>
  </conditionalFormatting>
  <conditionalFormatting sqref="U99:U115 U194 U204 U216 U219 U223:U225 U243 U249 U341 U356 U381:U382 U389 U483 U494:U496 U501 U524 U535 U546 U557:U559 U583:U584 U586 U596:U597 U610 U628 U678:U679 U693:U695 U737 U772 U798:U799 U805 U815 U986 U1153 U1233 U1237 U1277 U1344:U1346">
    <cfRule type="containsText" dxfId="382" priority="2268" operator="containsText" text="SL">
      <formula>NOT(ISERROR(SEARCH("SL",U99)))</formula>
    </cfRule>
    <cfRule type="containsText" dxfId="381" priority="2271" operator="containsText" text="P">
      <formula>NOT(ISERROR(SEARCH("P",U99)))</formula>
    </cfRule>
    <cfRule type="containsText" dxfId="380" priority="2270" operator="containsText" text="PL">
      <formula>NOT(ISERROR(SEARCH("PL",U99)))</formula>
    </cfRule>
    <cfRule type="containsText" dxfId="379" priority="2269" operator="containsText" text="EL">
      <formula>NOT(ISERROR(SEARCH("EL",U99)))</formula>
    </cfRule>
    <cfRule type="containsText" dxfId="378" priority="2267" operator="containsText" text="AB">
      <formula>NOT(ISERROR(SEARCH("AB",U99)))</formula>
    </cfRule>
  </conditionalFormatting>
  <conditionalFormatting sqref="U99:U115 U194 U204 U216 U219 U223:U225 U243 U249 U341 U356 U381:U382 U389 U483 U494:U496 U501 U524 U535 U546 U557:U559 U583:U584 U586 U596:U597 U610 U628 U678:U679 U693:U695 U737 U772 U798:U799 U805 U815 U986 U1153 U1237 U1277 U1344:U1346 U1233">
    <cfRule type="containsText" dxfId="377" priority="2266" operator="containsText" text="OFF">
      <formula>NOT(ISERROR(SEARCH("OFF",U99)))</formula>
    </cfRule>
  </conditionalFormatting>
  <conditionalFormatting sqref="U118 U353:U354 U359 U459 U466:U467 U553 U632:U633 U646">
    <cfRule type="containsText" dxfId="376" priority="55" operator="containsText" text="AB">
      <formula>NOT(ISERROR(SEARCH("AB",U118)))</formula>
    </cfRule>
    <cfRule type="containsText" dxfId="375" priority="59" operator="containsText" text="P">
      <formula>NOT(ISERROR(SEARCH("P",U118)))</formula>
    </cfRule>
    <cfRule type="containsText" dxfId="374" priority="54" operator="containsText" text="OFF">
      <formula>NOT(ISERROR(SEARCH("OFF",U118)))</formula>
    </cfRule>
    <cfRule type="containsText" dxfId="373" priority="58" operator="containsText" text="PL">
      <formula>NOT(ISERROR(SEARCH("PL",U118)))</formula>
    </cfRule>
    <cfRule type="containsText" dxfId="372" priority="56" operator="containsText" text="SL">
      <formula>NOT(ISERROR(SEARCH("SL",U118)))</formula>
    </cfRule>
    <cfRule type="containsText" dxfId="371" priority="57" operator="containsText" text="EL">
      <formula>NOT(ISERROR(SEARCH("EL",U118)))</formula>
    </cfRule>
  </conditionalFormatting>
  <conditionalFormatting sqref="U168 U381">
    <cfRule type="containsText" dxfId="370" priority="990" operator="containsText" text="AB">
      <formula>NOT(ISERROR(SEARCH("AB",U168)))</formula>
    </cfRule>
    <cfRule type="containsText" dxfId="369" priority="991" operator="containsText" text="SL">
      <formula>NOT(ISERROR(SEARCH("SL",U168)))</formula>
    </cfRule>
    <cfRule type="containsText" dxfId="368" priority="992" operator="containsText" text="EL">
      <formula>NOT(ISERROR(SEARCH("EL",U168)))</formula>
    </cfRule>
    <cfRule type="containsText" dxfId="367" priority="993" operator="containsText" text="PL">
      <formula>NOT(ISERROR(SEARCH("PL",U168)))</formula>
    </cfRule>
    <cfRule type="containsText" dxfId="366" priority="994" operator="containsText" text="P">
      <formula>NOT(ISERROR(SEARCH("P",U168)))</formula>
    </cfRule>
  </conditionalFormatting>
  <conditionalFormatting sqref="U171:U172 U774:U775 U880 U891 U913:U915 U917 U1048 U1051 U1075 U1099">
    <cfRule type="containsText" dxfId="365" priority="1822" operator="containsText" text="P">
      <formula>NOT(ISERROR(SEARCH("P",U171)))</formula>
    </cfRule>
    <cfRule type="containsText" dxfId="364" priority="1821" operator="containsText" text="PL">
      <formula>NOT(ISERROR(SEARCH("PL",U171)))</formula>
    </cfRule>
    <cfRule type="containsText" dxfId="363" priority="1820" operator="containsText" text="EL">
      <formula>NOT(ISERROR(SEARCH("EL",U171)))</formula>
    </cfRule>
    <cfRule type="containsText" dxfId="362" priority="1819" operator="containsText" text="SL">
      <formula>NOT(ISERROR(SEARCH("SL",U171)))</formula>
    </cfRule>
    <cfRule type="containsText" dxfId="361" priority="1818" operator="containsText" text="AB">
      <formula>NOT(ISERROR(SEARCH("AB",U171)))</formula>
    </cfRule>
  </conditionalFormatting>
  <conditionalFormatting sqref="U171:U172 U774:U775 U880 U891 U913:U915 U1048 U1051 U1099 U1075 U917">
    <cfRule type="containsText" dxfId="360" priority="1817" operator="containsText" text="OFF">
      <formula>NOT(ISERROR(SEARCH("OFF",U171)))</formula>
    </cfRule>
  </conditionalFormatting>
  <conditionalFormatting sqref="U175 U177 U231 U278:U279 U449 U463:U464 U471:U472 U744 U753 U786 U902 U936 U938 U955 U976 U1001 U1113 U1127 U1143 U1177 U1212 U1215:U1216 U1235 U1326">
    <cfRule type="containsText" dxfId="359" priority="2052" operator="containsText" text="P">
      <formula>NOT(ISERROR(SEARCH("P",U175)))</formula>
    </cfRule>
    <cfRule type="containsText" dxfId="358" priority="2050" operator="containsText" text="EL">
      <formula>NOT(ISERROR(SEARCH("EL",U175)))</formula>
    </cfRule>
    <cfRule type="containsText" dxfId="357" priority="2047" operator="containsText" text="OFF">
      <formula>NOT(ISERROR(SEARCH("OFF",U175)))</formula>
    </cfRule>
    <cfRule type="containsText" dxfId="356" priority="2051" operator="containsText" text="PL">
      <formula>NOT(ISERROR(SEARCH("PL",U175)))</formula>
    </cfRule>
    <cfRule type="containsText" dxfId="355" priority="2048" operator="containsText" text="AB">
      <formula>NOT(ISERROR(SEARCH("AB",U175)))</formula>
    </cfRule>
    <cfRule type="containsText" dxfId="354" priority="2049" operator="containsText" text="SL">
      <formula>NOT(ISERROR(SEARCH("SL",U175)))</formula>
    </cfRule>
  </conditionalFormatting>
  <conditionalFormatting sqref="U201:U202 U654">
    <cfRule type="containsText" dxfId="353" priority="2488" operator="containsText" text="EL">
      <formula>NOT(ISERROR(SEARCH("EL",U201)))</formula>
    </cfRule>
    <cfRule type="containsText" dxfId="352" priority="2487" operator="containsText" text="SL">
      <formula>NOT(ISERROR(SEARCH("SL",U201)))</formula>
    </cfRule>
    <cfRule type="containsText" dxfId="351" priority="2486" operator="containsText" text="AB">
      <formula>NOT(ISERROR(SEARCH("AB",U201)))</formula>
    </cfRule>
    <cfRule type="containsText" dxfId="350" priority="2489" operator="containsText" text="PL">
      <formula>NOT(ISERROR(SEARCH("PL",U201)))</formula>
    </cfRule>
    <cfRule type="containsText" dxfId="349" priority="2490" operator="containsText" text="P">
      <formula>NOT(ISERROR(SEARCH("P",U201)))</formula>
    </cfRule>
    <cfRule type="containsText" dxfId="348" priority="2485" operator="containsText" text="OFF">
      <formula>NOT(ISERROR(SEARCH("OFF",U201)))</formula>
    </cfRule>
  </conditionalFormatting>
  <conditionalFormatting sqref="U201:U202">
    <cfRule type="containsText" dxfId="347" priority="2484" operator="containsText" text="ABWI">
      <formula>NOT(ISERROR(SEARCH("ABWI",U201)))</formula>
    </cfRule>
  </conditionalFormatting>
  <conditionalFormatting sqref="U218:U223 U672 U891:U897 U1124:U1132 U329:U352 U248:U263 U495:U522 U421:U426 U360:U373 U279:U304 U306:U319 U381:U390 U428:U432 U436:U445 U447:U450 U460:U465 U476:U483 U485:U486 U524:U525 U530:U536 U538:U544 U546:U552 U558:U591 U654:U662 U676:U680 U716:U720 U735:U746 U748:U750 U766:U779 U792:U808 U818:U824 U826:U836 U870:U884 U899:U907 U1028:U1031 U1040:U1044 U1061 U1077 U1079:U1083 U1098:U1106 U1145:U1186 U1188:U1198 U488:U492 U1223:U1231 U1033:U1038 U1138:U1143 U1093:U1094 U1096 U1:U6">
    <cfRule type="containsText" dxfId="346" priority="1815" operator="containsText" text="Miss SOS">
      <formula>NOT(ISERROR(SEARCH("Miss SOS",U1)))</formula>
    </cfRule>
  </conditionalFormatting>
  <conditionalFormatting sqref="U219 U223:U225 U249 U341 U382 U389 U483 U494:U496 U501 U523:U524 U535 U545:U546 U557:U559 U583:U584 U586 U678:U679 U737 U772 U798:U799 U805 U1153 U99:U115 U194 U596:U597 U610 U628 U693:U695 U986 U1005:U1008 U1277 U204 U216 U243 U1344:U1345 U1237 U356 U815">
    <cfRule type="containsText" dxfId="345" priority="2265" operator="containsText" text="ABWI">
      <formula>NOT(ISERROR(SEARCH("ABWI",U99)))</formula>
    </cfRule>
  </conditionalFormatting>
  <conditionalFormatting sqref="U222 U249 U292 U393 U428 U436 U448 U464 U476 U486 U497 U505 U524 U535:U536 U538 U546 U583 U654 U676 U716 U735 U766 U777 U793:U795 U819 U826 U870 U899 U1028 U1040 U1044 U1061 U1077 U1079 U1186 U1188 U1200 U1296">
    <cfRule type="containsText" dxfId="344" priority="1283" operator="containsText" text="AB">
      <formula>NOT(ISERROR(SEARCH("AB",U222)))</formula>
    </cfRule>
    <cfRule type="containsText" dxfId="343" priority="1285" operator="containsText" text="EL">
      <formula>NOT(ISERROR(SEARCH("EL",U222)))</formula>
    </cfRule>
    <cfRule type="containsText" dxfId="342" priority="1286" operator="containsText" text="PL">
      <formula>NOT(ISERROR(SEARCH("PL",U222)))</formula>
    </cfRule>
    <cfRule type="containsText" dxfId="341" priority="1287" operator="containsText" text="P">
      <formula>NOT(ISERROR(SEARCH("P",U222)))</formula>
    </cfRule>
    <cfRule type="containsText" dxfId="340" priority="1284" operator="containsText" text="SL">
      <formula>NOT(ISERROR(SEARCH("SL",U222)))</formula>
    </cfRule>
  </conditionalFormatting>
  <conditionalFormatting sqref="U222 U249">
    <cfRule type="containsText" dxfId="339" priority="1264" operator="containsText" text="ABWI">
      <formula>NOT(ISERROR(SEARCH("ABWI",U222)))</formula>
    </cfRule>
    <cfRule type="containsText" dxfId="338" priority="1260" operator="containsText" text="SL">
      <formula>NOT(ISERROR(SEARCH("SL",U222)))</formula>
    </cfRule>
    <cfRule type="containsText" dxfId="337" priority="1261" operator="containsText" text="EL">
      <formula>NOT(ISERROR(SEARCH("EL",U222)))</formula>
    </cfRule>
    <cfRule type="containsText" dxfId="336" priority="1259" operator="containsText" text="AB">
      <formula>NOT(ISERROR(SEARCH("AB",U222)))</formula>
    </cfRule>
    <cfRule type="containsText" dxfId="335" priority="1262" operator="containsText" text="PL">
      <formula>NOT(ISERROR(SEARCH("PL",U222)))</formula>
    </cfRule>
    <cfRule type="containsText" dxfId="334" priority="1263" operator="containsText" text="P">
      <formula>NOT(ISERROR(SEARCH("P",U222)))</formula>
    </cfRule>
  </conditionalFormatting>
  <conditionalFormatting sqref="U222:U223 U249 U292 U391:U393 U428 U434:U436 U448 U464 U475:U476 U485:U486 U497 U505 U524 U535:U538 U546 U583 U654 U676 U715:U716 U734:U735 U765:U766 U777 U793:U795 U819 U825:U826 U869:U870 U899 U1027:U1028 U1039:U1040 U1044:U1045 U1061 U1077:U1079 U1186 U1188 U1199:U1200 U1293:U1298 U1219 U1099 U381 U1146:U1149 U558 U747:U748 U1335 U299 U303:U304 U319 U336 U421">
    <cfRule type="containsText" dxfId="333" priority="1288" operator="containsText" text="ABWI">
      <formula>NOT(ISERROR(SEARCH("ABWI",U222)))</formula>
    </cfRule>
  </conditionalFormatting>
  <conditionalFormatting sqref="U223 U672 U893 U1124 U1257 U1314">
    <cfRule type="containsText" dxfId="332" priority="1814" operator="containsText" text="P">
      <formula>NOT(ISERROR(SEARCH("P",U223)))</formula>
    </cfRule>
    <cfRule type="containsText" dxfId="331" priority="1813" operator="containsText" text="PL">
      <formula>NOT(ISERROR(SEARCH("PL",U223)))</formula>
    </cfRule>
    <cfRule type="containsText" dxfId="330" priority="1810" operator="containsText" text="AB">
      <formula>NOT(ISERROR(SEARCH("AB",U223)))</formula>
    </cfRule>
    <cfRule type="containsText" dxfId="329" priority="1811" operator="containsText" text="SL">
      <formula>NOT(ISERROR(SEARCH("SL",U223)))</formula>
    </cfRule>
    <cfRule type="containsText" dxfId="328" priority="1812" operator="containsText" text="EL">
      <formula>NOT(ISERROR(SEARCH("EL",U223)))</formula>
    </cfRule>
  </conditionalFormatting>
  <conditionalFormatting sqref="U249 U222">
    <cfRule type="containsText" dxfId="327" priority="1258" operator="containsText" text="OFF">
      <formula>NOT(ISERROR(SEARCH("OFF",U222)))</formula>
    </cfRule>
  </conditionalFormatting>
  <conditionalFormatting sqref="U249 U381">
    <cfRule type="containsText" dxfId="326" priority="988" operator="containsText" text="ABWI">
      <formula>NOT(ISERROR(SEARCH("ABWI",U249)))</formula>
    </cfRule>
  </conditionalFormatting>
  <conditionalFormatting sqref="U249 U837:U848 U1045:U1048 U1084:U1086 U1006 U446:U447 U1222">
    <cfRule type="containsText" dxfId="325" priority="1193" operator="containsText" text="Miss SOS">
      <formula>NOT(ISERROR(SEARCH("Miss SOS",U249)))</formula>
    </cfRule>
  </conditionalFormatting>
  <conditionalFormatting sqref="U252 T419:T459 T461:T534 T537 T560 T1143 T1324:T1371">
    <cfRule type="containsText" dxfId="324" priority="1323" operator="containsText" text="P">
      <formula>NOT(ISERROR(SEARCH("P",T252)))</formula>
    </cfRule>
    <cfRule type="containsText" dxfId="323" priority="1320" operator="containsText" text="SL">
      <formula>NOT(ISERROR(SEARCH("SL",T252)))</formula>
    </cfRule>
    <cfRule type="containsText" dxfId="322" priority="1321" operator="containsText" text="EL">
      <formula>NOT(ISERROR(SEARCH("EL",T252)))</formula>
    </cfRule>
    <cfRule type="containsText" dxfId="321" priority="1322" operator="containsText" text="PL">
      <formula>NOT(ISERROR(SEARCH("PL",T252)))</formula>
    </cfRule>
  </conditionalFormatting>
  <conditionalFormatting sqref="U278:U279 U449 U463 U744 U902 U1127 U1143 U1177 U175 U177 U753 U786 U936 U938 U955 U976 U1001 U1212 U1215:U1216 U471:U472 U231 U1113 U1235 U1326">
    <cfRule type="containsText" dxfId="320" priority="2046" operator="containsText" text="ABWI">
      <formula>NOT(ISERROR(SEARCH("ABWI",U175)))</formula>
    </cfRule>
  </conditionalFormatting>
  <conditionalFormatting sqref="U293 U391:U414 U612 U707 U721 U819 U837 U849 U1405:U1048576">
    <cfRule type="containsText" dxfId="319" priority="331" operator="containsText" text="Miss SOS">
      <formula>NOT(ISERROR(SEARCH("Miss SOS",U293)))</formula>
    </cfRule>
  </conditionalFormatting>
  <conditionalFormatting sqref="U317">
    <cfRule type="containsText" dxfId="318" priority="3130" operator="containsText" text="PL">
      <formula>NOT(ISERROR(SEARCH("PL",U317)))</formula>
    </cfRule>
    <cfRule type="containsText" dxfId="317" priority="3131" operator="containsText" text="P">
      <formula>NOT(ISERROR(SEARCH("P",U317)))</formula>
    </cfRule>
    <cfRule type="containsText" dxfId="316" priority="3126" operator="containsText" text="OFF">
      <formula>NOT(ISERROR(SEARCH("OFF",U317)))</formula>
    </cfRule>
    <cfRule type="containsText" dxfId="315" priority="3125" operator="containsText" text="ABWI">
      <formula>NOT(ISERROR(SEARCH("ABWI",U317)))</formula>
    </cfRule>
    <cfRule type="containsText" dxfId="314" priority="3127" operator="containsText" text="AB">
      <formula>NOT(ISERROR(SEARCH("AB",U317)))</formula>
    </cfRule>
    <cfRule type="containsText" dxfId="313" priority="3128" operator="containsText" text="SL">
      <formula>NOT(ISERROR(SEARCH("SL",U317)))</formula>
    </cfRule>
    <cfRule type="containsText" dxfId="312" priority="3129" operator="containsText" text="EL">
      <formula>NOT(ISERROR(SEARCH("EL",U317)))</formula>
    </cfRule>
  </conditionalFormatting>
  <conditionalFormatting sqref="U346">
    <cfRule type="containsText" dxfId="311" priority="1603" operator="containsText" text="ABWI">
      <formula>NOT(ISERROR(SEARCH("ABWI",U346)))</formula>
    </cfRule>
    <cfRule type="containsText" dxfId="310" priority="1607" operator="containsText" text="EL">
      <formula>NOT(ISERROR(SEARCH("EL",U346)))</formula>
    </cfRule>
    <cfRule type="containsText" dxfId="309" priority="1606" operator="containsText" text="SL">
      <formula>NOT(ISERROR(SEARCH("SL",U346)))</formula>
    </cfRule>
    <cfRule type="containsText" dxfId="308" priority="1605" operator="containsText" text="AB">
      <formula>NOT(ISERROR(SEARCH("AB",U346)))</formula>
    </cfRule>
    <cfRule type="containsText" dxfId="307" priority="1604" operator="containsText" text="OFF">
      <formula>NOT(ISERROR(SEARCH("OFF",U346)))</formula>
    </cfRule>
    <cfRule type="containsText" dxfId="306" priority="1608" operator="containsText" text="PL">
      <formula>NOT(ISERROR(SEARCH("PL",U346)))</formula>
    </cfRule>
    <cfRule type="containsText" dxfId="305" priority="1609" operator="containsText" text="P">
      <formula>NOT(ISERROR(SEARCH("P",U346)))</formula>
    </cfRule>
  </conditionalFormatting>
  <conditionalFormatting sqref="U353:U354 U359:U360 U459 U466:U467 U553 U118 U633 U646">
    <cfRule type="containsText" dxfId="304" priority="53" operator="containsText" text="ABWI">
      <formula>NOT(ISERROR(SEARCH("ABWI",U118)))</formula>
    </cfRule>
  </conditionalFormatting>
  <conditionalFormatting sqref="U353:U360 U451:U460 U466:U467 U553:U557">
    <cfRule type="containsText" dxfId="303" priority="52" operator="containsText" text="Miss SOS">
      <formula>NOT(ISERROR(SEARCH("Miss SOS",U353)))</formula>
    </cfRule>
  </conditionalFormatting>
  <conditionalFormatting sqref="U371">
    <cfRule type="containsText" dxfId="302" priority="964" operator="containsText" text="ABWI">
      <formula>NOT(ISERROR(SEARCH("ABWI",U371)))</formula>
    </cfRule>
  </conditionalFormatting>
  <conditionalFormatting sqref="U373:U375">
    <cfRule type="containsText" dxfId="301" priority="1292" operator="containsText" text="SL">
      <formula>NOT(ISERROR(SEARCH("SL",U373)))</formula>
    </cfRule>
    <cfRule type="containsText" dxfId="300" priority="1291" operator="containsText" text="AB">
      <formula>NOT(ISERROR(SEARCH("AB",U373)))</formula>
    </cfRule>
    <cfRule type="containsText" dxfId="299" priority="1290" operator="containsText" text="OFF">
      <formula>NOT(ISERROR(SEARCH("OFF",U373)))</formula>
    </cfRule>
    <cfRule type="containsText" dxfId="298" priority="1295" operator="containsText" text="P">
      <formula>NOT(ISERROR(SEARCH("P",U373)))</formula>
    </cfRule>
    <cfRule type="containsText" dxfId="297" priority="1289" operator="containsText" text="ABWI">
      <formula>NOT(ISERROR(SEARCH("ABWI",U373)))</formula>
    </cfRule>
    <cfRule type="containsText" dxfId="296" priority="1293" operator="containsText" text="EL">
      <formula>NOT(ISERROR(SEARCH("EL",U373)))</formula>
    </cfRule>
    <cfRule type="containsText" dxfId="295" priority="1294" operator="containsText" text="PL">
      <formula>NOT(ISERROR(SEARCH("PL",U373)))</formula>
    </cfRule>
  </conditionalFormatting>
  <conditionalFormatting sqref="U381 U168">
    <cfRule type="containsText" dxfId="294" priority="989" operator="containsText" text="OFF">
      <formula>NOT(ISERROR(SEARCH("OFF",U168)))</formula>
    </cfRule>
  </conditionalFormatting>
  <conditionalFormatting sqref="U393 U428 U436 U464 U486 U497 U505 U583 U654 U716 U735 U766 U777 U819 U1028 U1200 U1296 U222 U249 U448 U793:U795 U1044 U476 U524 U535:U536 U538 U1077 U1079 U870 U899 U1040 U1061 U292 U546 U826 U1186 U1188 U676">
    <cfRule type="containsText" dxfId="293" priority="1282" operator="containsText" text="OFF">
      <formula>NOT(ISERROR(SEARCH("OFF",U222)))</formula>
    </cfRule>
  </conditionalFormatting>
  <conditionalFormatting sqref="U424">
    <cfRule type="containsText" dxfId="292" priority="1298" operator="containsText" text="AB">
      <formula>NOT(ISERROR(SEARCH("AB",U424)))</formula>
    </cfRule>
    <cfRule type="containsText" dxfId="291" priority="1299" operator="containsText" text="SL">
      <formula>NOT(ISERROR(SEARCH("SL",U424)))</formula>
    </cfRule>
    <cfRule type="containsText" dxfId="290" priority="1302" operator="containsText" text="P">
      <formula>NOT(ISERROR(SEARCH("P",U424)))</formula>
    </cfRule>
    <cfRule type="containsText" dxfId="289" priority="1301" operator="containsText" text="PL">
      <formula>NOT(ISERROR(SEARCH("PL",U424)))</formula>
    </cfRule>
    <cfRule type="containsText" dxfId="288" priority="1296" operator="containsText" text="ABWI">
      <formula>NOT(ISERROR(SEARCH("ABWI",U424)))</formula>
    </cfRule>
    <cfRule type="containsText" dxfId="287" priority="1297" operator="containsText" text="OFF">
      <formula>NOT(ISERROR(SEARCH("OFF",U424)))</formula>
    </cfRule>
    <cfRule type="containsText" dxfId="286" priority="1300" operator="containsText" text="EL">
      <formula>NOT(ISERROR(SEARCH("EL",U424)))</formula>
    </cfRule>
  </conditionalFormatting>
  <conditionalFormatting sqref="U433 U451:U454 U675:U676 U692:U693">
    <cfRule type="containsText" dxfId="285" priority="96" operator="containsText" text="ABWI">
      <formula>NOT(ISERROR(SEARCH("ABWI",U433)))</formula>
    </cfRule>
  </conditionalFormatting>
  <conditionalFormatting sqref="U433 U453 U675 U692">
    <cfRule type="containsText" dxfId="284" priority="92" operator="containsText" text="SL">
      <formula>NOT(ISERROR(SEARCH("SL",U433)))</formula>
    </cfRule>
    <cfRule type="containsText" dxfId="283" priority="91" operator="containsText" text="AB">
      <formula>NOT(ISERROR(SEARCH("AB",U433)))</formula>
    </cfRule>
    <cfRule type="containsText" dxfId="282" priority="90" operator="containsText" text="OFF">
      <formula>NOT(ISERROR(SEARCH("OFF",U433)))</formula>
    </cfRule>
    <cfRule type="containsText" dxfId="281" priority="93" operator="containsText" text="EL">
      <formula>NOT(ISERROR(SEARCH("EL",U433)))</formula>
    </cfRule>
    <cfRule type="containsText" dxfId="280" priority="94" operator="containsText" text="PL">
      <formula>NOT(ISERROR(SEARCH("PL",U433)))</formula>
    </cfRule>
    <cfRule type="containsText" dxfId="279" priority="95" operator="containsText" text="P">
      <formula>NOT(ISERROR(SEARCH("P",U433)))</formula>
    </cfRule>
  </conditionalFormatting>
  <conditionalFormatting sqref="U433 U675 U692 U453">
    <cfRule type="containsText" dxfId="278" priority="89" operator="containsText" text="ABWI">
      <formula>NOT(ISERROR(SEARCH("ABWI",U433)))</formula>
    </cfRule>
  </conditionalFormatting>
  <conditionalFormatting sqref="U433:U435 U672:U675 U692">
    <cfRule type="containsText" dxfId="277" priority="88" operator="containsText" text="Miss SOS">
      <formula>NOT(ISERROR(SEARCH("Miss SOS",U433)))</formula>
    </cfRule>
  </conditionalFormatting>
  <conditionalFormatting sqref="U447 U461 U489 U501 U622 U626 U648 U672 U679 U706">
    <cfRule type="containsText" dxfId="276" priority="1240" operator="containsText" text="PL">
      <formula>NOT(ISERROR(SEARCH("PL",U447)))</formula>
    </cfRule>
    <cfRule type="containsText" dxfId="275" priority="1241" operator="containsText" text="P">
      <formula>NOT(ISERROR(SEARCH("P",U447)))</formula>
    </cfRule>
    <cfRule type="containsText" dxfId="274" priority="1239" operator="containsText" text="EL">
      <formula>NOT(ISERROR(SEARCH("EL",U447)))</formula>
    </cfRule>
    <cfRule type="containsText" dxfId="273" priority="1238" operator="containsText" text="SL">
      <formula>NOT(ISERROR(SEARCH("SL",U447)))</formula>
    </cfRule>
    <cfRule type="containsText" dxfId="272" priority="1237" operator="containsText" text="AB">
      <formula>NOT(ISERROR(SEARCH("AB",U447)))</formula>
    </cfRule>
  </conditionalFormatting>
  <conditionalFormatting sqref="U447 U622 U648 U672 U706 U461 U489 U501 U626 U679">
    <cfRule type="containsText" dxfId="271" priority="1236" operator="containsText" text="OFF">
      <formula>NOT(ISERROR(SEARCH("OFF",U447)))</formula>
    </cfRule>
  </conditionalFormatting>
  <conditionalFormatting sqref="U447:U448 U460:U461 U489 U501 U622 U626 U647:U648 U671:U672 U679 U705:U706 U93 U686:U688 U693 U1228 U1066 U40 U84 U152 U269 U418 U1250">
    <cfRule type="containsText" dxfId="270" priority="1242" operator="containsText" text="ABWI">
      <formula>NOT(ISERROR(SEARCH("ABWI",U40)))</formula>
    </cfRule>
  </conditionalFormatting>
  <conditionalFormatting sqref="U451:U452 U484 U493:U494 U526:U528 U556 U592:U595 U710 U764 U780 U817 U908 U966 U1025:U1026 U1059:U1060 U1062:U1064 U1087:U1090 U1092:U1093 U1206 U1216:U1218 U1335:U1336">
    <cfRule type="containsText" dxfId="269" priority="120" operator="containsText" text="SL">
      <formula>NOT(ISERROR(SEARCH("SL",U451)))</formula>
    </cfRule>
    <cfRule type="containsText" dxfId="268" priority="123" operator="containsText" text="P">
      <formula>NOT(ISERROR(SEARCH("P",U451)))</formula>
    </cfRule>
    <cfRule type="containsText" dxfId="267" priority="122" operator="containsText" text="PL">
      <formula>NOT(ISERROR(SEARCH("PL",U451)))</formula>
    </cfRule>
    <cfRule type="containsText" dxfId="266" priority="119" operator="containsText" text="AB">
      <formula>NOT(ISERROR(SEARCH("AB",U451)))</formula>
    </cfRule>
    <cfRule type="containsText" dxfId="265" priority="121" operator="containsText" text="EL">
      <formula>NOT(ISERROR(SEARCH("EL",U451)))</formula>
    </cfRule>
  </conditionalFormatting>
  <conditionalFormatting sqref="U484 U493:U494 U526:U528 U545:U546 U592:U595 U710 U825:U826 U908 U1025:U1026 U1059 U1087:U1090 U1092:U1093 U1186:U1188 U1206 U1335:U1336 U556 U817 U1062:U1064 U764 U966 U1216:U1217 U1293 U1297">
    <cfRule type="containsText" dxfId="264" priority="117" operator="containsText" text="ABWI">
      <formula>NOT(ISERROR(SEARCH("ABWI",U484)))</formula>
    </cfRule>
  </conditionalFormatting>
  <conditionalFormatting sqref="U484 U493:U494 U526:U528 U556 U592:U595 U710 U764 U817 U908 U966 U1025:U1026 U1059:U1060 U1062:U1064 U1087:U1090 U1092:U1093 U1206 U1216:U1218 U1335:U1336 U451:U452 U780">
    <cfRule type="containsText" dxfId="263" priority="118" operator="containsText" text="OFF">
      <formula>NOT(ISERROR(SEARCH("OFF",U451)))</formula>
    </cfRule>
  </conditionalFormatting>
  <conditionalFormatting sqref="U484:U485 U493 U526:U529 U545:U546 U592:U596 U710:U715 U825 U908 U1025:U1027 U1059 U1087:U1093 U1186:U1187 U1206:U1207">
    <cfRule type="containsText" dxfId="262" priority="116" operator="containsText" text="Miss SOS">
      <formula>NOT(ISERROR(SEARCH("Miss SOS",U484)))</formula>
    </cfRule>
  </conditionalFormatting>
  <conditionalFormatting sqref="U497:U498 U569 U634:U635 U662:U663 U761 U763">
    <cfRule type="containsText" dxfId="261" priority="2919" operator="containsText" text="P">
      <formula>NOT(ISERROR(SEARCH("P",U497)))</formula>
    </cfRule>
    <cfRule type="containsText" dxfId="260" priority="2917" operator="containsText" text="EL">
      <formula>NOT(ISERROR(SEARCH("EL",U497)))</formula>
    </cfRule>
    <cfRule type="containsText" dxfId="259" priority="2916" operator="containsText" text="SL">
      <formula>NOT(ISERROR(SEARCH("SL",U497)))</formula>
    </cfRule>
    <cfRule type="containsText" dxfId="258" priority="2915" operator="containsText" text="AB">
      <formula>NOT(ISERROR(SEARCH("AB",U497)))</formula>
    </cfRule>
    <cfRule type="containsText" dxfId="257" priority="2914" operator="containsText" text="OFF">
      <formula>NOT(ISERROR(SEARCH("OFF",U497)))</formula>
    </cfRule>
    <cfRule type="containsText" dxfId="256" priority="2918" operator="containsText" text="PL">
      <formula>NOT(ISERROR(SEARCH("PL",U497)))</formula>
    </cfRule>
  </conditionalFormatting>
  <conditionalFormatting sqref="U498 U569 U662:U663 U634:U635 U761 U763">
    <cfRule type="containsText" dxfId="255" priority="2913" operator="containsText" text="ABWI">
      <formula>NOT(ISERROR(SEARCH("ABWI",U498)))</formula>
    </cfRule>
  </conditionalFormatting>
  <conditionalFormatting sqref="U516">
    <cfRule type="containsText" dxfId="254" priority="1305" operator="containsText" text="AB">
      <formula>NOT(ISERROR(SEARCH("AB",U516)))</formula>
    </cfRule>
    <cfRule type="containsText" dxfId="253" priority="1308" operator="containsText" text="PL">
      <formula>NOT(ISERROR(SEARCH("PL",U516)))</formula>
    </cfRule>
    <cfRule type="containsText" dxfId="252" priority="1307" operator="containsText" text="EL">
      <formula>NOT(ISERROR(SEARCH("EL",U516)))</formula>
    </cfRule>
    <cfRule type="containsText" dxfId="251" priority="1306" operator="containsText" text="SL">
      <formula>NOT(ISERROR(SEARCH("SL",U516)))</formula>
    </cfRule>
    <cfRule type="containsText" dxfId="250" priority="1304" operator="containsText" text="OFF">
      <formula>NOT(ISERROR(SEARCH("OFF",U516)))</formula>
    </cfRule>
    <cfRule type="containsText" dxfId="249" priority="1303" operator="containsText" text="ABWI">
      <formula>NOT(ISERROR(SEARCH("ABWI",U516)))</formula>
    </cfRule>
    <cfRule type="containsText" dxfId="248" priority="1309" operator="containsText" text="P">
      <formula>NOT(ISERROR(SEARCH("P",U516)))</formula>
    </cfRule>
  </conditionalFormatting>
  <conditionalFormatting sqref="U597:U622 U624:U634 U7:U42 U83:U200 U264:U277 U415:U420 U636:U652 U664:U671 U682:U691 U693:U706 U1240:U1294 U751:U764 U783:U791 U919:U922 U949:U1005 U1007:U1024 U1207:U1217 U1219:U1221 U1296:U1316 U887:U890 U924:U946">
    <cfRule type="containsText" dxfId="247" priority="1280" operator="containsText" text="Miss SOS">
      <formula>NOT(ISERROR(SEARCH("Miss SOS",U7)))</formula>
    </cfRule>
  </conditionalFormatting>
  <conditionalFormatting sqref="U606:U607">
    <cfRule type="containsText" dxfId="246" priority="625" operator="containsText" text="ABWI">
      <formula>NOT(ISERROR(SEARCH("ABWI",U606)))</formula>
    </cfRule>
  </conditionalFormatting>
  <conditionalFormatting sqref="U632 U614">
    <cfRule type="containsText" dxfId="245" priority="1257" operator="containsText" text="ABWI">
      <formula>NOT(ISERROR(SEARCH("ABWI",U614)))</formula>
    </cfRule>
  </conditionalFormatting>
  <conditionalFormatting sqref="U642:U643 U807:U808 U1119:U1120">
    <cfRule type="containsText" dxfId="244" priority="2274" operator="containsText" text="AB">
      <formula>NOT(ISERROR(SEARCH("AB",U642)))</formula>
    </cfRule>
    <cfRule type="containsText" dxfId="243" priority="2277" operator="containsText" text="PL">
      <formula>NOT(ISERROR(SEARCH("PL",U642)))</formula>
    </cfRule>
    <cfRule type="containsText" dxfId="242" priority="2276" operator="containsText" text="EL">
      <formula>NOT(ISERROR(SEARCH("EL",U642)))</formula>
    </cfRule>
    <cfRule type="containsText" dxfId="241" priority="2275" operator="containsText" text="SL">
      <formula>NOT(ISERROR(SEARCH("SL",U642)))</formula>
    </cfRule>
    <cfRule type="containsText" dxfId="240" priority="2273" operator="containsText" text="OFF">
      <formula>NOT(ISERROR(SEARCH("OFF",U642)))</formula>
    </cfRule>
    <cfRule type="containsText" dxfId="239" priority="2278" operator="containsText" text="P">
      <formula>NOT(ISERROR(SEARCH("P",U642)))</formula>
    </cfRule>
  </conditionalFormatting>
  <conditionalFormatting sqref="U664">
    <cfRule type="containsText" dxfId="238" priority="987" operator="containsText" text="ABWI">
      <formula>NOT(ISERROR(SEARCH("ABWI",U664)))</formula>
    </cfRule>
  </conditionalFormatting>
  <conditionalFormatting sqref="U670 U681 U751 U785:U786 U811:U812 U885:U886">
    <cfRule type="containsText" dxfId="237" priority="51" operator="containsText" text="P">
      <formula>NOT(ISERROR(SEARCH("P",U670)))</formula>
    </cfRule>
    <cfRule type="containsText" dxfId="236" priority="47" operator="containsText" text="AB">
      <formula>NOT(ISERROR(SEARCH("AB",U670)))</formula>
    </cfRule>
    <cfRule type="containsText" dxfId="235" priority="49" operator="containsText" text="EL">
      <formula>NOT(ISERROR(SEARCH("EL",U670)))</formula>
    </cfRule>
    <cfRule type="containsText" dxfId="234" priority="50" operator="containsText" text="PL">
      <formula>NOT(ISERROR(SEARCH("PL",U670)))</formula>
    </cfRule>
    <cfRule type="containsText" dxfId="233" priority="48" operator="containsText" text="SL">
      <formula>NOT(ISERROR(SEARCH("SL",U670)))</formula>
    </cfRule>
    <cfRule type="containsText" dxfId="232" priority="46" operator="containsText" text="OFF">
      <formula>NOT(ISERROR(SEARCH("OFF",U670)))</formula>
    </cfRule>
  </conditionalFormatting>
  <conditionalFormatting sqref="U672 U622 U648">
    <cfRule type="containsText" dxfId="231" priority="963" operator="containsText" text="ABWI">
      <formula>NOT(ISERROR(SEARCH("ABWI",U622)))</formula>
    </cfRule>
  </conditionalFormatting>
  <conditionalFormatting sqref="U681 U811:U812 U885:U886 U670 U751 U785:U786">
    <cfRule type="containsText" dxfId="230" priority="45" operator="containsText" text="ABWI">
      <formula>NOT(ISERROR(SEARCH("ABWI",U670)))</formula>
    </cfRule>
  </conditionalFormatting>
  <conditionalFormatting sqref="U681 U811:U817 U885:U886">
    <cfRule type="containsText" dxfId="229" priority="44" operator="containsText" text="Miss SOS">
      <formula>NOT(ISERROR(SEARCH("Miss SOS",U681)))</formula>
    </cfRule>
  </conditionalFormatting>
  <conditionalFormatting sqref="U686 U695">
    <cfRule type="containsText" dxfId="228" priority="642" operator="containsText" text="AB">
      <formula>NOT(ISERROR(SEARCH("AB",U686)))</formula>
    </cfRule>
    <cfRule type="containsText" dxfId="227" priority="643" operator="containsText" text="SL">
      <formula>NOT(ISERROR(SEARCH("SL",U686)))</formula>
    </cfRule>
    <cfRule type="containsText" dxfId="226" priority="645" operator="containsText" text="PL">
      <formula>NOT(ISERROR(SEARCH("PL",U686)))</formula>
    </cfRule>
    <cfRule type="containsText" dxfId="225" priority="641" operator="containsText" text="OFF">
      <formula>NOT(ISERROR(SEARCH("OFF",U686)))</formula>
    </cfRule>
    <cfRule type="containsText" dxfId="224" priority="644" operator="containsText" text="EL">
      <formula>NOT(ISERROR(SEARCH("EL",U686)))</formula>
    </cfRule>
    <cfRule type="containsText" dxfId="223" priority="646" operator="containsText" text="P">
      <formula>NOT(ISERROR(SEARCH("P",U686)))</formula>
    </cfRule>
  </conditionalFormatting>
  <conditionalFormatting sqref="U686">
    <cfRule type="containsText" dxfId="222" priority="640" operator="containsText" text="ABWI">
      <formula>NOT(ISERROR(SEARCH("ABWI",U686)))</formula>
    </cfRule>
  </conditionalFormatting>
  <conditionalFormatting sqref="U686:U688 U695:U696 U93 U168:U169 U475:U476 U523:U524 U535:U538 U693 U1400 U751:U753 U558 U664 U726 U748 U1077:U1079 U1199">
    <cfRule type="containsText" dxfId="221" priority="664" operator="containsText" text="ABWI">
      <formula>NOT(ISERROR(SEARCH("ABWI",U93)))</formula>
    </cfRule>
  </conditionalFormatting>
  <conditionalFormatting sqref="U686:U690 U942 U993">
    <cfRule type="containsText" dxfId="220" priority="1823" operator="containsText" text="ABWI">
      <formula>NOT(ISERROR(SEARCH("ABWI",U686)))</formula>
    </cfRule>
    <cfRule type="containsText" dxfId="219" priority="1827" operator="containsText" text="EL">
      <formula>NOT(ISERROR(SEARCH("EL",U686)))</formula>
    </cfRule>
    <cfRule type="containsText" dxfId="218" priority="1824" operator="containsText" text="OFF">
      <formula>NOT(ISERROR(SEARCH("OFF",U686)))</formula>
    </cfRule>
    <cfRule type="containsText" dxfId="217" priority="1825" operator="containsText" text="AB">
      <formula>NOT(ISERROR(SEARCH("AB",U686)))</formula>
    </cfRule>
    <cfRule type="containsText" dxfId="216" priority="1826" operator="containsText" text="SL">
      <formula>NOT(ISERROR(SEARCH("SL",U686)))</formula>
    </cfRule>
    <cfRule type="containsText" dxfId="215" priority="1829" operator="containsText" text="P">
      <formula>NOT(ISERROR(SEARCH("P",U686)))</formula>
    </cfRule>
    <cfRule type="containsText" dxfId="214" priority="1828" operator="containsText" text="PL">
      <formula>NOT(ISERROR(SEARCH("PL",U686)))</formula>
    </cfRule>
  </conditionalFormatting>
  <conditionalFormatting sqref="U688 U693">
    <cfRule type="containsText" dxfId="213" priority="624" operator="containsText" text="P">
      <formula>NOT(ISERROR(SEARCH("P",U688)))</formula>
    </cfRule>
    <cfRule type="containsText" dxfId="212" priority="623" operator="containsText" text="PL">
      <formula>NOT(ISERROR(SEARCH("PL",U688)))</formula>
    </cfRule>
    <cfRule type="containsText" dxfId="211" priority="622" operator="containsText" text="EL">
      <formula>NOT(ISERROR(SEARCH("EL",U688)))</formula>
    </cfRule>
    <cfRule type="containsText" dxfId="210" priority="621" operator="containsText" text="SL">
      <formula>NOT(ISERROR(SEARCH("SL",U688)))</formula>
    </cfRule>
    <cfRule type="containsText" dxfId="209" priority="620" operator="containsText" text="AB">
      <formula>NOT(ISERROR(SEARCH("AB",U688)))</formula>
    </cfRule>
    <cfRule type="containsText" dxfId="208" priority="619" operator="containsText" text="OFF">
      <formula>NOT(ISERROR(SEARCH("OFF",U688)))</formula>
    </cfRule>
  </conditionalFormatting>
  <conditionalFormatting sqref="U693 U688">
    <cfRule type="containsText" dxfId="207" priority="618" operator="containsText" text="ABWI">
      <formula>NOT(ISERROR(SEARCH("ABWI",U688)))</formula>
    </cfRule>
  </conditionalFormatting>
  <conditionalFormatting sqref="U695:U696">
    <cfRule type="containsText" dxfId="206" priority="962" operator="containsText" text="ABWI">
      <formula>NOT(ISERROR(SEARCH("ABWI",U695)))</formula>
    </cfRule>
  </conditionalFormatting>
  <conditionalFormatting sqref="U706:U707 U1049:U1050">
    <cfRule type="containsText" dxfId="205" priority="638" operator="containsText" text="ABWI">
      <formula>NOT(ISERROR(SEARCH("ABWI",U706)))</formula>
    </cfRule>
  </conditionalFormatting>
  <conditionalFormatting sqref="U707 U819 U1049:U1050 U1045 U1149">
    <cfRule type="containsText" dxfId="204" priority="637" operator="containsText" text="Miss SOS">
      <formula>NOT(ISERROR(SEARCH("Miss SOS",U707)))</formula>
    </cfRule>
  </conditionalFormatting>
  <conditionalFormatting sqref="U721 U819 U849 U71 U786 U889:U890 U93 U695">
    <cfRule type="containsText" dxfId="203" priority="332" operator="containsText" text="ABWI">
      <formula>NOT(ISERROR(SEARCH("ABWI",U71)))</formula>
    </cfRule>
  </conditionalFormatting>
  <conditionalFormatting sqref="U722:U733 U468:U475 U523 U537 U1078 U1199:U1205 U819 U1045 U1084 U1147:U1149 U707:U709 U1049:U1058 U850:U869 U1039 U494 U545 U825 U1187 U1138 U249 U320:U328 U479 U1225">
    <cfRule type="containsText" dxfId="202" priority="671" operator="containsText" text="Miss SOS">
      <formula>NOT(ISERROR(SEARCH("Miss SOS",U249)))</formula>
    </cfRule>
  </conditionalFormatting>
  <conditionalFormatting sqref="U727:U728">
    <cfRule type="containsText" dxfId="201" priority="3139" operator="containsText" text="ABWI">
      <formula>NOT(ISERROR(SEARCH("ABWI",U727)))</formula>
    </cfRule>
    <cfRule type="containsText" dxfId="200" priority="3140" operator="containsText" text="OFF">
      <formula>NOT(ISERROR(SEARCH("OFF",U727)))</formula>
    </cfRule>
    <cfRule type="containsText" dxfId="199" priority="3141" operator="containsText" text="AB">
      <formula>NOT(ISERROR(SEARCH("AB",U727)))</formula>
    </cfRule>
    <cfRule type="containsText" dxfId="198" priority="3142" operator="containsText" text="SL">
      <formula>NOT(ISERROR(SEARCH("SL",U727)))</formula>
    </cfRule>
    <cfRule type="containsText" dxfId="197" priority="3143" operator="containsText" text="EL">
      <formula>NOT(ISERROR(SEARCH("EL",U727)))</formula>
    </cfRule>
    <cfRule type="containsText" dxfId="196" priority="3144" operator="containsText" text="PL">
      <formula>NOT(ISERROR(SEARCH("PL",U727)))</formula>
    </cfRule>
    <cfRule type="containsText" dxfId="195" priority="3145" operator="containsText" text="P">
      <formula>NOT(ISERROR(SEARCH("P",U727)))</formula>
    </cfRule>
  </conditionalFormatting>
  <conditionalFormatting sqref="U758:U759 U783 U791:U795">
    <cfRule type="containsText" dxfId="194" priority="1235" operator="containsText" text="ABWI">
      <formula>NOT(ISERROR(SEARCH("ABWI",U758)))</formula>
    </cfRule>
  </conditionalFormatting>
  <conditionalFormatting sqref="U759 U783 U792">
    <cfRule type="containsText" dxfId="193" priority="1234" operator="containsText" text="P">
      <formula>NOT(ISERROR(SEARCH("P",U759)))</formula>
    </cfRule>
    <cfRule type="containsText" dxfId="192" priority="1233" operator="containsText" text="PL">
      <formula>NOT(ISERROR(SEARCH("PL",U759)))</formula>
    </cfRule>
    <cfRule type="containsText" dxfId="191" priority="1232" operator="containsText" text="EL">
      <formula>NOT(ISERROR(SEARCH("EL",U759)))</formula>
    </cfRule>
    <cfRule type="containsText" dxfId="190" priority="1230" operator="containsText" text="AB">
      <formula>NOT(ISERROR(SEARCH("AB",U759)))</formula>
    </cfRule>
    <cfRule type="containsText" dxfId="189" priority="1231" operator="containsText" text="SL">
      <formula>NOT(ISERROR(SEARCH("SL",U759)))</formula>
    </cfRule>
  </conditionalFormatting>
  <conditionalFormatting sqref="U759 U792 U783">
    <cfRule type="containsText" dxfId="188" priority="1229" operator="containsText" text="OFF">
      <formula>NOT(ISERROR(SEARCH("OFF",U759)))</formula>
    </cfRule>
  </conditionalFormatting>
  <conditionalFormatting sqref="U774 U880 U891 U171:U172 U1048 U1051 U913:U915">
    <cfRule type="containsText" dxfId="187" priority="1816" operator="containsText" text="ABWI">
      <formula>NOT(ISERROR(SEARCH("ABWI",U171)))</formula>
    </cfRule>
  </conditionalFormatting>
  <conditionalFormatting sqref="U780:U783 U809:U810 U988 U991">
    <cfRule type="containsText" dxfId="186" priority="87" operator="containsText" text="ABWI">
      <formula>NOT(ISERROR(SEARCH("ABWI",U780)))</formula>
    </cfRule>
  </conditionalFormatting>
  <conditionalFormatting sqref="U791:U792">
    <cfRule type="containsText" dxfId="185" priority="608" operator="containsText" text="ABWI">
      <formula>NOT(ISERROR(SEARCH("ABWI",U791)))</formula>
    </cfRule>
  </conditionalFormatting>
  <conditionalFormatting sqref="U792:U794 U1376:U1395 U781:U782 U1344:U1354 U96 U102 U134 U169 U201:U217 U224:U247 U258 U264 U267 U271 U278 U305 U374:U380 U420 U426:U427 U475 U487 U523 U535 U537 U617 U623 U635 U653 U663 U704 U734 U747 U765">
    <cfRule type="containsText" dxfId="184" priority="628" operator="containsText" text="Miss SOS">
      <formula>NOT(ISERROR(SEARCH("Miss SOS",U96)))</formula>
    </cfRule>
  </conditionalFormatting>
  <conditionalFormatting sqref="U807:U808 U642:U643 U1119:U1120">
    <cfRule type="containsText" dxfId="183" priority="2272" operator="containsText" text="ABWI">
      <formula>NOT(ISERROR(SEARCH("ABWI",U642)))</formula>
    </cfRule>
  </conditionalFormatting>
  <conditionalFormatting sqref="U809 U988 U991">
    <cfRule type="containsText" dxfId="182" priority="82" operator="containsText" text="SL">
      <formula>NOT(ISERROR(SEARCH("SL",U809)))</formula>
    </cfRule>
    <cfRule type="containsText" dxfId="181" priority="81" operator="containsText" text="AB">
      <formula>NOT(ISERROR(SEARCH("AB",U809)))</formula>
    </cfRule>
    <cfRule type="containsText" dxfId="180" priority="80" operator="containsText" text="OFF">
      <formula>NOT(ISERROR(SEARCH("OFF",U809)))</formula>
    </cfRule>
    <cfRule type="containsText" dxfId="179" priority="85" operator="containsText" text="P">
      <formula>NOT(ISERROR(SEARCH("P",U809)))</formula>
    </cfRule>
    <cfRule type="containsText" dxfId="178" priority="79" operator="containsText" text="ABWI">
      <formula>NOT(ISERROR(SEARCH("ABWI",U809)))</formula>
    </cfRule>
    <cfRule type="containsText" dxfId="177" priority="84" operator="containsText" text="PL">
      <formula>NOT(ISERROR(SEARCH("PL",U809)))</formula>
    </cfRule>
    <cfRule type="containsText" dxfId="176" priority="83" operator="containsText" text="EL">
      <formula>NOT(ISERROR(SEARCH("EL",U809)))</formula>
    </cfRule>
  </conditionalFormatting>
  <conditionalFormatting sqref="U809:U810 U780:U782">
    <cfRule type="containsText" dxfId="175" priority="86" operator="containsText" text="Miss SOS">
      <formula>NOT(ISERROR(SEARCH("Miss SOS",U780)))</formula>
    </cfRule>
  </conditionalFormatting>
  <conditionalFormatting sqref="U819 U1045:U1046 U1147:U1150 U1385 U695 U1084 U957:U958 U1012:U1013">
    <cfRule type="containsText" dxfId="174" priority="639" operator="containsText" text="ABWI">
      <formula>NOT(ISERROR(SEARCH("ABWI",U695)))</formula>
    </cfRule>
  </conditionalFormatting>
  <conditionalFormatting sqref="U837">
    <cfRule type="containsText" dxfId="173" priority="607" operator="containsText" text="Miss SOS">
      <formula>NOT(ISERROR(SEARCH("Miss SOS",U837)))</formula>
    </cfRule>
  </conditionalFormatting>
  <conditionalFormatting sqref="U837:U838 U759 U920">
    <cfRule type="containsText" dxfId="172" priority="953" operator="containsText" text="ABWI">
      <formula>NOT(ISERROR(SEARCH("ABWI",U759)))</formula>
    </cfRule>
  </conditionalFormatting>
  <conditionalFormatting sqref="U837:U838">
    <cfRule type="containsText" dxfId="171" priority="606" operator="containsText" text="ABWI">
      <formula>NOT(ISERROR(SEARCH("ABWI",U837)))</formula>
    </cfRule>
  </conditionalFormatting>
  <conditionalFormatting sqref="U838">
    <cfRule type="containsText" dxfId="170" priority="952" operator="containsText" text="P">
      <formula>NOT(ISERROR(SEARCH("P",U838)))</formula>
    </cfRule>
    <cfRule type="containsText" dxfId="169" priority="951" operator="containsText" text="PL">
      <formula>NOT(ISERROR(SEARCH("PL",U838)))</formula>
    </cfRule>
    <cfRule type="containsText" dxfId="168" priority="950" operator="containsText" text="EL">
      <formula>NOT(ISERROR(SEARCH("EL",U838)))</formula>
    </cfRule>
    <cfRule type="containsText" dxfId="167" priority="949" operator="containsText" text="SL">
      <formula>NOT(ISERROR(SEARCH("SL",U838)))</formula>
    </cfRule>
    <cfRule type="containsText" dxfId="166" priority="948" operator="containsText" text="AB">
      <formula>NOT(ISERROR(SEARCH("AB",U838)))</formula>
    </cfRule>
    <cfRule type="containsText" dxfId="165" priority="947" operator="containsText" text="OFF">
      <formula>NOT(ISERROR(SEARCH("OFF",U838)))</formula>
    </cfRule>
  </conditionalFormatting>
  <conditionalFormatting sqref="U840 U850:U852">
    <cfRule type="containsText" dxfId="164" priority="2906" operator="containsText" text="ABWI">
      <formula>NOT(ISERROR(SEARCH("ABWI",U840)))</formula>
    </cfRule>
    <cfRule type="containsText" dxfId="163" priority="2907" operator="containsText" text="OFF">
      <formula>NOT(ISERROR(SEARCH("OFF",U840)))</formula>
    </cfRule>
    <cfRule type="containsText" dxfId="162" priority="2908" operator="containsText" text="AB">
      <formula>NOT(ISERROR(SEARCH("AB",U840)))</formula>
    </cfRule>
    <cfRule type="containsText" dxfId="161" priority="2909" operator="containsText" text="SL">
      <formula>NOT(ISERROR(SEARCH("SL",U840)))</formula>
    </cfRule>
    <cfRule type="containsText" dxfId="160" priority="2910" operator="containsText" text="EL">
      <formula>NOT(ISERROR(SEARCH("EL",U840)))</formula>
    </cfRule>
    <cfRule type="containsText" dxfId="159" priority="2911" operator="containsText" text="PL">
      <formula>NOT(ISERROR(SEARCH("PL",U840)))</formula>
    </cfRule>
    <cfRule type="containsText" dxfId="158" priority="2912" operator="containsText" text="P">
      <formula>NOT(ISERROR(SEARCH("P",U840)))</formula>
    </cfRule>
  </conditionalFormatting>
  <conditionalFormatting sqref="U869:U870 U898:U899 U917:U918 U923 U1039:U1040 U1060:U1061 U1218 U1232:U1233 U1294 U1298">
    <cfRule type="containsText" dxfId="157" priority="360" operator="containsText" text="ABWI">
      <formula>NOT(ISERROR(SEARCH("ABWI",U869)))</formula>
    </cfRule>
  </conditionalFormatting>
  <conditionalFormatting sqref="U889 U942:U944 U963 U978">
    <cfRule type="containsText" dxfId="156" priority="43" operator="containsText" text="P">
      <formula>NOT(ISERROR(SEARCH("P",U889)))</formula>
    </cfRule>
    <cfRule type="containsText" dxfId="155" priority="42" operator="containsText" text="PL">
      <formula>NOT(ISERROR(SEARCH("PL",U889)))</formula>
    </cfRule>
    <cfRule type="containsText" dxfId="154" priority="41" operator="containsText" text="EL">
      <formula>NOT(ISERROR(SEARCH("EL",U889)))</formula>
    </cfRule>
    <cfRule type="containsText" dxfId="153" priority="40" operator="containsText" text="SL">
      <formula>NOT(ISERROR(SEARCH("SL",U889)))</formula>
    </cfRule>
    <cfRule type="containsText" dxfId="152" priority="39" operator="containsText" text="AB">
      <formula>NOT(ISERROR(SEARCH("AB",U889)))</formula>
    </cfRule>
    <cfRule type="containsText" dxfId="151" priority="38" operator="containsText" text="OFF">
      <formula>NOT(ISERROR(SEARCH("OFF",U889)))</formula>
    </cfRule>
  </conditionalFormatting>
  <conditionalFormatting sqref="U889:U890 U944">
    <cfRule type="containsText" dxfId="150" priority="604" operator="containsText" text="P">
      <formula>NOT(ISERROR(SEARCH("P",U889)))</formula>
    </cfRule>
    <cfRule type="containsText" dxfId="149" priority="603" operator="containsText" text="PL">
      <formula>NOT(ISERROR(SEARCH("PL",U889)))</formula>
    </cfRule>
    <cfRule type="containsText" dxfId="148" priority="602" operator="containsText" text="EL">
      <formula>NOT(ISERROR(SEARCH("EL",U889)))</formula>
    </cfRule>
    <cfRule type="containsText" dxfId="147" priority="601" operator="containsText" text="SL">
      <formula>NOT(ISERROR(SEARCH("SL",U889)))</formula>
    </cfRule>
    <cfRule type="containsText" dxfId="146" priority="599" operator="containsText" text="OFF">
      <formula>NOT(ISERROR(SEARCH("OFF",U889)))</formula>
    </cfRule>
    <cfRule type="containsText" dxfId="145" priority="600" operator="containsText" text="AB">
      <formula>NOT(ISERROR(SEARCH("AB",U889)))</formula>
    </cfRule>
    <cfRule type="containsText" dxfId="144" priority="605" operator="containsText" text="ABWI">
      <formula>NOT(ISERROR(SEARCH("ABWI",U889)))</formula>
    </cfRule>
  </conditionalFormatting>
  <conditionalFormatting sqref="U893">
    <cfRule type="containsText" dxfId="143" priority="1249" operator="containsText" text="ABWI">
      <formula>NOT(ISERROR(SEARCH("ABWI",U893)))</formula>
    </cfRule>
    <cfRule type="containsText" dxfId="142" priority="1244" operator="containsText" text="AB">
      <formula>NOT(ISERROR(SEARCH("AB",U893)))</formula>
    </cfRule>
    <cfRule type="containsText" dxfId="141" priority="1247" operator="containsText" text="PL">
      <formula>NOT(ISERROR(SEARCH("PL",U893)))</formula>
    </cfRule>
    <cfRule type="containsText" dxfId="140" priority="1246" operator="containsText" text="EL">
      <formula>NOT(ISERROR(SEARCH("EL",U893)))</formula>
    </cfRule>
    <cfRule type="containsText" dxfId="139" priority="1248" operator="containsText" text="P">
      <formula>NOT(ISERROR(SEARCH("P",U893)))</formula>
    </cfRule>
    <cfRule type="containsText" dxfId="138" priority="1245" operator="containsText" text="SL">
      <formula>NOT(ISERROR(SEARCH("SL",U893)))</formula>
    </cfRule>
    <cfRule type="containsText" dxfId="137" priority="1243" operator="containsText" text="OFF">
      <formula>NOT(ISERROR(SEARCH("OFF",U893)))</formula>
    </cfRule>
  </conditionalFormatting>
  <conditionalFormatting sqref="U898 U909:U918 U923 U1232:U1239 U1060 U1218 U869 U1039 U1294:U1295 U1298">
    <cfRule type="containsText" dxfId="136" priority="359" operator="containsText" text="Miss SOS">
      <formula>NOT(ISERROR(SEARCH("Miss SOS",U869)))</formula>
    </cfRule>
  </conditionalFormatting>
  <conditionalFormatting sqref="U898 U918 U923 U1232">
    <cfRule type="containsText" dxfId="135" priority="357" operator="containsText" text="PL">
      <formula>NOT(ISERROR(SEARCH("PL",U898)))</formula>
    </cfRule>
    <cfRule type="containsText" dxfId="134" priority="358" operator="containsText" text="P">
      <formula>NOT(ISERROR(SEARCH("P",U898)))</formula>
    </cfRule>
    <cfRule type="containsText" dxfId="133" priority="356" operator="containsText" text="EL">
      <formula>NOT(ISERROR(SEARCH("EL",U898)))</formula>
    </cfRule>
    <cfRule type="containsText" dxfId="132" priority="355" operator="containsText" text="SL">
      <formula>NOT(ISERROR(SEARCH("SL",U898)))</formula>
    </cfRule>
    <cfRule type="containsText" dxfId="131" priority="354" operator="containsText" text="AB">
      <formula>NOT(ISERROR(SEARCH("AB",U898)))</formula>
    </cfRule>
    <cfRule type="containsText" dxfId="130" priority="353" operator="containsText" text="OFF">
      <formula>NOT(ISERROR(SEARCH("OFF",U898)))</formula>
    </cfRule>
  </conditionalFormatting>
  <conditionalFormatting sqref="U919:U920 U992:U993 U1007:U1008 U1012:U1013 U1034 U1074:U1075">
    <cfRule type="containsText" dxfId="129" priority="1228" operator="containsText" text="ABWI">
      <formula>NOT(ISERROR(SEARCH("ABWI",U919)))</formula>
    </cfRule>
  </conditionalFormatting>
  <conditionalFormatting sqref="U920 U993 U1008 U1013 U1031 U1033:U1034 U1075">
    <cfRule type="containsText" dxfId="128" priority="1227" operator="containsText" text="P">
      <formula>NOT(ISERROR(SEARCH("P",U920)))</formula>
    </cfRule>
    <cfRule type="containsText" dxfId="127" priority="1226" operator="containsText" text="PL">
      <formula>NOT(ISERROR(SEARCH("PL",U920)))</formula>
    </cfRule>
    <cfRule type="containsText" dxfId="126" priority="1225" operator="containsText" text="EL">
      <formula>NOT(ISERROR(SEARCH("EL",U920)))</formula>
    </cfRule>
    <cfRule type="containsText" dxfId="125" priority="1224" operator="containsText" text="SL">
      <formula>NOT(ISERROR(SEARCH("SL",U920)))</formula>
    </cfRule>
  </conditionalFormatting>
  <conditionalFormatting sqref="U920 U993 U1008 U1013 U1033:U1034 U1075 U1031">
    <cfRule type="containsText" dxfId="124" priority="1223" operator="containsText" text="AB">
      <formula>NOT(ISERROR(SEARCH("AB",U920)))</formula>
    </cfRule>
  </conditionalFormatting>
  <conditionalFormatting sqref="U920 U1013 U993 U1008 U1075 U1034">
    <cfRule type="containsText" dxfId="123" priority="1222" operator="containsText" text="OFF">
      <formula>NOT(ISERROR(SEARCH("OFF",U920)))</formula>
    </cfRule>
  </conditionalFormatting>
  <conditionalFormatting sqref="U958">
    <cfRule type="containsText" dxfId="122" priority="978" operator="containsText" text="PL">
      <formula>NOT(ISERROR(SEARCH("PL",U958)))</formula>
    </cfRule>
    <cfRule type="containsText" dxfId="121" priority="979" operator="containsText" text="P">
      <formula>NOT(ISERROR(SEARCH("P",U958)))</formula>
    </cfRule>
    <cfRule type="containsText" dxfId="120" priority="976" operator="containsText" text="SL">
      <formula>NOT(ISERROR(SEARCH("SL",U958)))</formula>
    </cfRule>
    <cfRule type="containsText" dxfId="119" priority="975" operator="containsText" text="AB">
      <formula>NOT(ISERROR(SEARCH("AB",U958)))</formula>
    </cfRule>
    <cfRule type="containsText" dxfId="118" priority="974" operator="containsText" text="OFF">
      <formula>NOT(ISERROR(SEARCH("OFF",U958)))</formula>
    </cfRule>
    <cfRule type="containsText" dxfId="117" priority="977" operator="containsText" text="EL">
      <formula>NOT(ISERROR(SEARCH("EL",U958)))</formula>
    </cfRule>
  </conditionalFormatting>
  <conditionalFormatting sqref="U991 U1144 U1300 U1355 U1364 U1404 U1049 U1123:U1124 U1383 U993 U1313">
    <cfRule type="containsText" dxfId="116" priority="330" operator="containsText" text="ABWI">
      <formula>NOT(ISERROR(SEARCH("ABWI",U991)))</formula>
    </cfRule>
  </conditionalFormatting>
  <conditionalFormatting sqref="U991 U1144 U1300 U1355 U1364 U1404">
    <cfRule type="containsText" dxfId="115" priority="328" operator="containsText" text="PL">
      <formula>NOT(ISERROR(SEARCH("PL",U991)))</formula>
    </cfRule>
    <cfRule type="containsText" dxfId="114" priority="327" operator="containsText" text="EL">
      <formula>NOT(ISERROR(SEARCH("EL",U991)))</formula>
    </cfRule>
    <cfRule type="containsText" dxfId="113" priority="326" operator="containsText" text="SL">
      <formula>NOT(ISERROR(SEARCH("SL",U991)))</formula>
    </cfRule>
    <cfRule type="containsText" dxfId="112" priority="325" operator="containsText" text="AB">
      <formula>NOT(ISERROR(SEARCH("AB",U991)))</formula>
    </cfRule>
    <cfRule type="containsText" dxfId="111" priority="329" operator="containsText" text="P">
      <formula>NOT(ISERROR(SEARCH("P",U991)))</formula>
    </cfRule>
  </conditionalFormatting>
  <conditionalFormatting sqref="U1006">
    <cfRule type="containsText" dxfId="110" priority="36" operator="containsText" text="Miss SOS">
      <formula>NOT(ISERROR(SEARCH("Miss SOS",U1006)))</formula>
    </cfRule>
  </conditionalFormatting>
  <conditionalFormatting sqref="U1006:U1008 U889 U942:U944 U963 U978">
    <cfRule type="containsText" dxfId="109" priority="37" operator="containsText" text="ABWI">
      <formula>NOT(ISERROR(SEARCH("ABWI",U889)))</formula>
    </cfRule>
  </conditionalFormatting>
  <conditionalFormatting sqref="U1032:U1033">
    <cfRule type="containsText" dxfId="108" priority="97" operator="containsText" text="Miss SOS">
      <formula>NOT(ISERROR(SEARCH("Miss SOS",U1032)))</formula>
    </cfRule>
  </conditionalFormatting>
  <conditionalFormatting sqref="U1043 U1085 U1157 U1316 U1378">
    <cfRule type="containsText" dxfId="107" priority="2903" operator="containsText" text="EL">
      <formula>NOT(ISERROR(SEARCH("EL",U1043)))</formula>
    </cfRule>
    <cfRule type="containsText" dxfId="106" priority="2902" operator="containsText" text="SL">
      <formula>NOT(ISERROR(SEARCH("SL",U1043)))</formula>
    </cfRule>
    <cfRule type="containsText" dxfId="105" priority="2905" operator="containsText" text="P">
      <formula>NOT(ISERROR(SEARCH("P",U1043)))</formula>
    </cfRule>
    <cfRule type="containsText" dxfId="104" priority="2904" operator="containsText" text="PL">
      <formula>NOT(ISERROR(SEARCH("PL",U1043)))</formula>
    </cfRule>
    <cfRule type="containsText" dxfId="103" priority="2900" operator="containsText" text="OFF">
      <formula>NOT(ISERROR(SEARCH("OFF",U1043)))</formula>
    </cfRule>
    <cfRule type="containsText" dxfId="102" priority="2901" operator="containsText" text="AB">
      <formula>NOT(ISERROR(SEARCH("AB",U1043)))</formula>
    </cfRule>
  </conditionalFormatting>
  <conditionalFormatting sqref="U1043 U1157 U1316 U1085 U1378">
    <cfRule type="containsText" dxfId="101" priority="2899" operator="containsText" text="ABWI">
      <formula>NOT(ISERROR(SEARCH("ABWI",U1043)))</formula>
    </cfRule>
  </conditionalFormatting>
  <conditionalFormatting sqref="U1044:U1046 U1149:U1150 U1084:U1085 U1103:U1104 U1266">
    <cfRule type="containsText" dxfId="100" priority="944" operator="containsText" text="ABWI">
      <formula>NOT(ISERROR(SEARCH("ABWI",U1044)))</formula>
    </cfRule>
  </conditionalFormatting>
  <conditionalFormatting sqref="U1045 U1049 U1084 U1103 U1123 U1144 U1147 U1149 U1228 U1383 U1385">
    <cfRule type="containsText" dxfId="99" priority="322" operator="containsText" text="Miss SOS">
      <formula>NOT(ISERROR(SEARCH("Miss SOS",U1045)))</formula>
    </cfRule>
  </conditionalFormatting>
  <conditionalFormatting sqref="U1045 U1144 U1147 U1149 U1404 U1355 U1364 U1300">
    <cfRule type="containsText" dxfId="98" priority="323" operator="containsText" text="ABWI">
      <formula>NOT(ISERROR(SEARCH("ABWI",U1045)))</formula>
    </cfRule>
  </conditionalFormatting>
  <conditionalFormatting sqref="U1046 U1150">
    <cfRule type="containsText" dxfId="97" priority="938" operator="containsText" text="OFF">
      <formula>NOT(ISERROR(SEARCH("OFF",U1046)))</formula>
    </cfRule>
    <cfRule type="containsText" dxfId="96" priority="939" operator="containsText" text="AB">
      <formula>NOT(ISERROR(SEARCH("AB",U1046)))</formula>
    </cfRule>
    <cfRule type="containsText" dxfId="95" priority="943" operator="containsText" text="P">
      <formula>NOT(ISERROR(SEARCH("P",U1046)))</formula>
    </cfRule>
    <cfRule type="containsText" dxfId="94" priority="942" operator="containsText" text="PL">
      <formula>NOT(ISERROR(SEARCH("PL",U1046)))</formula>
    </cfRule>
    <cfRule type="containsText" dxfId="93" priority="941" operator="containsText" text="EL">
      <formula>NOT(ISERROR(SEARCH("EL",U1046)))</formula>
    </cfRule>
    <cfRule type="containsText" dxfId="92" priority="940" operator="containsText" text="SL">
      <formula>NOT(ISERROR(SEARCH("SL",U1046)))</formula>
    </cfRule>
  </conditionalFormatting>
  <conditionalFormatting sqref="U1058">
    <cfRule type="containsText" dxfId="91" priority="3158" operator="containsText" text="PL">
      <formula>NOT(ISERROR(SEARCH("PL",U1058)))</formula>
    </cfRule>
    <cfRule type="containsText" dxfId="90" priority="3153" operator="containsText" text="ABWI">
      <formula>NOT(ISERROR(SEARCH("ABWI",U1058)))</formula>
    </cfRule>
    <cfRule type="containsText" dxfId="89" priority="3156" operator="containsText" text="SL">
      <formula>NOT(ISERROR(SEARCH("SL",U1058)))</formula>
    </cfRule>
    <cfRule type="containsText" dxfId="88" priority="3154" operator="containsText" text="OFF">
      <formula>NOT(ISERROR(SEARCH("OFF",U1058)))</formula>
    </cfRule>
    <cfRule type="containsText" dxfId="87" priority="3155" operator="containsText" text="AB">
      <formula>NOT(ISERROR(SEARCH("AB",U1058)))</formula>
    </cfRule>
    <cfRule type="containsText" dxfId="86" priority="3157" operator="containsText" text="EL">
      <formula>NOT(ISERROR(SEARCH("EL",U1058)))</formula>
    </cfRule>
    <cfRule type="containsText" dxfId="85" priority="3159" operator="containsText" text="P">
      <formula>NOT(ISERROR(SEARCH("P",U1058)))</formula>
    </cfRule>
  </conditionalFormatting>
  <conditionalFormatting sqref="U1062:U1076">
    <cfRule type="containsText" dxfId="84" priority="3" operator="containsText" text="Miss SOS">
      <formula>NOT(ISERROR(SEARCH("Miss SOS",U1062)))</formula>
    </cfRule>
  </conditionalFormatting>
  <conditionalFormatting sqref="U1095 U1107:U1108 U1137">
    <cfRule type="containsText" dxfId="83" priority="32" operator="containsText" text="SL">
      <formula>NOT(ISERROR(SEARCH("SL",U1095)))</formula>
    </cfRule>
    <cfRule type="containsText" dxfId="82" priority="33" operator="containsText" text="EL">
      <formula>NOT(ISERROR(SEARCH("EL",U1095)))</formula>
    </cfRule>
    <cfRule type="containsText" dxfId="81" priority="34" operator="containsText" text="PL">
      <formula>NOT(ISERROR(SEARCH("PL",U1095)))</formula>
    </cfRule>
    <cfRule type="containsText" dxfId="80" priority="35" operator="containsText" text="P">
      <formula>NOT(ISERROR(SEARCH("P",U1095)))</formula>
    </cfRule>
    <cfRule type="containsText" dxfId="79" priority="31" operator="containsText" text="AB">
      <formula>NOT(ISERROR(SEARCH("AB",U1095)))</formula>
    </cfRule>
    <cfRule type="containsText" dxfId="78" priority="30" operator="containsText" text="OFF">
      <formula>NOT(ISERROR(SEARCH("OFF",U1095)))</formula>
    </cfRule>
  </conditionalFormatting>
  <conditionalFormatting sqref="U1095 U1107:U1108 U1137:U1139">
    <cfRule type="containsText" dxfId="77" priority="29" operator="containsText" text="ABWI">
      <formula>NOT(ISERROR(SEARCH("ABWI",U1095)))</formula>
    </cfRule>
  </conditionalFormatting>
  <conditionalFormatting sqref="U1095:U1098 U1107">
    <cfRule type="containsText" dxfId="76" priority="28" operator="containsText" text="Miss SOS">
      <formula>NOT(ISERROR(SEARCH("Miss SOS",U1095)))</formula>
    </cfRule>
  </conditionalFormatting>
  <conditionalFormatting sqref="U1096:U1099">
    <cfRule type="containsText" dxfId="75" priority="78" operator="containsText" text="ABWI">
      <formula>NOT(ISERROR(SEARCH("ABWI",U1096)))</formula>
    </cfRule>
  </conditionalFormatting>
  <conditionalFormatting sqref="U1097">
    <cfRule type="containsText" dxfId="74" priority="73" operator="containsText" text="AB">
      <formula>NOT(ISERROR(SEARCH("AB",U1097)))</formula>
    </cfRule>
    <cfRule type="containsText" dxfId="73" priority="76" operator="containsText" text="PL">
      <formula>NOT(ISERROR(SEARCH("PL",U1097)))</formula>
    </cfRule>
    <cfRule type="containsText" dxfId="72" priority="72" operator="containsText" text="OFF">
      <formula>NOT(ISERROR(SEARCH("OFF",U1097)))</formula>
    </cfRule>
    <cfRule type="containsText" dxfId="71" priority="77" operator="containsText" text="P">
      <formula>NOT(ISERROR(SEARCH("P",U1097)))</formula>
    </cfRule>
    <cfRule type="containsText" dxfId="70" priority="71" operator="containsText" text="ABWI">
      <formula>NOT(ISERROR(SEARCH("ABWI",U1097)))</formula>
    </cfRule>
    <cfRule type="containsText" dxfId="69" priority="74" operator="containsText" text="SL">
      <formula>NOT(ISERROR(SEARCH("SL",U1097)))</formula>
    </cfRule>
    <cfRule type="containsText" dxfId="68" priority="75" operator="containsText" text="EL">
      <formula>NOT(ISERROR(SEARCH("EL",U1097)))</formula>
    </cfRule>
  </conditionalFormatting>
  <conditionalFormatting sqref="U1099 U1191:U1192">
    <cfRule type="containsText" dxfId="67" priority="1270" operator="containsText" text="PL">
      <formula>NOT(ISERROR(SEARCH("PL",U1099)))</formula>
    </cfRule>
    <cfRule type="containsText" dxfId="66" priority="1269" operator="containsText" text="EL">
      <formula>NOT(ISERROR(SEARCH("EL",U1099)))</formula>
    </cfRule>
    <cfRule type="containsText" dxfId="65" priority="1268" operator="containsText" text="SL">
      <formula>NOT(ISERROR(SEARCH("SL",U1099)))</formula>
    </cfRule>
    <cfRule type="containsText" dxfId="64" priority="1267" operator="containsText" text="AB">
      <formula>NOT(ISERROR(SEARCH("AB",U1099)))</formula>
    </cfRule>
    <cfRule type="containsText" dxfId="63" priority="1271" operator="containsText" text="P">
      <formula>NOT(ISERROR(SEARCH("P",U1099)))</formula>
    </cfRule>
  </conditionalFormatting>
  <conditionalFormatting sqref="U1103 U1108:U1123">
    <cfRule type="containsText" dxfId="62" priority="596" operator="containsText" text="Miss SOS">
      <formula>NOT(ISERROR(SEARCH("Miss SOS",U1103)))</formula>
    </cfRule>
  </conditionalFormatting>
  <conditionalFormatting sqref="U1103">
    <cfRule type="containsText" dxfId="61" priority="595" operator="containsText" text="ABWI">
      <formula>NOT(ISERROR(SEARCH("ABWI",U1103)))</formula>
    </cfRule>
  </conditionalFormatting>
  <conditionalFormatting sqref="U1108">
    <cfRule type="containsText" dxfId="60" priority="594" operator="containsText" text="ABWI">
      <formula>NOT(ISERROR(SEARCH("ABWI",U1108)))</formula>
    </cfRule>
  </conditionalFormatting>
  <conditionalFormatting sqref="U1133:U1139">
    <cfRule type="containsText" dxfId="59" priority="1" operator="containsText" text="Miss SOS">
      <formula>NOT(ISERROR(SEARCH("Miss SOS",U1133)))</formula>
    </cfRule>
  </conditionalFormatting>
  <conditionalFormatting sqref="U1138:U1139 U1215:U1216 U1219:U1220 U1265:U1266">
    <cfRule type="containsText" dxfId="58" priority="1215" operator="containsText" text="ABWI">
      <formula>NOT(ISERROR(SEARCH("ABWI",U1138)))</formula>
    </cfRule>
  </conditionalFormatting>
  <conditionalFormatting sqref="U1139 U1216 U1219:U1220 U1266">
    <cfRule type="containsText" dxfId="57" priority="1216" operator="containsText" text="OFF">
      <formula>NOT(ISERROR(SEARCH("OFF",U1139)))</formula>
    </cfRule>
    <cfRule type="containsText" dxfId="56" priority="1217" operator="containsText" text="AB">
      <formula>NOT(ISERROR(SEARCH("AB",U1139)))</formula>
    </cfRule>
    <cfRule type="containsText" dxfId="55" priority="1218" operator="containsText" text="SL">
      <formula>NOT(ISERROR(SEARCH("SL",U1139)))</formula>
    </cfRule>
    <cfRule type="containsText" dxfId="54" priority="1219" operator="containsText" text="EL">
      <formula>NOT(ISERROR(SEARCH("EL",U1139)))</formula>
    </cfRule>
    <cfRule type="containsText" dxfId="53" priority="1220" operator="containsText" text="PL">
      <formula>NOT(ISERROR(SEARCH("PL",U1139)))</formula>
    </cfRule>
    <cfRule type="containsText" dxfId="52" priority="1221" operator="containsText" text="P">
      <formula>NOT(ISERROR(SEARCH("P",U1139)))</formula>
    </cfRule>
  </conditionalFormatting>
  <conditionalFormatting sqref="U1139 U1216 U1220 U1266 U1296:U1298 U1383:U1384">
    <cfRule type="containsText" dxfId="51" priority="1209" operator="containsText" text="OFF">
      <formula>NOT(ISERROR(SEARCH("OFF",U1139)))</formula>
    </cfRule>
    <cfRule type="containsText" dxfId="50" priority="1210" operator="containsText" text="AB">
      <formula>NOT(ISERROR(SEARCH("AB",U1139)))</formula>
    </cfRule>
    <cfRule type="containsText" dxfId="49" priority="1211" operator="containsText" text="SL">
      <formula>NOT(ISERROR(SEARCH("SL",U1139)))</formula>
    </cfRule>
    <cfRule type="containsText" dxfId="48" priority="1212" operator="containsText" text="EL">
      <formula>NOT(ISERROR(SEARCH("EL",U1139)))</formula>
    </cfRule>
    <cfRule type="containsText" dxfId="47" priority="1213" operator="containsText" text="PL">
      <formula>NOT(ISERROR(SEARCH("PL",U1139)))</formula>
    </cfRule>
    <cfRule type="containsText" dxfId="46" priority="1214" operator="containsText" text="P">
      <formula>NOT(ISERROR(SEARCH("P",U1139)))</formula>
    </cfRule>
  </conditionalFormatting>
  <conditionalFormatting sqref="U1139 U1220 U1266 U1296:U1298 U1383:U1385 U1225 U1216">
    <cfRule type="containsText" dxfId="45" priority="1207" operator="containsText" text="ABWI">
      <formula>NOT(ISERROR(SEARCH("ABWI",U1139)))</formula>
    </cfRule>
  </conditionalFormatting>
  <conditionalFormatting sqref="U1139 U1220 U1266 U1297:U1298 U1384">
    <cfRule type="containsText" dxfId="44" priority="1203" operator="containsText" text="SL">
      <formula>NOT(ISERROR(SEARCH("SL",U1139)))</formula>
    </cfRule>
    <cfRule type="containsText" dxfId="43" priority="1204" operator="containsText" text="EL">
      <formula>NOT(ISERROR(SEARCH("EL",U1139)))</formula>
    </cfRule>
    <cfRule type="containsText" dxfId="42" priority="1206" operator="containsText" text="P">
      <formula>NOT(ISERROR(SEARCH("P",U1139)))</formula>
    </cfRule>
    <cfRule type="containsText" dxfId="41" priority="1205" operator="containsText" text="PL">
      <formula>NOT(ISERROR(SEARCH("PL",U1139)))</formula>
    </cfRule>
    <cfRule type="containsText" dxfId="40" priority="1202" operator="containsText" text="AB">
      <formula>NOT(ISERROR(SEARCH("AB",U1139)))</formula>
    </cfRule>
  </conditionalFormatting>
  <conditionalFormatting sqref="U1144 U1300 U1355 U1364 U1404 U991">
    <cfRule type="containsText" dxfId="39" priority="324" operator="containsText" text="OFF">
      <formula>NOT(ISERROR(SEARCH("OFF",U991)))</formula>
    </cfRule>
  </conditionalFormatting>
  <conditionalFormatting sqref="U1145:U1146">
    <cfRule type="containsText" dxfId="38" priority="969" operator="containsText" text="SL">
      <formula>NOT(ISERROR(SEARCH("SL",U1145)))</formula>
    </cfRule>
    <cfRule type="containsText" dxfId="37" priority="972" operator="containsText" text="P">
      <formula>NOT(ISERROR(SEARCH("P",U1145)))</formula>
    </cfRule>
    <cfRule type="containsText" dxfId="36" priority="971" operator="containsText" text="PL">
      <formula>NOT(ISERROR(SEARCH("PL",U1145)))</formula>
    </cfRule>
    <cfRule type="containsText" dxfId="35" priority="967" operator="containsText" text="OFF">
      <formula>NOT(ISERROR(SEARCH("OFF",U1145)))</formula>
    </cfRule>
    <cfRule type="containsText" dxfId="34" priority="970" operator="containsText" text="EL">
      <formula>NOT(ISERROR(SEARCH("EL",U1145)))</formula>
    </cfRule>
    <cfRule type="containsText" dxfId="33" priority="968" operator="containsText" text="AB">
      <formula>NOT(ISERROR(SEARCH("AB",U1145)))</formula>
    </cfRule>
  </conditionalFormatting>
  <conditionalFormatting sqref="U1145:U1147">
    <cfRule type="containsText" dxfId="32" priority="966" operator="containsText" text="ABWI">
      <formula>NOT(ISERROR(SEARCH("ABWI",U1145)))</formula>
    </cfRule>
  </conditionalFormatting>
  <conditionalFormatting sqref="U1147">
    <cfRule type="containsText" dxfId="31" priority="579" operator="containsText" text="ABWI">
      <formula>NOT(ISERROR(SEARCH("ABWI",U1147)))</formula>
    </cfRule>
    <cfRule type="containsText" dxfId="30" priority="578" operator="containsText" text="Miss SOS">
      <formula>NOT(ISERROR(SEARCH("Miss SOS",U1147)))</formula>
    </cfRule>
  </conditionalFormatting>
  <conditionalFormatting sqref="U1191:U1192 U1099">
    <cfRule type="containsText" dxfId="29" priority="1266" operator="containsText" text="OFF">
      <formula>NOT(ISERROR(SEARCH("OFF",U1099)))</formula>
    </cfRule>
  </conditionalFormatting>
  <conditionalFormatting sqref="U1191:U1192">
    <cfRule type="containsText" dxfId="28" priority="1265" operator="containsText" text="ABWI">
      <formula>NOT(ISERROR(SEARCH("ABWI",U1191)))</formula>
    </cfRule>
  </conditionalFormatting>
  <conditionalFormatting sqref="U1257 U1314 U223 U893 U672 U1124">
    <cfRule type="containsText" dxfId="27" priority="1809" operator="containsText" text="OFF">
      <formula>NOT(ISERROR(SEARCH("OFF",U223)))</formula>
    </cfRule>
  </conditionalFormatting>
  <conditionalFormatting sqref="U1257 U1314">
    <cfRule type="containsText" dxfId="26" priority="1808" operator="containsText" text="ABWI">
      <formula>NOT(ISERROR(SEARCH("ABWI",U1257)))</formula>
    </cfRule>
  </conditionalFormatting>
  <conditionalFormatting sqref="U1266 U1384 U1297:U1298 U1139 U1220">
    <cfRule type="containsText" dxfId="25" priority="1201" operator="containsText" text="OFF">
      <formula>NOT(ISERROR(SEARCH("OFF",U1139)))</formula>
    </cfRule>
  </conditionalFormatting>
  <conditionalFormatting sqref="U1296 U819 U1200 U393 U428 U436 U464 U486 U497 U505 U583 U654 U716 U735 U766 U777 U1028">
    <cfRule type="containsText" dxfId="24" priority="1281" operator="containsText" text="ABWI">
      <formula>NOT(ISERROR(SEARCH("ABWI",U393)))</formula>
    </cfRule>
  </conditionalFormatting>
  <conditionalFormatting sqref="U1300">
    <cfRule type="containsText" dxfId="23" priority="571" operator="containsText" text="SL">
      <formula>NOT(ISERROR(SEARCH("SL",U1300)))</formula>
    </cfRule>
    <cfRule type="containsText" dxfId="22" priority="570" operator="containsText" text="AB">
      <formula>NOT(ISERROR(SEARCH("AB",U1300)))</formula>
    </cfRule>
    <cfRule type="containsText" dxfId="21" priority="569" operator="containsText" text="OFF">
      <formula>NOT(ISERROR(SEARCH("OFF",U1300)))</formula>
    </cfRule>
    <cfRule type="containsText" dxfId="20" priority="575" operator="containsText" text="ABWI">
      <formula>NOT(ISERROR(SEARCH("ABWI",U1300)))</formula>
    </cfRule>
    <cfRule type="containsText" dxfId="19" priority="574" operator="containsText" text="P">
      <formula>NOT(ISERROR(SEARCH("P",U1300)))</formula>
    </cfRule>
    <cfRule type="containsText" dxfId="18" priority="573" operator="containsText" text="PL">
      <formula>NOT(ISERROR(SEARCH("PL",U1300)))</formula>
    </cfRule>
    <cfRule type="containsText" dxfId="17" priority="572" operator="containsText" text="EL">
      <formula>NOT(ISERROR(SEARCH("EL",U1300)))</formula>
    </cfRule>
  </conditionalFormatting>
  <conditionalFormatting sqref="U1317:U1344 U1396:U1404">
    <cfRule type="containsText" dxfId="16" priority="61" operator="containsText" text="Miss SOS">
      <formula>NOT(ISERROR(SEARCH("Miss SOS",U1317)))</formula>
    </cfRule>
  </conditionalFormatting>
  <conditionalFormatting sqref="U1343 U1396">
    <cfRule type="containsText" dxfId="15" priority="63" operator="containsText" text="OFF">
      <formula>NOT(ISERROR(SEARCH("OFF",U1343)))</formula>
    </cfRule>
    <cfRule type="containsText" dxfId="14" priority="67" operator="containsText" text="PL">
      <formula>NOT(ISERROR(SEARCH("PL",U1343)))</formula>
    </cfRule>
    <cfRule type="containsText" dxfId="13" priority="65" operator="containsText" text="SL">
      <formula>NOT(ISERROR(SEARCH("SL",U1343)))</formula>
    </cfRule>
    <cfRule type="containsText" dxfId="12" priority="68" operator="containsText" text="P">
      <formula>NOT(ISERROR(SEARCH("P",U1343)))</formula>
    </cfRule>
    <cfRule type="containsText" dxfId="11" priority="66" operator="containsText" text="EL">
      <formula>NOT(ISERROR(SEARCH("EL",U1343)))</formula>
    </cfRule>
    <cfRule type="containsText" dxfId="10" priority="64" operator="containsText" text="AB">
      <formula>NOT(ISERROR(SEARCH("AB",U1343)))</formula>
    </cfRule>
    <cfRule type="containsText" dxfId="9" priority="62" operator="containsText" text="ABWI">
      <formula>NOT(ISERROR(SEARCH("ABWI",U1343)))</formula>
    </cfRule>
  </conditionalFormatting>
  <conditionalFormatting sqref="U1343:U1344 U1396">
    <cfRule type="containsText" dxfId="8" priority="69" operator="containsText" text="ABWI">
      <formula>NOT(ISERROR(SEARCH("ABWI",U1343)))</formula>
    </cfRule>
  </conditionalFormatting>
  <conditionalFormatting sqref="U1355:U1375">
    <cfRule type="containsText" dxfId="7" priority="20" operator="containsText" text="Miss SOS">
      <formula>NOT(ISERROR(SEARCH("Miss SOS",U1355)))</formula>
    </cfRule>
  </conditionalFormatting>
  <conditionalFormatting sqref="U1374:U1375">
    <cfRule type="containsText" dxfId="6" priority="21" operator="containsText" text="ABWI">
      <formula>NOT(ISERROR(SEARCH("ABWI",U1374)))</formula>
    </cfRule>
    <cfRule type="containsText" dxfId="5" priority="22" operator="containsText" text="OFF">
      <formula>NOT(ISERROR(SEARCH("OFF",U1374)))</formula>
    </cfRule>
    <cfRule type="containsText" dxfId="4" priority="26" operator="containsText" text="PL">
      <formula>NOT(ISERROR(SEARCH("PL",U1374)))</formula>
    </cfRule>
    <cfRule type="containsText" dxfId="3" priority="27" operator="containsText" text="P">
      <formula>NOT(ISERROR(SEARCH("P",U1374)))</formula>
    </cfRule>
    <cfRule type="containsText" dxfId="2" priority="23" operator="containsText" text="AB">
      <formula>NOT(ISERROR(SEARCH("AB",U1374)))</formula>
    </cfRule>
    <cfRule type="containsText" dxfId="1" priority="24" operator="containsText" text="SL">
      <formula>NOT(ISERROR(SEARCH("SL",U1374)))</formula>
    </cfRule>
    <cfRule type="containsText" dxfId="0" priority="25" operator="containsText" text="EL">
      <formula>NOT(ISERROR(SEARCH("EL",U1374)))</formula>
    </cfRule>
  </conditionalFormatting>
  <hyperlinks>
    <hyperlink ref="C392" r:id="rId1" display="https://admindirectory.corp.amazon.com/users/ssegilbe" xr:uid="{7F3D682A-0A28-4C39-A5B4-B456BAD625B2}"/>
    <hyperlink ref="C314" r:id="rId2" display="https://admindirectory.corp.amazon.com/users/andebayi" xr:uid="{CD7AFEC3-70FE-4F64-A27F-985F6D0C9F1B}"/>
    <hyperlink ref="C535" r:id="rId3" display="https://admindirectory.corp.amazon.com/users/adebugar" xr:uid="{3A953D9F-6AE8-4CDF-98C1-C0BE76E31DF7}"/>
    <hyperlink ref="C578" r:id="rId4" display="https://admindirectory.corp.amazon.com/users/tadekizi" xr:uid="{8AFE1514-B45F-4AB5-947D-503D8AA21A29}"/>
    <hyperlink ref="C383" r:id="rId5" display="https://admindirectory.corp.amazon.com/users/kasobfra" xr:uid="{2C4701D1-3BC4-4239-9916-2C47F48E6611}"/>
    <hyperlink ref="C540" r:id="rId6" display="https://admindirectory.corp.amazon.com/users/keizokre" xr:uid="{F591D9FE-B0AB-455A-9D09-76C05233248B}"/>
    <hyperlink ref="C407" r:id="rId7" display="https://admindirectory.corp.amazon.com/users/isandyam" xr:uid="{0DE161EC-4314-4F7F-9B3B-71E59C29304B}"/>
    <hyperlink ref="D324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312C0A22-1103-4CEE-AC5E-F05B717BF526}"/>
    <hyperlink ref="D596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70B1DFEB-4555-4E14-9BEC-F15FA1EE7BDD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Zia, Mohammed</cp:lastModifiedBy>
  <cp:lastPrinted>2026-08-05T07:55:18Z</cp:lastPrinted>
  <dcterms:created xsi:type="dcterms:W3CDTF">2015-06-05T18:17:20Z</dcterms:created>
  <dcterms:modified xsi:type="dcterms:W3CDTF">2026-08-09T15:02:08Z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